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5" documentId="13_ncr:1_{BC833B0D-2F54-40DF-A6AF-902741D0EBA0}" xr6:coauthVersionLast="47" xr6:coauthVersionMax="47" xr10:uidLastSave="{5701A25F-86DB-42DA-868C-F42A336B776D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2" i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8" i="1"/>
  <c r="B878" i="1" s="1"/>
  <c r="D878" i="1"/>
  <c r="E878" i="1"/>
  <c r="C877" i="1"/>
  <c r="B877" i="1" s="1"/>
  <c r="D877" i="1"/>
  <c r="E877" i="1"/>
  <c r="C876" i="1"/>
  <c r="B876" i="1" s="1"/>
  <c r="D876" i="1"/>
  <c r="E876" i="1"/>
  <c r="C875" i="1"/>
  <c r="B875" i="1" s="1"/>
  <c r="D875" i="1"/>
  <c r="E875" i="1"/>
  <c r="C874" i="1"/>
  <c r="B874" i="1" s="1"/>
  <c r="D874" i="1"/>
  <c r="E874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<sst xmlns="http://schemas.openxmlformats.org/spreadsheetml/2006/main" count="7893" uniqueCount="3627">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</sst>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910">
    <sortCondition ref="F1:F910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840" activePane="bottomLeft" state="frozen"/>
      <selection activeCell="F1" sqref="F1"/>
      <selection pane="bottomLeft" activeCell="K866" sqref="K866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J521">
        <v>0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/>
      <c r="H595" t="s">
        <v>3501</v>
      </c>
      <c r="J595">
        <v>0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0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0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  <row r="874" spans="1:11" x14ac:dyDescent="0.25">
      <c r="B874" t="e">
        <f>_xlfn.CONCAT(bron[[#This Row],[personeelsnr]]," ",bron[[#This Row],[achternaam]]," ",bron[[#This Row],[voornaam]])</f>
        <v>#N/A</v>
      </c>
      <c r="C874" t="e">
        <f>VLOOKUP(bron[[#This Row],[personeelsnr]],'data hastus'!$A:$C,2,0)</f>
        <v>#N/A</v>
      </c>
      <c r="D874" t="e">
        <f>VLOOKUP(bron[[#This Row],[personeelsnr]],'data hastus'!$A:$C,3,0)</f>
        <v>#N/A</v>
      </c>
      <c r="E874" t="e">
        <f>VLOOKUP(bron[[#This Row],[personeelsnr]],'data hastus'!A:K,11,FALSE)</f>
        <v>#N/A</v>
      </c>
    </row>
    <row r="875" spans="1:11" x14ac:dyDescent="0.25">
      <c r="B875" t="e">
        <f>_xlfn.CONCAT(bron[[#This Row],[personeelsnr]]," ",bron[[#This Row],[achternaam]]," ",bron[[#This Row],[voornaam]])</f>
        <v>#N/A</v>
      </c>
      <c r="C875" t="e">
        <f>VLOOKUP(bron[[#This Row],[personeelsnr]],'data hastus'!$A:$C,2,0)</f>
        <v>#N/A</v>
      </c>
      <c r="D875" t="e">
        <f>VLOOKUP(bron[[#This Row],[personeelsnr]],'data hastus'!$A:$C,3,0)</f>
        <v>#N/A</v>
      </c>
      <c r="E875" t="e">
        <f>VLOOKUP(bron[[#This Row],[personeelsnr]],'data hastus'!A:K,11,FALSE)</f>
        <v>#N/A</v>
      </c>
    </row>
    <row r="876" spans="1:11" x14ac:dyDescent="0.25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</row>
    <row r="877" spans="1:11" x14ac:dyDescent="0.25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</row>
    <row r="878" spans="1:11" x14ac:dyDescent="0.25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2025-09-26T07:05:56Z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