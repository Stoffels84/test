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4" documentId="13_ncr:1_{BC833B0D-2F54-40DF-A6AF-902741D0EBA0}" xr6:coauthVersionLast="47" xr6:coauthVersionMax="47" xr10:uidLastSave="{EFA5ECA6-B7AE-4D27-A7F9-F9173283FC34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C909" i="1"/>
  <c r="B909" i="1" s="1"/>
  <c r="D909" i="1"/>
  <c r="E909" i="1"/>
  <c r="C908" i="1"/>
  <c r="B908" i="1" s="1"/>
  <c r="D908" i="1"/>
  <c r="E908" i="1"/>
  <c r="C907" i="1"/>
  <c r="B907" i="1" s="1"/>
  <c r="D907" i="1"/>
  <c r="E907" i="1"/>
  <c r="C906" i="1"/>
  <c r="B906" i="1" s="1"/>
  <c r="D906" i="1"/>
  <c r="E906" i="1"/>
  <c r="C905" i="1"/>
  <c r="B905" i="1" s="1"/>
  <c r="D905" i="1"/>
  <c r="E905" i="1"/>
  <c r="C904" i="1"/>
  <c r="B904" i="1" s="1"/>
  <c r="D904" i="1"/>
  <c r="E904" i="1"/>
  <c r="C903" i="1"/>
  <c r="B903" i="1" s="1"/>
  <c r="D903" i="1"/>
  <c r="E903" i="1"/>
  <c r="C902" i="1"/>
  <c r="B902" i="1" s="1"/>
  <c r="D902" i="1"/>
  <c r="E902" i="1"/>
  <c r="C901" i="1"/>
  <c r="B901" i="1" s="1"/>
  <c r="D901" i="1"/>
  <c r="E901" i="1"/>
  <c r="C900" i="1"/>
  <c r="B900" i="1" s="1"/>
  <c r="D900" i="1"/>
  <c r="E900" i="1"/>
  <c r="C899" i="1"/>
  <c r="B899" i="1" s="1"/>
  <c r="D899" i="1"/>
  <c r="E899" i="1"/>
  <c r="C898" i="1"/>
  <c r="B898" i="1" s="1"/>
  <c r="D898" i="1"/>
  <c r="E898" i="1"/>
  <c r="C897" i="1"/>
  <c r="B897" i="1" s="1"/>
  <c r="D897" i="1"/>
  <c r="E897" i="1"/>
  <c r="C896" i="1"/>
  <c r="B896" i="1" s="1"/>
  <c r="D896" i="1"/>
  <c r="E896" i="1"/>
  <c r="C895" i="1"/>
  <c r="B895" i="1" s="1"/>
  <c r="D895" i="1"/>
  <c r="E895" i="1"/>
  <c r="C894" i="1"/>
  <c r="B894" i="1" s="1"/>
  <c r="D894" i="1"/>
  <c r="E894" i="1"/>
  <c r="C893" i="1"/>
  <c r="B893" i="1" s="1"/>
  <c r="D893" i="1"/>
  <c r="E893" i="1"/>
  <c r="C892" i="1"/>
  <c r="B892" i="1" s="1"/>
  <c r="D892" i="1"/>
  <c r="E892" i="1"/>
  <c r="C891" i="1"/>
  <c r="B891" i="1" s="1"/>
  <c r="D891" i="1"/>
  <c r="E891" i="1"/>
  <c r="C890" i="1"/>
  <c r="B890" i="1" s="1"/>
  <c r="D890" i="1"/>
  <c r="E890" i="1"/>
  <c r="C889" i="1"/>
  <c r="B889" i="1" s="1"/>
  <c r="D889" i="1"/>
  <c r="E889" i="1"/>
  <c r="C888" i="1"/>
  <c r="B888" i="1" s="1"/>
  <c r="D888" i="1"/>
  <c r="E888" i="1"/>
  <c r="C887" i="1"/>
  <c r="B887" i="1" s="1"/>
  <c r="D887" i="1"/>
  <c r="E887" i="1"/>
  <c r="C886" i="1"/>
  <c r="B886" i="1" s="1"/>
  <c r="D886" i="1"/>
  <c r="E886" i="1"/>
  <c r="C885" i="1"/>
  <c r="B885" i="1" s="1"/>
  <c r="D885" i="1"/>
  <c r="E885" i="1"/>
  <c r="C884" i="1"/>
  <c r="B884" i="1" s="1"/>
  <c r="D884" i="1"/>
  <c r="E884" i="1"/>
  <c r="C883" i="1"/>
  <c r="B883" i="1" s="1"/>
  <c r="D883" i="1"/>
  <c r="E883" i="1"/>
  <c r="C882" i="1"/>
  <c r="B882" i="1" s="1"/>
  <c r="D882" i="1"/>
  <c r="E882" i="1"/>
  <c r="C881" i="1"/>
  <c r="B881" i="1" s="1"/>
  <c r="D881" i="1"/>
  <c r="E881" i="1"/>
  <c r="C880" i="1"/>
  <c r="B880" i="1" s="1"/>
  <c r="D880" i="1"/>
  <c r="E880" i="1"/>
  <c r="C879" i="1"/>
  <c r="B879" i="1" s="1"/>
  <c r="D879" i="1"/>
  <c r="E879" i="1"/>
  <c r="C878" i="1"/>
  <c r="D878" i="1"/>
  <c r="E878" i="1"/>
  <c r="C877" i="1"/>
  <c r="D877" i="1"/>
  <c r="E877" i="1"/>
  <c r="C876" i="1"/>
  <c r="D876" i="1"/>
  <c r="E876" i="1"/>
  <c r="C875" i="1"/>
  <c r="D875" i="1"/>
  <c r="E875" i="1"/>
  <c r="C874" i="1"/>
  <c r="D874" i="1"/>
  <c r="E874" i="1"/>
  <c r="C873" i="1"/>
  <c r="D873" i="1"/>
  <c r="E873" i="1"/>
  <c r="C872" i="1"/>
  <c r="D872" i="1"/>
  <c r="E872" i="1"/>
  <c r="C871" i="1"/>
  <c r="B871" i="1" s="1"/>
  <c r="D871" i="1"/>
  <c r="E871" i="1"/>
  <c r="C870" i="1"/>
  <c r="B870" i="1" s="1"/>
  <c r="D870" i="1"/>
  <c r="E870" i="1"/>
  <c r="C869" i="1"/>
  <c r="B869" i="1" s="1"/>
  <c r="D869" i="1"/>
  <c r="E869" i="1"/>
  <c r="C868" i="1"/>
  <c r="B868" i="1" s="1"/>
  <c r="D868" i="1"/>
  <c r="E868" i="1"/>
  <c r="C867" i="1"/>
  <c r="B867" i="1" s="1"/>
  <c r="D867" i="1"/>
  <c r="E867" i="1"/>
  <c r="C866" i="1"/>
  <c r="B866" i="1" s="1"/>
  <c r="D866" i="1"/>
  <c r="E866" i="1"/>
  <c r="E864" i="1"/>
  <c r="E865" i="1"/>
  <c r="C865" i="1"/>
  <c r="D865" i="1"/>
  <c r="C864" i="1"/>
  <c r="D864" i="1"/>
  <c r="C863" i="1"/>
  <c r="D863" i="1"/>
  <c r="E863" i="1"/>
  <c r="C862" i="1"/>
  <c r="D862" i="1"/>
  <c r="E862" i="1"/>
  <c r="C861" i="1"/>
  <c r="D861" i="1"/>
  <c r="E861" i="1"/>
  <c r="C860" i="1"/>
  <c r="D860" i="1"/>
  <c r="E860" i="1"/>
  <c r="B877" i="1" l="1"/>
  <c r="B878" i="1"/>
  <c r="B876" i="1"/>
  <c r="B875" i="1"/>
  <c r="B872" i="1"/>
  <c r="B873" i="1"/>
  <c r="B874" i="1"/>
  <c r="B865" i="1"/>
  <c r="B863" i="1"/>
  <c r="B864" i="1"/>
  <c r="B862" i="1"/>
  <c r="B861" i="1"/>
  <c r="B860" i="1"/>
  <c r="C859" i="1"/>
  <c r="D859" i="1"/>
  <c r="E859" i="1"/>
  <c r="B859" i="1" l="1"/>
  <c r="C824" i="1"/>
  <c r="D824" i="1"/>
  <c r="E824" i="1"/>
  <c r="C547" i="1"/>
  <c r="D547" i="1"/>
  <c r="E547" i="1"/>
  <c r="C819" i="1"/>
  <c r="D819" i="1"/>
  <c r="E819" i="1"/>
  <c r="C548" i="1"/>
  <c r="D548" i="1"/>
  <c r="E548" i="1"/>
  <c r="C841" i="1"/>
  <c r="D841" i="1"/>
  <c r="E841" i="1"/>
  <c r="C858" i="1"/>
  <c r="D858" i="1"/>
  <c r="E858" i="1"/>
  <c r="C857" i="1"/>
  <c r="D857" i="1"/>
  <c r="E857" i="1"/>
  <c r="C843" i="1"/>
  <c r="D843" i="1"/>
  <c r="E843" i="1"/>
  <c r="C856" i="1"/>
  <c r="D856" i="1"/>
  <c r="E856" i="1"/>
  <c r="C825" i="1"/>
  <c r="D825" i="1"/>
  <c r="E825" i="1"/>
  <c r="C529" i="1"/>
  <c r="D529" i="1"/>
  <c r="E529" i="1"/>
  <c r="C577" i="1"/>
  <c r="D577" i="1"/>
  <c r="E577" i="1"/>
  <c r="C532" i="1"/>
  <c r="D532" i="1"/>
  <c r="E532" i="1"/>
  <c r="C854" i="1"/>
  <c r="D854" i="1"/>
  <c r="E854" i="1"/>
  <c r="C787" i="1"/>
  <c r="D787" i="1"/>
  <c r="E787" i="1"/>
  <c r="C538" i="1"/>
  <c r="D538" i="1"/>
  <c r="E538" i="1"/>
  <c r="C626" i="1"/>
  <c r="D626" i="1"/>
  <c r="E626" i="1"/>
  <c r="C528" i="1"/>
  <c r="D528" i="1"/>
  <c r="E528" i="1"/>
  <c r="C830" i="1"/>
  <c r="D830" i="1"/>
  <c r="E830" i="1"/>
  <c r="C852" i="1"/>
  <c r="D852" i="1"/>
  <c r="E852" i="1"/>
  <c r="C681" i="1"/>
  <c r="D681" i="1"/>
  <c r="E681" i="1"/>
  <c r="C836" i="1"/>
  <c r="D836" i="1"/>
  <c r="E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C524" i="1"/>
  <c r="D524" i="1"/>
  <c r="E524" i="1"/>
  <c r="C578" i="1"/>
  <c r="D578" i="1"/>
  <c r="E578" i="1"/>
  <c r="C633" i="1"/>
  <c r="D633" i="1"/>
  <c r="E633" i="1"/>
  <c r="C584" i="1"/>
  <c r="D584" i="1"/>
  <c r="E584" i="1"/>
  <c r="C850" i="1"/>
  <c r="D850" i="1"/>
  <c r="E850" i="1"/>
  <c r="C833" i="1"/>
  <c r="D833" i="1"/>
  <c r="E833" i="1"/>
  <c r="B847" i="1"/>
  <c r="C834" i="1"/>
  <c r="D834" i="1"/>
  <c r="E834" i="1"/>
  <c r="C765" i="1"/>
  <c r="D765" i="1"/>
  <c r="E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C827" i="1"/>
  <c r="D827" i="1"/>
  <c r="E827" i="1"/>
  <c r="C569" i="1"/>
  <c r="D569" i="1"/>
  <c r="E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C2" i="12"/>
  <c r="C3" i="12"/>
  <c r="C775" i="1"/>
  <c r="D775" i="1"/>
  <c r="E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C708" i="1"/>
  <c r="D708" i="1"/>
  <c r="E708" i="1"/>
  <c r="C826" i="1"/>
  <c r="D826" i="1"/>
  <c r="E826" i="1"/>
  <c r="C680" i="1"/>
  <c r="D680" i="1"/>
  <c r="E680" i="1"/>
  <c r="C849" i="1"/>
  <c r="D849" i="1"/>
  <c r="E849" i="1"/>
  <c r="C804" i="1"/>
  <c r="D804" i="1"/>
  <c r="E804" i="1"/>
  <c r="C651" i="1"/>
  <c r="D651" i="1"/>
  <c r="E651" i="1"/>
  <c r="C682" i="1"/>
  <c r="D682" i="1"/>
  <c r="E682" i="1"/>
  <c r="C812" i="1"/>
  <c r="D812" i="1"/>
  <c r="E812" i="1"/>
  <c r="C541" i="1"/>
  <c r="D541" i="1"/>
  <c r="E541" i="1"/>
  <c r="C641" i="1"/>
  <c r="D641" i="1"/>
  <c r="E641" i="1"/>
  <c r="C749" i="1"/>
  <c r="D749" i="1"/>
  <c r="E749" i="1"/>
  <c r="C784" i="1"/>
  <c r="D784" i="1"/>
  <c r="E784" i="1"/>
  <c r="C813" i="1"/>
  <c r="D813" i="1"/>
  <c r="E813" i="1"/>
  <c r="C553" i="1"/>
  <c r="D553" i="1"/>
  <c r="E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C729" i="1"/>
  <c r="D729" i="1"/>
  <c r="E729" i="1"/>
  <c r="C587" i="1"/>
  <c r="D587" i="1"/>
  <c r="E587" i="1"/>
  <c r="C853" i="1"/>
  <c r="D853" i="1"/>
  <c r="E853" i="1"/>
  <c r="C574" i="1"/>
  <c r="D574" i="1"/>
  <c r="E574" i="1"/>
  <c r="C831" i="1"/>
  <c r="D831" i="1"/>
  <c r="E831" i="1"/>
  <c r="C696" i="1"/>
  <c r="D696" i="1"/>
  <c r="E696" i="1"/>
  <c r="C537" i="1"/>
  <c r="D537" i="1"/>
  <c r="E537" i="1"/>
  <c r="C722" i="1"/>
  <c r="D722" i="1"/>
  <c r="E722" i="1"/>
  <c r="C531" i="1"/>
  <c r="D531" i="1"/>
  <c r="E531" i="1"/>
  <c r="C603" i="1"/>
  <c r="D603" i="1"/>
  <c r="E603" i="1"/>
  <c r="C755" i="1"/>
  <c r="D755" i="1"/>
  <c r="E755" i="1"/>
  <c r="C558" i="1"/>
  <c r="D558" i="1"/>
  <c r="E558" i="1"/>
  <c r="C719" i="1"/>
  <c r="D719" i="1"/>
  <c r="E719" i="1"/>
  <c r="C535" i="1"/>
  <c r="D535" i="1"/>
  <c r="E535" i="1"/>
  <c r="C667" i="1"/>
  <c r="D667" i="1"/>
  <c r="E667" i="1"/>
  <c r="C781" i="1"/>
  <c r="D781" i="1"/>
  <c r="E781" i="1"/>
  <c r="C657" i="1"/>
  <c r="D657" i="1"/>
  <c r="E657" i="1"/>
  <c r="C762" i="1"/>
  <c r="D762" i="1"/>
  <c r="E762" i="1"/>
  <c r="C519" i="1"/>
  <c r="D519" i="1"/>
  <c r="E519" i="1"/>
  <c r="C572" i="1"/>
  <c r="D572" i="1"/>
  <c r="E572" i="1"/>
  <c r="C536" i="1"/>
  <c r="D536" i="1"/>
  <c r="E536" i="1"/>
  <c r="C703" i="1"/>
  <c r="D703" i="1"/>
  <c r="E703" i="1"/>
  <c r="C616" i="1"/>
  <c r="D616" i="1"/>
  <c r="E616" i="1"/>
  <c r="C613" i="1"/>
  <c r="D613" i="1"/>
  <c r="E613" i="1"/>
  <c r="C683" i="1"/>
  <c r="D683" i="1"/>
  <c r="E683" i="1"/>
  <c r="C615" i="1"/>
  <c r="D615" i="1"/>
  <c r="E615" i="1"/>
  <c r="C554" i="1"/>
  <c r="D554" i="1"/>
  <c r="C621" i="1"/>
  <c r="D621" i="1"/>
  <c r="E621" i="1"/>
  <c r="C738" i="1"/>
  <c r="D738" i="1"/>
  <c r="E738" i="1"/>
  <c r="C788" i="1"/>
  <c r="D788" i="1"/>
  <c r="E788" i="1"/>
  <c r="C559" i="1"/>
  <c r="D559" i="1"/>
  <c r="E559" i="1"/>
  <c r="C780" i="1"/>
  <c r="D780" i="1"/>
  <c r="E780" i="1"/>
  <c r="C542" i="1"/>
  <c r="D542" i="1"/>
  <c r="E542" i="1"/>
  <c r="C664" i="1"/>
  <c r="D664" i="1"/>
  <c r="C594" i="1"/>
  <c r="D594" i="1"/>
  <c r="E594" i="1"/>
  <c r="C728" i="1"/>
  <c r="D728" i="1"/>
  <c r="E728" i="1"/>
  <c r="C571" i="1"/>
  <c r="D571" i="1"/>
  <c r="E571" i="1"/>
  <c r="C514" i="1"/>
  <c r="D514" i="1"/>
  <c r="E514" i="1"/>
  <c r="C688" i="1"/>
  <c r="D688" i="1"/>
  <c r="E688" i="1"/>
  <c r="C515" i="1"/>
  <c r="D515" i="1"/>
  <c r="E515" i="1"/>
  <c r="C565" i="1"/>
  <c r="D565" i="1"/>
  <c r="E565" i="1"/>
  <c r="C705" i="1"/>
  <c r="D705" i="1"/>
  <c r="E705" i="1"/>
  <c r="C544" i="1"/>
  <c r="D544" i="1"/>
  <c r="E544" i="1"/>
  <c r="C597" i="1"/>
  <c r="D597" i="1"/>
  <c r="E597" i="1"/>
  <c r="C704" i="1"/>
  <c r="D704" i="1"/>
  <c r="E704" i="1"/>
  <c r="C671" i="1"/>
  <c r="D671" i="1"/>
  <c r="E671" i="1"/>
  <c r="C668" i="1"/>
  <c r="D668" i="1"/>
  <c r="E668" i="1"/>
  <c r="C763" i="1"/>
  <c r="D763" i="1"/>
  <c r="E763" i="1"/>
  <c r="C589" i="1"/>
  <c r="D589" i="1"/>
  <c r="E589" i="1"/>
  <c r="C768" i="1"/>
  <c r="D768" i="1"/>
  <c r="E768" i="1"/>
  <c r="C842" i="1"/>
  <c r="D842" i="1"/>
  <c r="E842" i="1"/>
  <c r="C655" i="1"/>
  <c r="D655" i="1"/>
  <c r="E655" i="1"/>
  <c r="C846" i="1"/>
  <c r="D846" i="1"/>
  <c r="E846" i="1"/>
  <c r="C712" i="1"/>
  <c r="D712" i="1"/>
  <c r="E712" i="1"/>
  <c r="C599" i="1"/>
  <c r="D599" i="1"/>
  <c r="E599" i="1"/>
  <c r="C701" i="1"/>
  <c r="D701" i="1"/>
  <c r="E701" i="1"/>
  <c r="C662" i="1"/>
  <c r="D662" i="1"/>
  <c r="E662" i="1"/>
  <c r="C661" i="1"/>
  <c r="D661" i="1"/>
  <c r="E661" i="1"/>
  <c r="C588" i="1"/>
  <c r="D588" i="1"/>
  <c r="E588" i="1"/>
  <c r="C725" i="1"/>
  <c r="D725" i="1"/>
  <c r="E725" i="1"/>
  <c r="C607" i="1"/>
  <c r="D607" i="1"/>
  <c r="E607" i="1"/>
  <c r="C521" i="1"/>
  <c r="D521" i="1"/>
  <c r="E521" i="1"/>
  <c r="C799" i="1"/>
  <c r="D799" i="1"/>
  <c r="E799" i="1"/>
  <c r="C772" i="1"/>
  <c r="D772" i="1"/>
  <c r="E772" i="1"/>
  <c r="C679" i="1"/>
  <c r="D679" i="1"/>
  <c r="E679" i="1"/>
  <c r="C798" i="1"/>
  <c r="D798" i="1"/>
  <c r="E798" i="1"/>
  <c r="C601" i="1"/>
  <c r="D601" i="1"/>
  <c r="E601" i="1"/>
  <c r="C795" i="1"/>
  <c r="D795" i="1"/>
  <c r="E795" i="1"/>
  <c r="C796" i="1"/>
  <c r="D796" i="1"/>
  <c r="E796" i="1"/>
  <c r="C545" i="1"/>
  <c r="D545" i="1"/>
  <c r="E545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64" i="1"/>
  <c r="D764" i="1"/>
  <c r="E764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839" i="1"/>
  <c r="D839" i="1"/>
  <c r="E839" i="1"/>
  <c r="C821" i="1"/>
  <c r="D821" i="1"/>
  <c r="E821" i="1"/>
  <c r="C575" i="1"/>
  <c r="D575" i="1"/>
  <c r="E575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60" i="1"/>
  <c r="D760" i="1"/>
  <c r="E760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652" i="1"/>
  <c r="D652" i="1"/>
  <c r="E652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44" i="1"/>
  <c r="D744" i="1"/>
  <c r="E744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829" i="1"/>
  <c r="D829" i="1"/>
  <c r="E829" i="1"/>
  <c r="C740" i="1"/>
  <c r="D740" i="1"/>
  <c r="E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C761" i="1"/>
  <c r="D761" i="1"/>
  <c r="E761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<sst xmlns="http://schemas.openxmlformats.org/spreadsheetml/2006/main" count="7893" uniqueCount="3627">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</sst>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910" totalsRowShown="0" headerRowDxfId="5">
  <autoFilter ref="A1:K910" xr:uid="{2FDE3AF6-1CE1-4F38-BD72-1F03CD30F4FC}">
    <filterColumn colId="5">
      <filters blank="1">
        <dateGroupItem year="2025" dateTimeGrouping="year"/>
      </filters>
    </filterColumn>
  </autoFilter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K866" sqref="K866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7">
        <v>45841</v>
      </c>
      <c r="G514" s="6" t="s">
        <v>1319</v>
      </c>
      <c r="H514" t="s">
        <v>3499</v>
      </c>
      <c r="I514" t="s">
        <v>1320</v>
      </c>
      <c r="J514">
        <v>2193</v>
      </c>
      <c r="K514" s="27" t="s">
        <v>3548</v>
      </c>
    </row>
    <row r="515" spans="1:1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7">
        <v>45839</v>
      </c>
      <c r="G515" s="6" t="s">
        <v>1207</v>
      </c>
      <c r="H515" t="s">
        <v>3499</v>
      </c>
      <c r="I515" t="s">
        <v>227</v>
      </c>
      <c r="J515">
        <v>2195</v>
      </c>
      <c r="K515" s="27" t="s">
        <v>3547</v>
      </c>
    </row>
    <row r="516" spans="1:1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3">
        <v>45695</v>
      </c>
      <c r="G516" s="6" t="s">
        <v>1037</v>
      </c>
      <c r="H516" t="s">
        <v>3499</v>
      </c>
      <c r="I516" t="s">
        <v>10</v>
      </c>
      <c r="J516">
        <v>2195</v>
      </c>
      <c r="K516" s="27" t="s">
        <v>3547</v>
      </c>
    </row>
    <row r="517" spans="1:1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3">
        <v>45780</v>
      </c>
      <c r="G517" s="6" t="s">
        <v>1148</v>
      </c>
      <c r="H517" t="s">
        <v>3499</v>
      </c>
      <c r="I517" t="s">
        <v>34</v>
      </c>
      <c r="J517">
        <v>2208</v>
      </c>
      <c r="K517" s="27" t="s">
        <v>3547</v>
      </c>
    </row>
    <row r="518" spans="1:1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7">
        <v>45897</v>
      </c>
      <c r="G518" s="5" t="s">
        <v>1270</v>
      </c>
      <c r="H518" t="s">
        <v>3499</v>
      </c>
      <c r="I518" t="s">
        <v>195</v>
      </c>
      <c r="J518">
        <v>5046</v>
      </c>
      <c r="K518" t="s">
        <v>3547</v>
      </c>
    </row>
    <row r="519" spans="1:1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7">
        <v>45847</v>
      </c>
      <c r="G519" s="6" t="s">
        <v>1222</v>
      </c>
      <c r="H519" t="s">
        <v>3500</v>
      </c>
      <c r="I519" t="s">
        <v>191</v>
      </c>
      <c r="J519">
        <v>5772</v>
      </c>
      <c r="K519" s="27" t="s">
        <v>3547</v>
      </c>
    </row>
    <row r="520" spans="1:1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3">
        <v>45701</v>
      </c>
      <c r="G520" s="6" t="s">
        <v>1042</v>
      </c>
      <c r="H520" t="s">
        <v>3499</v>
      </c>
      <c r="I520" t="s">
        <v>193</v>
      </c>
      <c r="J520">
        <v>5240</v>
      </c>
      <c r="K520" s="27" t="s">
        <v>3547</v>
      </c>
    </row>
    <row r="521" spans="1:1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7">
        <v>45820</v>
      </c>
      <c r="G521" s="6" t="s">
        <v>1188</v>
      </c>
      <c r="H521" t="s">
        <v>3500</v>
      </c>
      <c r="I521" t="s">
        <v>94</v>
      </c>
      <c r="J521">
        <v>5488</v>
      </c>
      <c r="K521" s="27" t="s">
        <v>3547</v>
      </c>
    </row>
    <row r="522" spans="1:1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3">
        <v>45677</v>
      </c>
      <c r="G522" s="6" t="s">
        <v>1008</v>
      </c>
      <c r="H522" t="s">
        <v>3499</v>
      </c>
      <c r="I522" t="s">
        <v>285</v>
      </c>
      <c r="J522">
        <v>5039</v>
      </c>
      <c r="K522" s="27" t="s">
        <v>3547</v>
      </c>
    </row>
    <row r="523" spans="1:1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3">
        <v>45758</v>
      </c>
      <c r="G523" s="6" t="s">
        <v>1120</v>
      </c>
      <c r="H523" t="s">
        <v>3536</v>
      </c>
      <c r="I523" t="s">
        <v>5</v>
      </c>
      <c r="J523">
        <v>6373</v>
      </c>
      <c r="K523" s="27" t="s">
        <v>3547</v>
      </c>
    </row>
    <row r="524" spans="1:1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7">
        <v>45890</v>
      </c>
      <c r="G524" s="5" t="s">
        <v>1260</v>
      </c>
      <c r="H524" t="s">
        <v>3499</v>
      </c>
      <c r="I524" t="s">
        <v>123</v>
      </c>
      <c r="J524">
        <v>5233</v>
      </c>
      <c r="K524" t="s">
        <v>3547</v>
      </c>
    </row>
    <row r="525" spans="1:1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3">
        <v>45711</v>
      </c>
      <c r="G525" s="6" t="s">
        <v>1064</v>
      </c>
      <c r="H525" t="s">
        <v>3535</v>
      </c>
      <c r="I525" t="s">
        <v>5</v>
      </c>
      <c r="J525">
        <v>6364</v>
      </c>
      <c r="K525" s="27" t="s">
        <v>3547</v>
      </c>
    </row>
    <row r="526" spans="1:1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3">
        <v>45771</v>
      </c>
      <c r="G526" s="6" t="s">
        <v>1138</v>
      </c>
      <c r="H526" t="s">
        <v>377</v>
      </c>
      <c r="I526" t="s">
        <v>5</v>
      </c>
      <c r="J526">
        <v>8232</v>
      </c>
      <c r="K526" s="27" t="s">
        <v>3547</v>
      </c>
    </row>
    <row r="527" spans="1:1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7">
        <v>45868</v>
      </c>
      <c r="G527" s="6" t="s">
        <v>1308</v>
      </c>
      <c r="H527" t="s">
        <v>8</v>
      </c>
      <c r="I527" t="s">
        <v>1309</v>
      </c>
      <c r="J527">
        <v>6337</v>
      </c>
      <c r="K527" s="27" t="s">
        <v>3548</v>
      </c>
    </row>
    <row r="528" spans="1:1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7">
        <v>45903</v>
      </c>
      <c r="G528" s="5" t="s">
        <v>3484</v>
      </c>
      <c r="H528" t="s">
        <v>3499</v>
      </c>
      <c r="I528" t="s">
        <v>3485</v>
      </c>
      <c r="J528">
        <v>5324</v>
      </c>
      <c r="K528" t="s">
        <v>3547</v>
      </c>
    </row>
    <row r="529" spans="1:1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7">
        <v>45914</v>
      </c>
      <c r="G529" s="5" t="s">
        <v>3537</v>
      </c>
      <c r="H529" t="s">
        <v>3536</v>
      </c>
      <c r="I529" t="s">
        <v>3538</v>
      </c>
      <c r="J529">
        <v>6374</v>
      </c>
      <c r="K529" s="27" t="s">
        <v>3548</v>
      </c>
    </row>
    <row r="530" spans="1:1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3">
        <v>45735</v>
      </c>
      <c r="G530" s="6" t="s">
        <v>1317</v>
      </c>
      <c r="H530" t="s">
        <v>8</v>
      </c>
      <c r="I530" t="s">
        <v>1318</v>
      </c>
      <c r="J530">
        <v>6322</v>
      </c>
      <c r="K530" s="27" t="s">
        <v>3548</v>
      </c>
    </row>
    <row r="531" spans="1:1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7">
        <v>45862</v>
      </c>
      <c r="G531" s="6" t="s">
        <v>1241</v>
      </c>
      <c r="H531" t="s">
        <v>3535</v>
      </c>
      <c r="I531" t="s">
        <v>233</v>
      </c>
      <c r="J531">
        <v>6331</v>
      </c>
      <c r="K531" s="27" t="s">
        <v>3547</v>
      </c>
    </row>
    <row r="532" spans="1:1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7">
        <v>45905</v>
      </c>
      <c r="G532" s="5" t="s">
        <v>3489</v>
      </c>
      <c r="H532" t="s">
        <v>3500</v>
      </c>
      <c r="I532" t="s">
        <v>3490</v>
      </c>
      <c r="J532">
        <v>5931</v>
      </c>
      <c r="K532" t="s">
        <v>3547</v>
      </c>
    </row>
    <row r="533" spans="1:1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3">
        <v>45702</v>
      </c>
      <c r="G533" s="6" t="s">
        <v>1044</v>
      </c>
      <c r="H533" t="s">
        <v>3499</v>
      </c>
      <c r="I533" t="s">
        <v>66</v>
      </c>
      <c r="J533">
        <v>5241</v>
      </c>
      <c r="K533" s="27" t="s">
        <v>3547</v>
      </c>
    </row>
    <row r="534" spans="1:1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3">
        <v>45691</v>
      </c>
      <c r="G534" s="6" t="s">
        <v>1028</v>
      </c>
      <c r="H534" t="s">
        <v>3535</v>
      </c>
      <c r="I534" t="s">
        <v>147</v>
      </c>
      <c r="J534">
        <v>6314</v>
      </c>
      <c r="K534" s="27" t="s">
        <v>3547</v>
      </c>
    </row>
    <row r="535" spans="1:1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7">
        <v>45853</v>
      </c>
      <c r="G535" s="6" t="s">
        <v>1233</v>
      </c>
      <c r="H535" t="s">
        <v>3499</v>
      </c>
      <c r="I535" t="s">
        <v>237</v>
      </c>
      <c r="J535">
        <v>5044</v>
      </c>
      <c r="K535" s="27" t="s">
        <v>3547</v>
      </c>
    </row>
    <row r="536" spans="1:1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7">
        <v>45848</v>
      </c>
      <c r="G536" s="6" t="s">
        <v>1224</v>
      </c>
      <c r="H536" t="s">
        <v>3499</v>
      </c>
      <c r="I536" t="s">
        <v>37</v>
      </c>
      <c r="J536">
        <v>5046</v>
      </c>
      <c r="K536" s="27" t="s">
        <v>3547</v>
      </c>
    </row>
    <row r="537" spans="1:1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7">
        <v>45863</v>
      </c>
      <c r="G537" s="6" t="s">
        <v>1243</v>
      </c>
      <c r="H537" t="s">
        <v>3499</v>
      </c>
      <c r="I537" t="s">
        <v>203</v>
      </c>
      <c r="J537">
        <v>5041</v>
      </c>
      <c r="K537" s="27" t="s">
        <v>3547</v>
      </c>
    </row>
    <row r="538" spans="1:1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7">
        <v>45902</v>
      </c>
      <c r="G538" s="5" t="s">
        <v>3487</v>
      </c>
      <c r="H538" t="s">
        <v>3501</v>
      </c>
      <c r="I538" t="s">
        <v>100</v>
      </c>
      <c r="J538">
        <v>5263</v>
      </c>
      <c r="K538" t="s">
        <v>3547</v>
      </c>
    </row>
    <row r="539" spans="1:1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3">
        <v>45681</v>
      </c>
      <c r="G539" s="6" t="s">
        <v>1015</v>
      </c>
      <c r="H539" t="s">
        <v>3535</v>
      </c>
      <c r="I539" t="s">
        <v>129</v>
      </c>
      <c r="J539">
        <v>6333</v>
      </c>
      <c r="K539" s="27" t="s">
        <v>3547</v>
      </c>
    </row>
    <row r="540" spans="1:1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3">
        <v>45691</v>
      </c>
      <c r="G540" s="6" t="s">
        <v>1029</v>
      </c>
      <c r="H540" t="s">
        <v>3500</v>
      </c>
      <c r="I540" t="s">
        <v>149</v>
      </c>
      <c r="J540">
        <v>5916</v>
      </c>
      <c r="K540" s="27" t="s">
        <v>3547</v>
      </c>
    </row>
    <row r="541" spans="1:1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7">
        <v>45828</v>
      </c>
      <c r="G541" s="6" t="s">
        <v>1316</v>
      </c>
      <c r="H541" t="s">
        <v>3499</v>
      </c>
      <c r="I541" t="s">
        <v>413</v>
      </c>
      <c r="J541">
        <v>2209</v>
      </c>
      <c r="K541" s="27" t="s">
        <v>3548</v>
      </c>
    </row>
    <row r="542" spans="1:1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7">
        <v>45837</v>
      </c>
      <c r="G542" s="6" t="s">
        <v>1301</v>
      </c>
      <c r="H542" t="s">
        <v>3499</v>
      </c>
      <c r="I542" t="s">
        <v>48</v>
      </c>
      <c r="J542">
        <v>5046</v>
      </c>
      <c r="K542" s="27" t="s">
        <v>3548</v>
      </c>
    </row>
    <row r="543" spans="1:1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7">
        <v>45803</v>
      </c>
      <c r="G543" s="6" t="s">
        <v>1170</v>
      </c>
      <c r="H543" t="s">
        <v>3535</v>
      </c>
      <c r="I543" t="s">
        <v>129</v>
      </c>
      <c r="J543">
        <v>6322</v>
      </c>
      <c r="K543" s="27" t="s">
        <v>3547</v>
      </c>
    </row>
    <row r="544" spans="1:1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7">
        <v>45833</v>
      </c>
      <c r="G544" s="6" t="s">
        <v>1202</v>
      </c>
      <c r="H544" t="s">
        <v>3501</v>
      </c>
      <c r="I544" t="s">
        <v>205</v>
      </c>
      <c r="J544">
        <v>5261</v>
      </c>
      <c r="K544" s="27" t="s">
        <v>3547</v>
      </c>
    </row>
    <row r="545" spans="1:1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7">
        <v>45803</v>
      </c>
      <c r="G545" s="6" t="s">
        <v>1168</v>
      </c>
      <c r="H545" t="s">
        <v>3501</v>
      </c>
      <c r="I545" t="s">
        <v>115</v>
      </c>
      <c r="J545">
        <v>5266</v>
      </c>
      <c r="K545" s="27" t="s">
        <v>3547</v>
      </c>
    </row>
    <row r="546" spans="1:1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3">
        <v>45691</v>
      </c>
      <c r="G546" s="6" t="s">
        <v>1026</v>
      </c>
      <c r="H546" t="s">
        <v>3499</v>
      </c>
      <c r="I546" t="s">
        <v>19</v>
      </c>
      <c r="J546">
        <v>5327</v>
      </c>
      <c r="K546" s="27" t="s">
        <v>3547</v>
      </c>
    </row>
    <row r="547" spans="1:1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7">
        <v>45910</v>
      </c>
      <c r="G547" s="15" t="s">
        <v>3495</v>
      </c>
      <c r="H547" t="s">
        <v>3536</v>
      </c>
      <c r="I547" t="s">
        <v>3496</v>
      </c>
      <c r="J547">
        <v>6369</v>
      </c>
      <c r="K547" s="27" t="s">
        <v>3547</v>
      </c>
    </row>
    <row r="548" spans="1:1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7">
        <v>45909</v>
      </c>
      <c r="G548" s="5" t="s">
        <v>3493</v>
      </c>
      <c r="H548" t="s">
        <v>3535</v>
      </c>
      <c r="I548" t="s">
        <v>75</v>
      </c>
      <c r="J548">
        <v>6331</v>
      </c>
      <c r="K548" s="27" t="s">
        <v>3547</v>
      </c>
    </row>
    <row r="549" spans="1:1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7">
        <v>45897</v>
      </c>
      <c r="G549" s="5" t="s">
        <v>1271</v>
      </c>
      <c r="H549" t="s">
        <v>3535</v>
      </c>
      <c r="I549" t="s">
        <v>199</v>
      </c>
      <c r="J549">
        <v>6332</v>
      </c>
      <c r="K549" s="27" t="s">
        <v>3547</v>
      </c>
    </row>
    <row r="550" spans="1:1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3">
        <v>45722</v>
      </c>
      <c r="G550" s="6" t="s">
        <v>1081</v>
      </c>
      <c r="H550" t="s">
        <v>3535</v>
      </c>
      <c r="I550" t="s">
        <v>72</v>
      </c>
      <c r="J550">
        <v>6314</v>
      </c>
      <c r="K550" s="27" t="s">
        <v>3547</v>
      </c>
    </row>
    <row r="551" spans="1:1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3">
        <v>45749</v>
      </c>
      <c r="G551" s="6" t="s">
        <v>3549</v>
      </c>
      <c r="H551" t="s">
        <v>3535</v>
      </c>
      <c r="I551" t="s">
        <v>31</v>
      </c>
      <c r="J551">
        <v>6324</v>
      </c>
      <c r="K551" s="27" t="s">
        <v>3547</v>
      </c>
    </row>
    <row r="552" spans="1:1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3">
        <v>45694</v>
      </c>
      <c r="G552" s="6" t="s">
        <v>1034</v>
      </c>
      <c r="H552" t="s">
        <v>3535</v>
      </c>
      <c r="I552" t="s">
        <v>121</v>
      </c>
      <c r="J552">
        <v>6317</v>
      </c>
      <c r="K552" s="27" t="s">
        <v>3547</v>
      </c>
    </row>
    <row r="553" spans="1:1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7">
        <v>45863</v>
      </c>
      <c r="G553" s="6" t="s">
        <v>1289</v>
      </c>
      <c r="H553" t="s">
        <v>8</v>
      </c>
      <c r="I553" t="s">
        <v>654</v>
      </c>
      <c r="J553">
        <v>6359</v>
      </c>
      <c r="K553" s="27" t="s">
        <v>3548</v>
      </c>
    </row>
    <row r="554" spans="1:1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7">
        <v>45846</v>
      </c>
      <c r="G554" s="6" t="s">
        <v>1220</v>
      </c>
      <c r="H554" t="s">
        <v>3535</v>
      </c>
      <c r="I554" t="s">
        <v>104</v>
      </c>
      <c r="J554">
        <v>6313</v>
      </c>
      <c r="K554" s="27" t="s">
        <v>3547</v>
      </c>
    </row>
    <row r="555" spans="1:1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3">
        <v>45674</v>
      </c>
      <c r="G555" s="6" t="s">
        <v>1314</v>
      </c>
      <c r="H555" t="s">
        <v>8</v>
      </c>
      <c r="I555" t="s">
        <v>566</v>
      </c>
      <c r="J555">
        <v>6337</v>
      </c>
      <c r="K555" s="27" t="s">
        <v>3548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3">
        <v>45720</v>
      </c>
      <c r="G557" s="6" t="s">
        <v>1074</v>
      </c>
      <c r="H557" t="s">
        <v>3499</v>
      </c>
      <c r="I557" t="s">
        <v>40</v>
      </c>
      <c r="J557">
        <v>2196</v>
      </c>
      <c r="K557" s="27" t="s">
        <v>3547</v>
      </c>
    </row>
    <row r="558" spans="1:1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7">
        <v>45853</v>
      </c>
      <c r="G558" s="6" t="s">
        <v>1232</v>
      </c>
      <c r="H558" t="s">
        <v>3499</v>
      </c>
      <c r="I558" t="s">
        <v>28</v>
      </c>
      <c r="J558">
        <v>5231</v>
      </c>
      <c r="K558" s="27" t="s">
        <v>3547</v>
      </c>
    </row>
    <row r="559" spans="1:1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7">
        <v>45831</v>
      </c>
      <c r="G559" s="6" t="s">
        <v>1198</v>
      </c>
      <c r="H559" t="s">
        <v>3499</v>
      </c>
      <c r="I559" t="s">
        <v>48</v>
      </c>
      <c r="J559">
        <v>5260</v>
      </c>
      <c r="K559" s="27" t="s">
        <v>3547</v>
      </c>
    </row>
    <row r="560" spans="1:1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F560" s="3">
        <v>45667</v>
      </c>
      <c r="G560" s="6" t="s">
        <v>993</v>
      </c>
      <c r="H560" t="s">
        <v>3500</v>
      </c>
      <c r="I560" t="s">
        <v>28</v>
      </c>
      <c r="J560">
        <v>5767</v>
      </c>
      <c r="K560" s="27" t="s">
        <v>3547</v>
      </c>
    </row>
    <row r="561" spans="1:1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7">
        <v>45867</v>
      </c>
      <c r="G561" s="6" t="s">
        <v>1284</v>
      </c>
      <c r="H561" t="s">
        <v>8</v>
      </c>
      <c r="I561" t="s">
        <v>133</v>
      </c>
      <c r="J561">
        <v>6325</v>
      </c>
      <c r="K561" s="27" t="s">
        <v>3548</v>
      </c>
    </row>
    <row r="562" spans="1:1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3">
        <v>45691</v>
      </c>
      <c r="G562" s="6" t="s">
        <v>1027</v>
      </c>
      <c r="H562" t="s">
        <v>3500</v>
      </c>
      <c r="I562" t="s">
        <v>78</v>
      </c>
      <c r="J562">
        <v>5911</v>
      </c>
      <c r="K562" s="27" t="s">
        <v>3547</v>
      </c>
    </row>
    <row r="563" spans="1:1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3">
        <v>45686</v>
      </c>
      <c r="G563" s="6" t="s">
        <v>1019</v>
      </c>
      <c r="H563" t="s">
        <v>3536</v>
      </c>
      <c r="I563" t="s">
        <v>31</v>
      </c>
      <c r="J563">
        <v>6368</v>
      </c>
      <c r="K563" s="27" t="s">
        <v>3547</v>
      </c>
    </row>
    <row r="564" spans="1:1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3">
        <v>45684</v>
      </c>
      <c r="G564" s="6" t="s">
        <v>1291</v>
      </c>
      <c r="H564" t="s">
        <v>8</v>
      </c>
      <c r="I564" t="s">
        <v>81</v>
      </c>
      <c r="J564">
        <v>6303</v>
      </c>
      <c r="K564" s="27" t="s">
        <v>3548</v>
      </c>
    </row>
    <row r="565" spans="1:1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7">
        <v>45839</v>
      </c>
      <c r="G565" s="6" t="s">
        <v>1206</v>
      </c>
      <c r="H565" t="s">
        <v>3535</v>
      </c>
      <c r="I565" t="s">
        <v>69</v>
      </c>
      <c r="J565">
        <v>6319</v>
      </c>
      <c r="K565" s="27" t="s">
        <v>3547</v>
      </c>
    </row>
    <row r="566" spans="1:1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3">
        <v>45678</v>
      </c>
      <c r="G566" s="6" t="s">
        <v>1310</v>
      </c>
      <c r="H566" t="s">
        <v>3499</v>
      </c>
      <c r="I566" t="s">
        <v>1311</v>
      </c>
      <c r="J566">
        <v>5040</v>
      </c>
      <c r="K566" s="27" t="s">
        <v>3548</v>
      </c>
    </row>
    <row r="567" spans="1:1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3">
        <v>45765</v>
      </c>
      <c r="G567" s="6" t="s">
        <v>1128</v>
      </c>
      <c r="H567" t="s">
        <v>3535</v>
      </c>
      <c r="I567" t="s">
        <v>10</v>
      </c>
      <c r="J567">
        <v>6305</v>
      </c>
      <c r="K567" s="27" t="s">
        <v>3547</v>
      </c>
    </row>
    <row r="568" spans="1:1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3">
        <v>45670</v>
      </c>
      <c r="G568" s="6" t="s">
        <v>1298</v>
      </c>
      <c r="H568" t="s">
        <v>3499</v>
      </c>
      <c r="I568" t="s">
        <v>113</v>
      </c>
      <c r="J568">
        <v>5263</v>
      </c>
      <c r="K568" s="27" t="s">
        <v>3548</v>
      </c>
    </row>
    <row r="569" spans="1:1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7">
        <v>45883</v>
      </c>
      <c r="G569" s="5" t="s">
        <v>1258</v>
      </c>
      <c r="H569" t="s">
        <v>3499</v>
      </c>
      <c r="I569" t="s">
        <v>19</v>
      </c>
      <c r="J569">
        <v>5266</v>
      </c>
      <c r="K569" s="27" t="s">
        <v>3547</v>
      </c>
    </row>
    <row r="570" spans="1:1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3">
        <v>45674</v>
      </c>
      <c r="G570" s="6" t="s">
        <v>1006</v>
      </c>
      <c r="H570" t="s">
        <v>3536</v>
      </c>
      <c r="I570" t="s">
        <v>187</v>
      </c>
      <c r="J570">
        <v>6355</v>
      </c>
      <c r="K570" s="27" t="s">
        <v>3547</v>
      </c>
    </row>
    <row r="571" spans="1:1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7">
        <v>45843</v>
      </c>
      <c r="G571" s="6" t="s">
        <v>1213</v>
      </c>
      <c r="H571" t="s">
        <v>3536</v>
      </c>
      <c r="I571" t="s">
        <v>231</v>
      </c>
      <c r="J571">
        <v>6355</v>
      </c>
      <c r="K571" s="27" t="s">
        <v>3547</v>
      </c>
    </row>
    <row r="572" spans="1:1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7">
        <v>45847</v>
      </c>
      <c r="G572" s="6" t="s">
        <v>1221</v>
      </c>
      <c r="H572" t="s">
        <v>3499</v>
      </c>
      <c r="I572" t="s">
        <v>125</v>
      </c>
      <c r="J572">
        <v>2189</v>
      </c>
      <c r="K572" s="27" t="s">
        <v>3547</v>
      </c>
    </row>
    <row r="573" spans="1:1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3">
        <v>45763</v>
      </c>
      <c r="G573" s="6" t="s">
        <v>1294</v>
      </c>
      <c r="H573" t="s">
        <v>3499</v>
      </c>
      <c r="I573" t="s">
        <v>5</v>
      </c>
      <c r="J573">
        <v>5235</v>
      </c>
      <c r="K573" s="27" t="s">
        <v>3548</v>
      </c>
    </row>
    <row r="574" spans="1:1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7">
        <v>45862</v>
      </c>
      <c r="G574" s="6" t="s">
        <v>1242</v>
      </c>
      <c r="H574" t="s">
        <v>3500</v>
      </c>
      <c r="I574" t="s">
        <v>16</v>
      </c>
      <c r="J574">
        <v>5933</v>
      </c>
      <c r="K574" s="27" t="s">
        <v>3547</v>
      </c>
    </row>
    <row r="575" spans="1:1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7">
        <v>45811</v>
      </c>
      <c r="G575" s="6" t="s">
        <v>1179</v>
      </c>
      <c r="H575" t="s">
        <v>3500</v>
      </c>
      <c r="I575" t="s">
        <v>155</v>
      </c>
      <c r="J575">
        <v>5931</v>
      </c>
      <c r="K575" s="27" t="s">
        <v>3547</v>
      </c>
    </row>
    <row r="576" spans="1:1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3">
        <v>45776</v>
      </c>
      <c r="G576" s="6" t="s">
        <v>1143</v>
      </c>
      <c r="H576" t="s">
        <v>3536</v>
      </c>
      <c r="I576" t="s">
        <v>223</v>
      </c>
      <c r="J576">
        <v>6368</v>
      </c>
      <c r="K576" s="27" t="s">
        <v>3547</v>
      </c>
    </row>
    <row r="577" spans="1:1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7">
        <v>45903</v>
      </c>
      <c r="G577" s="5" t="s">
        <v>3497</v>
      </c>
      <c r="H577" t="s">
        <v>3535</v>
      </c>
      <c r="I577" t="s">
        <v>3498</v>
      </c>
      <c r="J577">
        <v>6319</v>
      </c>
      <c r="K577" s="27" t="s">
        <v>3547</v>
      </c>
    </row>
    <row r="578" spans="1:1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7">
        <v>45887</v>
      </c>
      <c r="G578" s="5" t="s">
        <v>1261</v>
      </c>
      <c r="H578" t="s">
        <v>3535</v>
      </c>
      <c r="I578" t="s">
        <v>235</v>
      </c>
      <c r="J578">
        <v>6315</v>
      </c>
      <c r="K578" s="27" t="s">
        <v>3547</v>
      </c>
    </row>
    <row r="579" spans="1:1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3">
        <v>45725</v>
      </c>
      <c r="G579" s="6" t="s">
        <v>1084</v>
      </c>
      <c r="H579" t="s">
        <v>3535</v>
      </c>
      <c r="I579" t="s">
        <v>137</v>
      </c>
      <c r="J579">
        <v>6303</v>
      </c>
      <c r="K579" s="27" t="s">
        <v>3547</v>
      </c>
    </row>
    <row r="580" spans="1:1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3">
        <v>45671</v>
      </c>
      <c r="G580" s="6" t="s">
        <v>1000</v>
      </c>
      <c r="H580" t="s">
        <v>3500</v>
      </c>
      <c r="I580" t="s">
        <v>92</v>
      </c>
      <c r="J580">
        <v>5912</v>
      </c>
      <c r="K580" s="27" t="s">
        <v>3547</v>
      </c>
    </row>
    <row r="581" spans="1:1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3">
        <v>45756</v>
      </c>
      <c r="G581" s="6" t="s">
        <v>1117</v>
      </c>
      <c r="H581" t="s">
        <v>3535</v>
      </c>
      <c r="I581" t="s">
        <v>5</v>
      </c>
      <c r="J581">
        <v>6308</v>
      </c>
      <c r="K581" s="27" t="s">
        <v>3547</v>
      </c>
    </row>
    <row r="582" spans="1:1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3">
        <v>45699</v>
      </c>
      <c r="G582" s="6" t="s">
        <v>1039</v>
      </c>
      <c r="H582" t="s">
        <v>3500</v>
      </c>
      <c r="I582" t="s">
        <v>10</v>
      </c>
      <c r="J582">
        <v>4676</v>
      </c>
      <c r="K582" s="27" t="s">
        <v>3547</v>
      </c>
    </row>
    <row r="583" spans="1:1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3">
        <v>45759</v>
      </c>
      <c r="G583" s="6" t="s">
        <v>1121</v>
      </c>
      <c r="H583" t="s">
        <v>3535</v>
      </c>
      <c r="I583" t="s">
        <v>133</v>
      </c>
      <c r="J583">
        <v>6329</v>
      </c>
      <c r="K583" s="27" t="s">
        <v>3547</v>
      </c>
    </row>
    <row r="584" spans="1:1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7">
        <v>45891</v>
      </c>
      <c r="G584" s="5" t="s">
        <v>1324</v>
      </c>
      <c r="H584" t="s">
        <v>8</v>
      </c>
      <c r="I584" t="s">
        <v>953</v>
      </c>
      <c r="J584">
        <v>6307</v>
      </c>
      <c r="K584" s="27" t="s">
        <v>3548</v>
      </c>
    </row>
    <row r="585" spans="1:1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7">
        <v>45719</v>
      </c>
      <c r="G585" s="6" t="s">
        <v>1073</v>
      </c>
      <c r="H585" t="s">
        <v>3536</v>
      </c>
      <c r="I585" t="s">
        <v>10</v>
      </c>
      <c r="J585">
        <v>6375</v>
      </c>
      <c r="K585" s="27" t="s">
        <v>3547</v>
      </c>
    </row>
    <row r="586" spans="1:1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3">
        <v>45703</v>
      </c>
      <c r="G586" s="6" t="s">
        <v>1048</v>
      </c>
      <c r="H586" t="s">
        <v>3536</v>
      </c>
      <c r="I586" t="s">
        <v>163</v>
      </c>
      <c r="J586">
        <v>6364</v>
      </c>
      <c r="K586" s="27" t="s">
        <v>3547</v>
      </c>
    </row>
    <row r="587" spans="1:1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7">
        <v>45857</v>
      </c>
      <c r="G587" s="6" t="s">
        <v>1235</v>
      </c>
      <c r="H587" t="s">
        <v>3501</v>
      </c>
      <c r="I587" t="s">
        <v>251</v>
      </c>
      <c r="J587">
        <v>5266</v>
      </c>
      <c r="K587" s="27" t="s">
        <v>3547</v>
      </c>
    </row>
    <row r="588" spans="1:1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7">
        <v>45821</v>
      </c>
      <c r="G588" s="6" t="s">
        <v>1190</v>
      </c>
      <c r="H588" t="s">
        <v>3500</v>
      </c>
      <c r="I588" t="s">
        <v>94</v>
      </c>
      <c r="J588">
        <v>5489</v>
      </c>
      <c r="K588" s="27" t="s">
        <v>3548</v>
      </c>
    </row>
    <row r="589" spans="1:1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7">
        <v>45828</v>
      </c>
      <c r="G589" s="6" t="s">
        <v>1192</v>
      </c>
      <c r="H589" t="s">
        <v>3535</v>
      </c>
      <c r="I589" t="s">
        <v>10</v>
      </c>
      <c r="J589">
        <v>6361</v>
      </c>
      <c r="K589" s="27" t="s">
        <v>3547</v>
      </c>
    </row>
    <row r="590" spans="1:1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4">
        <v>45798</v>
      </c>
      <c r="G590" s="6" t="s">
        <v>1302</v>
      </c>
      <c r="H590" t="s">
        <v>3500</v>
      </c>
      <c r="I590" t="s">
        <v>131</v>
      </c>
      <c r="J590">
        <v>5935</v>
      </c>
      <c r="K590" s="27" t="s">
        <v>3548</v>
      </c>
    </row>
    <row r="591" spans="1:1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3">
        <v>45722</v>
      </c>
      <c r="G591" s="6" t="s">
        <v>1079</v>
      </c>
      <c r="H591" t="s">
        <v>3500</v>
      </c>
      <c r="I591" t="s">
        <v>63</v>
      </c>
      <c r="J591">
        <v>5916</v>
      </c>
      <c r="K591" s="27" t="s">
        <v>3547</v>
      </c>
    </row>
    <row r="592" spans="1:1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3">
        <v>45787</v>
      </c>
      <c r="G592" s="6" t="s">
        <v>1155</v>
      </c>
      <c r="H592" t="s">
        <v>3535</v>
      </c>
      <c r="I592" t="s">
        <v>72</v>
      </c>
      <c r="J592">
        <v>6311</v>
      </c>
      <c r="K592" s="27" t="s">
        <v>3547</v>
      </c>
    </row>
    <row r="593" spans="1:1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3">
        <v>45715</v>
      </c>
      <c r="G593" s="6" t="s">
        <v>1313</v>
      </c>
      <c r="H593" t="s">
        <v>8</v>
      </c>
      <c r="I593" t="s">
        <v>654</v>
      </c>
      <c r="J593">
        <v>6320</v>
      </c>
      <c r="K593" s="27" t="s">
        <v>3548</v>
      </c>
    </row>
    <row r="594" spans="1:1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7">
        <v>45842</v>
      </c>
      <c r="G594" s="6" t="s">
        <v>1212</v>
      </c>
      <c r="H594" t="s">
        <v>3499</v>
      </c>
      <c r="I594" t="s">
        <v>523</v>
      </c>
      <c r="J594">
        <v>5046</v>
      </c>
      <c r="K594" s="27" t="s">
        <v>3547</v>
      </c>
    </row>
    <row r="595" spans="1:1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3">
        <v>45698</v>
      </c>
      <c r="G595" s="6" t="s">
        <v>1038</v>
      </c>
      <c r="H595" t="s">
        <v>3536</v>
      </c>
      <c r="I595" t="s">
        <v>221</v>
      </c>
      <c r="J595">
        <v>6369</v>
      </c>
      <c r="K595" s="27" t="s">
        <v>3547</v>
      </c>
    </row>
    <row r="596" spans="1:1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3">
        <v>45725</v>
      </c>
      <c r="G596" s="6" t="s">
        <v>1082</v>
      </c>
      <c r="H596" t="s">
        <v>3499</v>
      </c>
      <c r="I596" t="s">
        <v>151</v>
      </c>
      <c r="J596">
        <v>5040</v>
      </c>
      <c r="K596" s="27" t="s">
        <v>3547</v>
      </c>
    </row>
    <row r="597" spans="1:1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7">
        <v>45836</v>
      </c>
      <c r="G597" s="6" t="s">
        <v>1292</v>
      </c>
      <c r="H597" t="s">
        <v>3500</v>
      </c>
      <c r="I597" t="s">
        <v>1293</v>
      </c>
      <c r="J597">
        <v>5912</v>
      </c>
      <c r="K597" s="27" t="s">
        <v>3548</v>
      </c>
    </row>
    <row r="598" spans="1:1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3">
        <v>45722</v>
      </c>
      <c r="G598" s="6" t="s">
        <v>1078</v>
      </c>
      <c r="H598" t="s">
        <v>3535</v>
      </c>
      <c r="I598" t="s">
        <v>5</v>
      </c>
      <c r="J598">
        <v>6313</v>
      </c>
      <c r="K598" s="27" t="s">
        <v>3547</v>
      </c>
    </row>
    <row r="599" spans="1:1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7">
        <v>45831</v>
      </c>
      <c r="G599" s="6" t="s">
        <v>1281</v>
      </c>
      <c r="H599" t="s">
        <v>8</v>
      </c>
      <c r="I599" t="s">
        <v>725</v>
      </c>
      <c r="J599">
        <v>6368</v>
      </c>
      <c r="K599" s="27" t="s">
        <v>3548</v>
      </c>
    </row>
    <row r="600" spans="1:1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7">
        <v>45791</v>
      </c>
      <c r="G600" s="6" t="s">
        <v>1158</v>
      </c>
      <c r="H600" t="s">
        <v>3499</v>
      </c>
      <c r="I600" t="s">
        <v>13</v>
      </c>
      <c r="J600">
        <v>5231</v>
      </c>
      <c r="K600" s="27" t="s">
        <v>3547</v>
      </c>
    </row>
    <row r="601" spans="1:1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7">
        <v>45813</v>
      </c>
      <c r="G601" s="6" t="s">
        <v>1295</v>
      </c>
      <c r="H601" t="s">
        <v>8</v>
      </c>
      <c r="I601" t="s">
        <v>31</v>
      </c>
      <c r="J601">
        <v>6323</v>
      </c>
      <c r="K601" s="27" t="s">
        <v>3548</v>
      </c>
    </row>
    <row r="602" spans="1:1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3">
        <v>45712</v>
      </c>
      <c r="G602" s="6" t="s">
        <v>1065</v>
      </c>
      <c r="H602" t="s">
        <v>3499</v>
      </c>
      <c r="I602" t="s">
        <v>189</v>
      </c>
      <c r="J602">
        <v>2206</v>
      </c>
      <c r="K602" s="27" t="s">
        <v>3547</v>
      </c>
    </row>
    <row r="603" spans="1:1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7">
        <v>45854</v>
      </c>
      <c r="G603" s="6" t="s">
        <v>1234</v>
      </c>
      <c r="H603" t="s">
        <v>3499</v>
      </c>
      <c r="I603" t="s">
        <v>10</v>
      </c>
      <c r="J603">
        <v>2807</v>
      </c>
      <c r="K603" s="27" t="s">
        <v>3547</v>
      </c>
    </row>
    <row r="604" spans="1:1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7">
        <v>45778</v>
      </c>
      <c r="G604" s="6" t="s">
        <v>1146</v>
      </c>
      <c r="H604" t="s">
        <v>3499</v>
      </c>
      <c r="I604" t="s">
        <v>19</v>
      </c>
      <c r="J604">
        <v>2205</v>
      </c>
      <c r="K604" s="27" t="s">
        <v>3547</v>
      </c>
    </row>
    <row r="605" spans="1:1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3">
        <v>45672</v>
      </c>
      <c r="G605" s="6" t="s">
        <v>1003</v>
      </c>
      <c r="H605" t="s">
        <v>3535</v>
      </c>
      <c r="I605" t="s">
        <v>63</v>
      </c>
      <c r="J605">
        <v>6334</v>
      </c>
      <c r="K605" s="27" t="s">
        <v>3547</v>
      </c>
    </row>
    <row r="606" spans="1:1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3">
        <v>45743</v>
      </c>
      <c r="G606" s="6" t="s">
        <v>1103</v>
      </c>
      <c r="H606" t="s">
        <v>3500</v>
      </c>
      <c r="I606" t="s">
        <v>500</v>
      </c>
      <c r="J606">
        <v>5922</v>
      </c>
      <c r="K606" s="27" t="s">
        <v>3547</v>
      </c>
    </row>
    <row r="607" spans="1:1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7">
        <v>45820</v>
      </c>
      <c r="G607" s="6" t="s">
        <v>1189</v>
      </c>
      <c r="H607" t="s">
        <v>3499</v>
      </c>
      <c r="I607" t="s">
        <v>19</v>
      </c>
      <c r="J607">
        <v>5039</v>
      </c>
      <c r="K607" s="27" t="s">
        <v>3547</v>
      </c>
    </row>
    <row r="608" spans="1:1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3">
        <v>45787</v>
      </c>
      <c r="G608" s="6" t="s">
        <v>1154</v>
      </c>
      <c r="H608" t="s">
        <v>3499</v>
      </c>
      <c r="I608" t="s">
        <v>135</v>
      </c>
      <c r="J608">
        <v>5048</v>
      </c>
      <c r="K608" s="27" t="s">
        <v>3547</v>
      </c>
    </row>
    <row r="609" spans="1:1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3">
        <v>45660</v>
      </c>
      <c r="G609" s="6" t="s">
        <v>984</v>
      </c>
      <c r="H609" t="s">
        <v>3535</v>
      </c>
      <c r="I609" t="s">
        <v>169</v>
      </c>
      <c r="J609">
        <v>6312</v>
      </c>
      <c r="K609" s="27" t="s">
        <v>3547</v>
      </c>
    </row>
    <row r="610" spans="1:1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3">
        <v>45680</v>
      </c>
      <c r="G610" s="6" t="s">
        <v>1013</v>
      </c>
      <c r="H610" t="s">
        <v>3535</v>
      </c>
      <c r="I610" t="s">
        <v>75</v>
      </c>
      <c r="J610">
        <v>6325</v>
      </c>
      <c r="K610" s="27" t="s">
        <v>3547</v>
      </c>
    </row>
    <row r="611" spans="1:1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986</v>
      </c>
      <c r="D611" t="s">
        <v>987</v>
      </c>
      <c r="E611" t="s">
        <v>76</v>
      </c>
      <c r="F611" s="3">
        <v>45660</v>
      </c>
      <c r="G611" s="6" t="s">
        <v>988</v>
      </c>
      <c r="H611" t="s">
        <v>3500</v>
      </c>
      <c r="I611" t="s">
        <v>16</v>
      </c>
      <c r="J611">
        <v>5934</v>
      </c>
      <c r="K611" s="27" t="s">
        <v>3547</v>
      </c>
    </row>
    <row r="612" spans="1:1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3">
        <v>45737</v>
      </c>
      <c r="G612" s="6" t="s">
        <v>1299</v>
      </c>
      <c r="H612" t="s">
        <v>3499</v>
      </c>
      <c r="I612" t="s">
        <v>1300</v>
      </c>
      <c r="J612">
        <v>2197</v>
      </c>
      <c r="K612" s="27" t="s">
        <v>3548</v>
      </c>
    </row>
    <row r="613" spans="1:1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7">
        <v>45848</v>
      </c>
      <c r="G613" s="6" t="s">
        <v>1223</v>
      </c>
      <c r="H613" t="s">
        <v>3499</v>
      </c>
      <c r="I613" t="s">
        <v>16</v>
      </c>
      <c r="J613">
        <v>2196</v>
      </c>
      <c r="K613" s="27" t="s">
        <v>3547</v>
      </c>
    </row>
    <row r="614" spans="1:1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3">
        <v>45745</v>
      </c>
      <c r="G614" s="6" t="s">
        <v>1107</v>
      </c>
      <c r="H614" t="s">
        <v>3500</v>
      </c>
      <c r="I614" t="s">
        <v>10</v>
      </c>
      <c r="J614">
        <v>5918</v>
      </c>
      <c r="K614" s="27" t="s">
        <v>3547</v>
      </c>
    </row>
    <row r="615" spans="1:1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7">
        <v>45845</v>
      </c>
      <c r="G615" s="6" t="s">
        <v>1215</v>
      </c>
      <c r="H615" t="s">
        <v>3499</v>
      </c>
      <c r="I615" t="s">
        <v>19</v>
      </c>
      <c r="J615">
        <v>2198</v>
      </c>
      <c r="K615" s="27" t="s">
        <v>3547</v>
      </c>
    </row>
    <row r="616" spans="1:1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7">
        <v>45848</v>
      </c>
      <c r="G616" s="6" t="s">
        <v>1226</v>
      </c>
      <c r="H616" t="s">
        <v>3536</v>
      </c>
      <c r="I616" t="s">
        <v>181</v>
      </c>
      <c r="J616">
        <v>6355</v>
      </c>
      <c r="K616" s="27" t="s">
        <v>3547</v>
      </c>
    </row>
    <row r="617" spans="1:1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3">
        <v>45773</v>
      </c>
      <c r="G617" s="6" t="s">
        <v>1323</v>
      </c>
      <c r="H617" t="s">
        <v>8</v>
      </c>
      <c r="I617" t="s">
        <v>5</v>
      </c>
      <c r="J617">
        <v>6372</v>
      </c>
      <c r="K617" s="27" t="s">
        <v>3548</v>
      </c>
    </row>
    <row r="618" spans="1:1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3">
        <v>45722</v>
      </c>
      <c r="G618" s="6" t="s">
        <v>1080</v>
      </c>
      <c r="H618" t="s">
        <v>3500</v>
      </c>
      <c r="I618" t="s">
        <v>10</v>
      </c>
      <c r="J618">
        <v>5911</v>
      </c>
      <c r="K618" s="27" t="s">
        <v>3547</v>
      </c>
    </row>
    <row r="619" spans="1:1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3">
        <v>45766</v>
      </c>
      <c r="G619" s="6" t="s">
        <v>1131</v>
      </c>
      <c r="H619" t="s">
        <v>3500</v>
      </c>
      <c r="I619" t="s">
        <v>13</v>
      </c>
      <c r="J619">
        <v>5918</v>
      </c>
      <c r="K619" s="27" t="s">
        <v>3547</v>
      </c>
    </row>
    <row r="620" spans="1:1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3">
        <v>45711</v>
      </c>
      <c r="G620" s="6" t="s">
        <v>1063</v>
      </c>
      <c r="H620" t="s">
        <v>3500</v>
      </c>
      <c r="I620" t="s">
        <v>28</v>
      </c>
      <c r="J620">
        <v>5771</v>
      </c>
      <c r="K620" s="27" t="s">
        <v>3547</v>
      </c>
    </row>
    <row r="621" spans="1:1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7">
        <v>45839</v>
      </c>
      <c r="G621" s="6" t="s">
        <v>1208</v>
      </c>
      <c r="H621" t="s">
        <v>3499</v>
      </c>
      <c r="I621" t="s">
        <v>66</v>
      </c>
      <c r="J621">
        <v>5264</v>
      </c>
      <c r="K621" s="27" t="s">
        <v>3547</v>
      </c>
    </row>
    <row r="622" spans="1:1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3">
        <v>45737</v>
      </c>
      <c r="G622" s="6" t="s">
        <v>1099</v>
      </c>
      <c r="H622" t="s">
        <v>3500</v>
      </c>
      <c r="I622" t="s">
        <v>60</v>
      </c>
      <c r="J622">
        <v>5922</v>
      </c>
      <c r="K622" s="27" t="s">
        <v>3547</v>
      </c>
    </row>
    <row r="623" spans="1:1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3">
        <v>45749</v>
      </c>
      <c r="G623" s="6" t="s">
        <v>1108</v>
      </c>
      <c r="H623" t="s">
        <v>3535</v>
      </c>
      <c r="I623" t="s">
        <v>46</v>
      </c>
      <c r="J623">
        <v>6929</v>
      </c>
      <c r="K623" s="27" t="s">
        <v>3547</v>
      </c>
    </row>
    <row r="624" spans="1:1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3">
        <v>45751</v>
      </c>
      <c r="G624" s="6" t="s">
        <v>1111</v>
      </c>
      <c r="H624" t="s">
        <v>3501</v>
      </c>
      <c r="I624" t="s">
        <v>43</v>
      </c>
      <c r="J624">
        <v>2198</v>
      </c>
      <c r="K624" s="27" t="s">
        <v>3547</v>
      </c>
    </row>
    <row r="625" spans="1:1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3">
        <v>45773</v>
      </c>
      <c r="G625" s="6" t="s">
        <v>1139</v>
      </c>
      <c r="H625" t="s">
        <v>3501</v>
      </c>
      <c r="I625" t="s">
        <v>139</v>
      </c>
      <c r="J625">
        <v>2198</v>
      </c>
      <c r="K625" s="27" t="s">
        <v>3547</v>
      </c>
    </row>
    <row r="626" spans="1:1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7">
        <v>45904</v>
      </c>
      <c r="G626" s="5" t="s">
        <v>3486</v>
      </c>
      <c r="H626" t="s">
        <v>3535</v>
      </c>
      <c r="I626" t="s">
        <v>5</v>
      </c>
      <c r="J626">
        <v>6316</v>
      </c>
      <c r="K626" s="27" t="s">
        <v>3547</v>
      </c>
    </row>
    <row r="627" spans="1:1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3">
        <v>45686</v>
      </c>
      <c r="G627" s="6" t="s">
        <v>1021</v>
      </c>
      <c r="H627" t="s">
        <v>3500</v>
      </c>
      <c r="I627" t="s">
        <v>215</v>
      </c>
      <c r="J627">
        <v>5763</v>
      </c>
      <c r="K627" s="27" t="s">
        <v>3547</v>
      </c>
    </row>
    <row r="628" spans="1:1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7">
        <v>45781</v>
      </c>
      <c r="G628" s="6" t="s">
        <v>1149</v>
      </c>
      <c r="H628" t="s">
        <v>3535</v>
      </c>
      <c r="I628" t="s">
        <v>5</v>
      </c>
      <c r="J628">
        <v>6325</v>
      </c>
      <c r="K628" s="27" t="s">
        <v>3547</v>
      </c>
    </row>
    <row r="629" spans="1:1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3">
        <v>45771</v>
      </c>
      <c r="G629" s="6" t="s">
        <v>1137</v>
      </c>
      <c r="H629" t="s">
        <v>3500</v>
      </c>
      <c r="I629" t="s">
        <v>66</v>
      </c>
      <c r="J629">
        <v>5917</v>
      </c>
      <c r="K629" s="27" t="s">
        <v>3547</v>
      </c>
    </row>
    <row r="630" spans="1:1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3">
        <v>45677</v>
      </c>
      <c r="G630" s="6" t="s">
        <v>1007</v>
      </c>
      <c r="H630" t="s">
        <v>3535</v>
      </c>
      <c r="I630" t="s">
        <v>31</v>
      </c>
      <c r="J630">
        <v>6327</v>
      </c>
      <c r="K630" s="27" t="s">
        <v>3547</v>
      </c>
    </row>
    <row r="631" spans="1:1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3">
        <v>45669</v>
      </c>
      <c r="G631" s="6" t="s">
        <v>996</v>
      </c>
      <c r="H631" t="s">
        <v>3501</v>
      </c>
      <c r="I631" t="s">
        <v>249</v>
      </c>
      <c r="J631">
        <v>5267</v>
      </c>
      <c r="K631" s="27" t="s">
        <v>3547</v>
      </c>
    </row>
    <row r="632" spans="1:1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3">
        <v>45721</v>
      </c>
      <c r="G632" s="6" t="s">
        <v>1075</v>
      </c>
      <c r="H632" t="s">
        <v>3500</v>
      </c>
      <c r="I632" t="s">
        <v>127</v>
      </c>
      <c r="J632">
        <v>5911</v>
      </c>
      <c r="K632" s="27" t="s">
        <v>3547</v>
      </c>
    </row>
    <row r="633" spans="1:1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7">
        <v>45895</v>
      </c>
      <c r="G633" s="5" t="s">
        <v>1269</v>
      </c>
      <c r="H633" t="s">
        <v>3535</v>
      </c>
      <c r="I633" t="s">
        <v>5</v>
      </c>
      <c r="J633">
        <v>6308</v>
      </c>
      <c r="K633" s="27" t="s">
        <v>3547</v>
      </c>
    </row>
    <row r="634" spans="1:1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3">
        <v>45757</v>
      </c>
      <c r="G634" s="6" t="s">
        <v>1118</v>
      </c>
      <c r="H634" t="s">
        <v>3536</v>
      </c>
      <c r="I634" t="s">
        <v>275</v>
      </c>
      <c r="J634">
        <v>6364</v>
      </c>
      <c r="K634" s="27" t="s">
        <v>3547</v>
      </c>
    </row>
    <row r="635" spans="1:1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3">
        <v>45679</v>
      </c>
      <c r="G635" s="6" t="s">
        <v>1012</v>
      </c>
      <c r="H635" t="s">
        <v>3535</v>
      </c>
      <c r="I635" t="s">
        <v>159</v>
      </c>
      <c r="J635">
        <v>6324</v>
      </c>
      <c r="K635" s="27" t="s">
        <v>3547</v>
      </c>
    </row>
    <row r="636" spans="1:1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3">
        <v>45763</v>
      </c>
      <c r="G636" s="6" t="s">
        <v>1124</v>
      </c>
      <c r="H636" t="s">
        <v>3536</v>
      </c>
      <c r="I636" t="s">
        <v>46</v>
      </c>
      <c r="J636">
        <v>6357</v>
      </c>
      <c r="K636" s="27" t="s">
        <v>3547</v>
      </c>
    </row>
    <row r="637" spans="1:1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3">
        <v>45735</v>
      </c>
      <c r="G637" s="6" t="s">
        <v>1097</v>
      </c>
      <c r="H637" t="s">
        <v>3500</v>
      </c>
      <c r="I637" t="s">
        <v>153</v>
      </c>
      <c r="J637">
        <v>5924</v>
      </c>
      <c r="K637" s="27" t="s">
        <v>3547</v>
      </c>
    </row>
    <row r="638" spans="1:1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3">
        <v>45734</v>
      </c>
      <c r="G638" s="6" t="s">
        <v>1095</v>
      </c>
      <c r="H638" t="s">
        <v>3500</v>
      </c>
      <c r="I638" t="s">
        <v>78</v>
      </c>
      <c r="J638">
        <v>5922</v>
      </c>
      <c r="K638" s="27" t="s">
        <v>3547</v>
      </c>
    </row>
    <row r="639" spans="1:1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3">
        <v>45729</v>
      </c>
      <c r="G639" s="6" t="s">
        <v>1089</v>
      </c>
      <c r="H639" t="s">
        <v>3501</v>
      </c>
      <c r="I639" t="s">
        <v>115</v>
      </c>
      <c r="J639">
        <v>5240</v>
      </c>
      <c r="K639" s="27" t="s">
        <v>3547</v>
      </c>
    </row>
    <row r="640" spans="1:1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3">
        <v>45680</v>
      </c>
      <c r="G640" s="6" t="s">
        <v>1014</v>
      </c>
      <c r="H640" t="s">
        <v>3535</v>
      </c>
      <c r="I640" t="s">
        <v>171</v>
      </c>
      <c r="J640">
        <v>6320</v>
      </c>
      <c r="K640" s="27" t="s">
        <v>3547</v>
      </c>
    </row>
    <row r="641" spans="1:1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7">
        <v>45861</v>
      </c>
      <c r="G641" s="6" t="s">
        <v>1240</v>
      </c>
      <c r="H641" t="s">
        <v>3535</v>
      </c>
      <c r="I641" t="s">
        <v>267</v>
      </c>
      <c r="J641">
        <v>6323</v>
      </c>
      <c r="K641" s="27" t="s">
        <v>3547</v>
      </c>
    </row>
    <row r="642" spans="1:1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3">
        <v>45713</v>
      </c>
      <c r="G642" s="6" t="s">
        <v>1066</v>
      </c>
      <c r="H642" t="s">
        <v>3499</v>
      </c>
      <c r="I642" t="s">
        <v>108</v>
      </c>
      <c r="J642">
        <v>5914</v>
      </c>
      <c r="K642" s="27" t="s">
        <v>3547</v>
      </c>
    </row>
    <row r="643" spans="1:1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3">
        <v>45735</v>
      </c>
      <c r="G643" s="6" t="s">
        <v>1096</v>
      </c>
      <c r="H643" t="s">
        <v>3500</v>
      </c>
      <c r="I643" t="s">
        <v>255</v>
      </c>
      <c r="J643">
        <v>4665</v>
      </c>
      <c r="K643" s="27" t="s">
        <v>3547</v>
      </c>
    </row>
    <row r="644" spans="1:1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3">
        <v>45706</v>
      </c>
      <c r="G644" s="6" t="s">
        <v>1322</v>
      </c>
      <c r="H644" t="s">
        <v>3500</v>
      </c>
      <c r="I644" t="s">
        <v>219</v>
      </c>
      <c r="J644">
        <v>5912</v>
      </c>
      <c r="K644" s="27" t="s">
        <v>3548</v>
      </c>
    </row>
    <row r="645" spans="1:1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3">
        <v>45685</v>
      </c>
      <c r="G645" s="6" t="s">
        <v>1018</v>
      </c>
      <c r="H645" t="s">
        <v>3499</v>
      </c>
      <c r="I645" t="s">
        <v>22</v>
      </c>
      <c r="J645">
        <v>5235</v>
      </c>
      <c r="K645" s="27" t="s">
        <v>3547</v>
      </c>
    </row>
    <row r="646" spans="1:1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3">
        <v>45731</v>
      </c>
      <c r="G646" s="6" t="s">
        <v>1307</v>
      </c>
      <c r="H646" t="s">
        <v>8</v>
      </c>
      <c r="I646" t="s">
        <v>953</v>
      </c>
      <c r="J646">
        <v>6326</v>
      </c>
      <c r="K646" s="27" t="s">
        <v>3548</v>
      </c>
    </row>
    <row r="647" spans="1:1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3">
        <v>45675</v>
      </c>
      <c r="G647" s="6" t="s">
        <v>1315</v>
      </c>
      <c r="H647" t="s">
        <v>8</v>
      </c>
      <c r="I647" t="s">
        <v>72</v>
      </c>
      <c r="J647">
        <v>6356</v>
      </c>
      <c r="K647" s="27" t="s">
        <v>3548</v>
      </c>
    </row>
    <row r="648" spans="1:1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3">
        <v>45755</v>
      </c>
      <c r="G648" s="6" t="s">
        <v>1113</v>
      </c>
      <c r="H648" t="s">
        <v>3535</v>
      </c>
      <c r="I648" t="s">
        <v>69</v>
      </c>
      <c r="J648">
        <v>6306</v>
      </c>
      <c r="K648" s="27" t="s">
        <v>3547</v>
      </c>
    </row>
    <row r="649" spans="1:1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3">
        <v>45758</v>
      </c>
      <c r="G649" s="6" t="s">
        <v>1119</v>
      </c>
      <c r="H649" t="s">
        <v>3499</v>
      </c>
      <c r="I649" t="s">
        <v>13</v>
      </c>
      <c r="J649">
        <v>5238</v>
      </c>
      <c r="K649" s="27" t="s">
        <v>3547</v>
      </c>
    </row>
    <row r="650" spans="1:1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3">
        <v>45726</v>
      </c>
      <c r="G650" s="6" t="s">
        <v>1085</v>
      </c>
      <c r="H650" t="s">
        <v>3500</v>
      </c>
      <c r="I650" t="s">
        <v>46</v>
      </c>
      <c r="J650">
        <v>5938</v>
      </c>
      <c r="K650" s="27" t="s">
        <v>3547</v>
      </c>
    </row>
    <row r="651" spans="1:1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7">
        <v>45874</v>
      </c>
      <c r="G651" s="15" t="s">
        <v>1321</v>
      </c>
      <c r="H651" t="s">
        <v>3499</v>
      </c>
      <c r="I651" t="s">
        <v>51</v>
      </c>
      <c r="J651">
        <v>5042</v>
      </c>
      <c r="K651" s="27" t="s">
        <v>3548</v>
      </c>
    </row>
    <row r="652" spans="1:1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7">
        <v>45811</v>
      </c>
      <c r="G652" s="6" t="s">
        <v>1180</v>
      </c>
      <c r="H652" t="s">
        <v>3536</v>
      </c>
      <c r="I652" t="s">
        <v>81</v>
      </c>
      <c r="J652">
        <v>6356</v>
      </c>
      <c r="K652" s="27" t="s">
        <v>3547</v>
      </c>
    </row>
    <row r="653" spans="1:1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3">
        <v>45660</v>
      </c>
      <c r="G653" s="6" t="s">
        <v>985</v>
      </c>
      <c r="H653" t="s">
        <v>3499</v>
      </c>
      <c r="I653" t="s">
        <v>19</v>
      </c>
      <c r="J653">
        <v>5048</v>
      </c>
      <c r="K653" s="27" t="s">
        <v>3547</v>
      </c>
    </row>
    <row r="654" spans="1:1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3">
        <v>45744</v>
      </c>
      <c r="G654" s="6" t="s">
        <v>1105</v>
      </c>
      <c r="H654" t="s">
        <v>3536</v>
      </c>
      <c r="I654" t="s">
        <v>63</v>
      </c>
      <c r="J654">
        <v>6370</v>
      </c>
      <c r="K654" s="27" t="s">
        <v>3547</v>
      </c>
    </row>
    <row r="655" spans="1:1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7">
        <v>45828</v>
      </c>
      <c r="G655" s="6" t="s">
        <v>1191</v>
      </c>
      <c r="H655" t="s">
        <v>3536</v>
      </c>
      <c r="I655" t="s">
        <v>301</v>
      </c>
      <c r="J655">
        <v>6364</v>
      </c>
      <c r="K655" s="27" t="s">
        <v>3547</v>
      </c>
    </row>
    <row r="656" spans="1:1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3">
        <v>45660</v>
      </c>
      <c r="G656" s="6" t="s">
        <v>1276</v>
      </c>
      <c r="H656" t="s">
        <v>8</v>
      </c>
      <c r="I656" t="s">
        <v>235</v>
      </c>
      <c r="J656">
        <v>6311</v>
      </c>
      <c r="K656" s="27" t="s">
        <v>3548</v>
      </c>
    </row>
    <row r="657" spans="1:1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7">
        <v>45851</v>
      </c>
      <c r="G657" s="6" t="s">
        <v>1229</v>
      </c>
      <c r="H657" t="s">
        <v>3500</v>
      </c>
      <c r="I657" t="s">
        <v>201</v>
      </c>
      <c r="J657">
        <v>5763</v>
      </c>
      <c r="K657" s="27" t="s">
        <v>3547</v>
      </c>
    </row>
    <row r="658" spans="1:1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7">
        <v>45792</v>
      </c>
      <c r="G658" s="6" t="s">
        <v>1160</v>
      </c>
      <c r="H658" t="s">
        <v>3536</v>
      </c>
      <c r="I658" t="s">
        <v>10</v>
      </c>
      <c r="J658">
        <v>6367</v>
      </c>
      <c r="K658" s="27" t="s">
        <v>3547</v>
      </c>
    </row>
    <row r="659" spans="1:1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3">
        <v>45669</v>
      </c>
      <c r="G659" s="6" t="s">
        <v>997</v>
      </c>
      <c r="H659" t="s">
        <v>3499</v>
      </c>
      <c r="I659" t="s">
        <v>13</v>
      </c>
      <c r="J659">
        <v>5328</v>
      </c>
      <c r="K659" s="27" t="s">
        <v>3547</v>
      </c>
    </row>
    <row r="660" spans="1:1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3">
        <v>45803</v>
      </c>
      <c r="G660" s="6" t="s">
        <v>1169</v>
      </c>
      <c r="H660" t="s">
        <v>3535</v>
      </c>
      <c r="I660" t="s">
        <v>75</v>
      </c>
      <c r="J660">
        <v>6314</v>
      </c>
      <c r="K660" s="27" t="s">
        <v>3547</v>
      </c>
    </row>
    <row r="661" spans="1:1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7">
        <v>45819</v>
      </c>
      <c r="G661" s="6" t="s">
        <v>1187</v>
      </c>
      <c r="H661" t="s">
        <v>3500</v>
      </c>
      <c r="I661" t="s">
        <v>86</v>
      </c>
      <c r="J661">
        <v>5934</v>
      </c>
      <c r="K661" s="27" t="s">
        <v>3547</v>
      </c>
    </row>
    <row r="662" spans="1:1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7">
        <v>45770</v>
      </c>
      <c r="G662" s="6" t="s">
        <v>1135</v>
      </c>
      <c r="H662" t="s">
        <v>3535</v>
      </c>
      <c r="I662" t="s">
        <v>31</v>
      </c>
      <c r="J662">
        <v>6313</v>
      </c>
      <c r="K662" s="27" t="s">
        <v>3547</v>
      </c>
    </row>
    <row r="663" spans="1:1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3">
        <v>45667</v>
      </c>
      <c r="G663" s="6" t="s">
        <v>995</v>
      </c>
      <c r="H663" t="s">
        <v>3536</v>
      </c>
      <c r="I663" t="s">
        <v>297</v>
      </c>
      <c r="J663">
        <v>6366</v>
      </c>
      <c r="K663" s="27" t="s">
        <v>3547</v>
      </c>
    </row>
    <row r="664" spans="1:1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7">
        <v>45828</v>
      </c>
      <c r="G664" s="6" t="s">
        <v>1193</v>
      </c>
      <c r="H664" t="s">
        <v>3535</v>
      </c>
      <c r="I664" t="s">
        <v>31</v>
      </c>
      <c r="J664">
        <v>6321</v>
      </c>
      <c r="K664" s="27" t="s">
        <v>3547</v>
      </c>
    </row>
    <row r="665" spans="1:1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3">
        <v>45744</v>
      </c>
      <c r="G665" s="6" t="s">
        <v>1106</v>
      </c>
      <c r="H665" t="s">
        <v>3535</v>
      </c>
      <c r="I665" t="s">
        <v>167</v>
      </c>
      <c r="J665">
        <v>6325</v>
      </c>
      <c r="K665" s="27" t="s">
        <v>3547</v>
      </c>
    </row>
    <row r="666" spans="1:1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3">
        <v>45708</v>
      </c>
      <c r="G666" s="6" t="s">
        <v>1054</v>
      </c>
      <c r="H666" t="s">
        <v>3535</v>
      </c>
      <c r="I666" t="s">
        <v>5</v>
      </c>
      <c r="J666">
        <v>6333</v>
      </c>
      <c r="K666" s="27" t="s">
        <v>3547</v>
      </c>
    </row>
    <row r="667" spans="1:1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7">
        <v>45852</v>
      </c>
      <c r="G667" s="6" t="s">
        <v>1231</v>
      </c>
      <c r="H667" t="s">
        <v>3536</v>
      </c>
      <c r="I667" t="s">
        <v>69</v>
      </c>
      <c r="J667">
        <v>6353</v>
      </c>
      <c r="K667" s="27" t="s">
        <v>3547</v>
      </c>
    </row>
    <row r="668" spans="1:1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7">
        <v>45829</v>
      </c>
      <c r="G668" s="6" t="s">
        <v>1195</v>
      </c>
      <c r="H668" t="s">
        <v>3500</v>
      </c>
      <c r="I668" t="s">
        <v>259</v>
      </c>
      <c r="J668">
        <v>5910</v>
      </c>
      <c r="K668" s="27" t="s">
        <v>3547</v>
      </c>
    </row>
    <row r="669" spans="1:1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3">
        <v>45673</v>
      </c>
      <c r="G669" s="6" t="s">
        <v>1004</v>
      </c>
      <c r="H669" t="s">
        <v>3536</v>
      </c>
      <c r="I669" t="s">
        <v>5</v>
      </c>
      <c r="J669">
        <v>6357</v>
      </c>
      <c r="K669" s="27" t="s">
        <v>3547</v>
      </c>
    </row>
    <row r="670" spans="1:1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3">
        <v>45671</v>
      </c>
      <c r="G670" s="6" t="s">
        <v>999</v>
      </c>
      <c r="H670" t="s">
        <v>3500</v>
      </c>
      <c r="I670" t="s">
        <v>22</v>
      </c>
      <c r="J670">
        <v>5927</v>
      </c>
      <c r="K670" s="27" t="s">
        <v>3547</v>
      </c>
    </row>
    <row r="671" spans="1:1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7">
        <v>45814</v>
      </c>
      <c r="G671" s="6" t="s">
        <v>1184</v>
      </c>
      <c r="H671" t="s">
        <v>3536</v>
      </c>
      <c r="I671" t="s">
        <v>72</v>
      </c>
      <c r="J671">
        <v>6374</v>
      </c>
      <c r="K671" s="27" t="s">
        <v>3547</v>
      </c>
    </row>
    <row r="672" spans="1:1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3">
        <v>45733</v>
      </c>
      <c r="G672" s="6" t="s">
        <v>1091</v>
      </c>
      <c r="H672" t="s">
        <v>3535</v>
      </c>
      <c r="I672" t="s">
        <v>104</v>
      </c>
      <c r="J672">
        <v>6331</v>
      </c>
      <c r="K672" s="27" t="s">
        <v>3547</v>
      </c>
    </row>
    <row r="673" spans="1:1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3">
        <v>45688</v>
      </c>
      <c r="G673" s="6" t="s">
        <v>1023</v>
      </c>
      <c r="H673" t="s">
        <v>3500</v>
      </c>
      <c r="I673" t="s">
        <v>13</v>
      </c>
      <c r="J673">
        <v>5053</v>
      </c>
      <c r="K673" s="27" t="s">
        <v>3547</v>
      </c>
    </row>
    <row r="674" spans="1:1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3">
        <v>45684</v>
      </c>
      <c r="G674" s="6" t="s">
        <v>1016</v>
      </c>
      <c r="H674" t="s">
        <v>3501</v>
      </c>
      <c r="I674" t="s">
        <v>81</v>
      </c>
      <c r="J674">
        <v>5267</v>
      </c>
      <c r="K674" s="27" t="s">
        <v>3547</v>
      </c>
    </row>
    <row r="675" spans="1:1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3">
        <v>45661</v>
      </c>
      <c r="G675" t="s">
        <v>990</v>
      </c>
      <c r="H675" t="s">
        <v>3500</v>
      </c>
      <c r="J675">
        <v>0</v>
      </c>
      <c r="K675" s="27" t="s">
        <v>3547</v>
      </c>
    </row>
    <row r="676" spans="1:1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3">
        <v>45759</v>
      </c>
      <c r="G676" s="6" t="s">
        <v>1122</v>
      </c>
      <c r="H676" t="s">
        <v>3501</v>
      </c>
      <c r="I676" t="s">
        <v>500</v>
      </c>
      <c r="J676">
        <v>5229</v>
      </c>
      <c r="K676" s="27" t="s">
        <v>3547</v>
      </c>
    </row>
    <row r="677" spans="1:1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3">
        <v>45770</v>
      </c>
      <c r="G677" s="6" t="s">
        <v>1134</v>
      </c>
      <c r="H677" t="s">
        <v>3535</v>
      </c>
      <c r="I677" t="s">
        <v>279</v>
      </c>
      <c r="J677">
        <v>6320</v>
      </c>
      <c r="K677" s="27" t="s">
        <v>3547</v>
      </c>
    </row>
    <row r="678" spans="1:1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3">
        <v>45742</v>
      </c>
      <c r="G678" s="6" t="s">
        <v>1101</v>
      </c>
      <c r="H678" t="s">
        <v>3501</v>
      </c>
      <c r="I678" t="s">
        <v>48</v>
      </c>
      <c r="J678">
        <v>5266</v>
      </c>
      <c r="K678" s="27" t="s">
        <v>3547</v>
      </c>
    </row>
    <row r="679" spans="1:1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7">
        <v>45815</v>
      </c>
      <c r="G679" s="6" t="s">
        <v>1185</v>
      </c>
      <c r="H679" t="s">
        <v>3535</v>
      </c>
      <c r="I679" t="s">
        <v>10</v>
      </c>
      <c r="J679">
        <v>6329</v>
      </c>
      <c r="K679" s="27" t="s">
        <v>3547</v>
      </c>
    </row>
    <row r="680" spans="1:1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7">
        <v>45876</v>
      </c>
      <c r="G680" s="15" t="s">
        <v>1255</v>
      </c>
      <c r="H680" t="s">
        <v>3501</v>
      </c>
      <c r="I680" t="s">
        <v>34</v>
      </c>
      <c r="J680">
        <v>5053</v>
      </c>
      <c r="K680" s="27" t="s">
        <v>3547</v>
      </c>
    </row>
    <row r="681" spans="1:1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7">
        <v>45866</v>
      </c>
      <c r="G681" s="6" t="s">
        <v>1245</v>
      </c>
      <c r="H681" t="s">
        <v>3501</v>
      </c>
      <c r="I681" t="s">
        <v>19</v>
      </c>
      <c r="J681">
        <v>2195</v>
      </c>
      <c r="K681" s="27" t="s">
        <v>3547</v>
      </c>
    </row>
    <row r="682" spans="1:1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7">
        <v>45874</v>
      </c>
      <c r="G682" s="15" t="s">
        <v>1253</v>
      </c>
      <c r="H682" t="s">
        <v>3536</v>
      </c>
      <c r="I682" t="s">
        <v>10</v>
      </c>
      <c r="J682">
        <v>6372</v>
      </c>
      <c r="K682" s="27" t="s">
        <v>3547</v>
      </c>
    </row>
    <row r="683" spans="1:1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7">
        <v>45845</v>
      </c>
      <c r="G683" s="6" t="s">
        <v>1219</v>
      </c>
      <c r="H683" t="s">
        <v>3500</v>
      </c>
      <c r="I683" t="s">
        <v>106</v>
      </c>
      <c r="J683">
        <v>5486</v>
      </c>
      <c r="K683" s="27" t="s">
        <v>3547</v>
      </c>
    </row>
    <row r="684" spans="1:1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3">
        <v>45702</v>
      </c>
      <c r="G684" s="6" t="s">
        <v>1045</v>
      </c>
      <c r="H684" t="s">
        <v>3535</v>
      </c>
      <c r="I684" t="s">
        <v>88</v>
      </c>
      <c r="J684">
        <v>6322</v>
      </c>
      <c r="K684" s="27" t="s">
        <v>3547</v>
      </c>
    </row>
    <row r="685" spans="1:1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3">
        <v>45690</v>
      </c>
      <c r="G685" s="6" t="s">
        <v>1025</v>
      </c>
      <c r="H685" t="s">
        <v>3535</v>
      </c>
      <c r="I685" t="s">
        <v>5</v>
      </c>
      <c r="J685">
        <v>6327</v>
      </c>
      <c r="K685" s="27" t="s">
        <v>3547</v>
      </c>
    </row>
    <row r="686" spans="1:1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3">
        <v>45710</v>
      </c>
      <c r="G686" s="6" t="s">
        <v>1059</v>
      </c>
      <c r="H686" t="s">
        <v>3501</v>
      </c>
      <c r="I686" t="s">
        <v>500</v>
      </c>
      <c r="J686">
        <v>5043</v>
      </c>
      <c r="K686" s="27" t="s">
        <v>3547</v>
      </c>
    </row>
    <row r="687" spans="1:1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3">
        <v>45706</v>
      </c>
      <c r="G687" s="6" t="s">
        <v>1278</v>
      </c>
      <c r="H687" t="s">
        <v>3501</v>
      </c>
      <c r="I687" t="s">
        <v>1279</v>
      </c>
      <c r="J687">
        <v>2200</v>
      </c>
      <c r="K687" s="27" t="s">
        <v>3548</v>
      </c>
    </row>
    <row r="688" spans="1:1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7">
        <v>45840</v>
      </c>
      <c r="G688" s="6" t="s">
        <v>1209</v>
      </c>
      <c r="H688" t="s">
        <v>3536</v>
      </c>
      <c r="I688" t="s">
        <v>46</v>
      </c>
      <c r="J688">
        <v>6362</v>
      </c>
      <c r="K688" s="27" t="s">
        <v>3547</v>
      </c>
    </row>
    <row r="689" spans="1:1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3">
        <v>45703</v>
      </c>
      <c r="G689" s="6" t="s">
        <v>1304</v>
      </c>
      <c r="H689" t="s">
        <v>3501</v>
      </c>
      <c r="I689" t="s">
        <v>106</v>
      </c>
      <c r="J689">
        <v>2208</v>
      </c>
      <c r="K689" s="27" t="s">
        <v>3548</v>
      </c>
    </row>
    <row r="690" spans="1:1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3">
        <v>45729</v>
      </c>
      <c r="G690" s="6" t="s">
        <v>1088</v>
      </c>
      <c r="H690" t="s">
        <v>3500</v>
      </c>
      <c r="I690" t="s">
        <v>123</v>
      </c>
      <c r="J690">
        <v>5915</v>
      </c>
      <c r="K690" s="27" t="s">
        <v>3547</v>
      </c>
    </row>
    <row r="691" spans="1:1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3">
        <v>45702</v>
      </c>
      <c r="G691" s="6" t="s">
        <v>1043</v>
      </c>
      <c r="H691" t="s">
        <v>3499</v>
      </c>
      <c r="I691" t="s">
        <v>217</v>
      </c>
      <c r="J691">
        <v>5052</v>
      </c>
      <c r="K691" s="27" t="s">
        <v>3547</v>
      </c>
    </row>
    <row r="692" spans="1:1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3">
        <v>45783</v>
      </c>
      <c r="G692" s="6" t="s">
        <v>1280</v>
      </c>
      <c r="H692" t="s">
        <v>3499</v>
      </c>
      <c r="I692" t="s">
        <v>34</v>
      </c>
      <c r="J692">
        <v>5044</v>
      </c>
      <c r="K692" s="27" t="s">
        <v>3548</v>
      </c>
    </row>
    <row r="693" spans="1:1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3">
        <v>45765</v>
      </c>
      <c r="G693" s="6" t="s">
        <v>1125</v>
      </c>
      <c r="H693" t="s">
        <v>3499</v>
      </c>
      <c r="I693" t="s">
        <v>86</v>
      </c>
      <c r="J693">
        <v>5325</v>
      </c>
      <c r="K693" s="27" t="s">
        <v>3547</v>
      </c>
    </row>
    <row r="694" spans="1:1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3">
        <v>45740</v>
      </c>
      <c r="G694" s="6" t="s">
        <v>1100</v>
      </c>
      <c r="H694" t="s">
        <v>3499</v>
      </c>
      <c r="I694" t="s">
        <v>22</v>
      </c>
      <c r="J694">
        <v>5235</v>
      </c>
      <c r="K694" s="27" t="s">
        <v>3547</v>
      </c>
    </row>
    <row r="695" spans="1:1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3">
        <v>45777</v>
      </c>
      <c r="G695" s="6" t="s">
        <v>1145</v>
      </c>
      <c r="H695" t="s">
        <v>3499</v>
      </c>
      <c r="I695" t="s">
        <v>25</v>
      </c>
      <c r="J695">
        <v>5054</v>
      </c>
      <c r="K695" s="27" t="s">
        <v>3547</v>
      </c>
    </row>
    <row r="696" spans="1:1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7">
        <v>45851</v>
      </c>
      <c r="G696" s="6" t="s">
        <v>1230</v>
      </c>
      <c r="H696" t="s">
        <v>3500</v>
      </c>
      <c r="I696" t="s">
        <v>229</v>
      </c>
      <c r="J696">
        <v>5911</v>
      </c>
      <c r="K696" s="27" t="s">
        <v>3547</v>
      </c>
    </row>
    <row r="697" spans="1:1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3">
        <v>45665</v>
      </c>
      <c r="G697" s="6" t="s">
        <v>991</v>
      </c>
      <c r="H697" t="s">
        <v>3500</v>
      </c>
      <c r="I697" t="s">
        <v>117</v>
      </c>
      <c r="J697">
        <v>5931</v>
      </c>
      <c r="K697" s="27" t="s">
        <v>3547</v>
      </c>
    </row>
    <row r="698" spans="1:1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3">
        <v>45756</v>
      </c>
      <c r="G698" s="6" t="s">
        <v>1114</v>
      </c>
      <c r="H698" t="s">
        <v>3500</v>
      </c>
      <c r="I698" t="s">
        <v>22</v>
      </c>
      <c r="J698">
        <v>5765</v>
      </c>
      <c r="K698" s="27" t="s">
        <v>3547</v>
      </c>
    </row>
    <row r="699" spans="1:1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3">
        <v>45775</v>
      </c>
      <c r="G699" s="6" t="s">
        <v>1142</v>
      </c>
      <c r="H699" t="s">
        <v>3500</v>
      </c>
      <c r="I699" t="s">
        <v>84</v>
      </c>
      <c r="J699">
        <v>5930</v>
      </c>
      <c r="K699" s="27" t="s">
        <v>3547</v>
      </c>
    </row>
    <row r="700" spans="1:1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3">
        <v>45771</v>
      </c>
      <c r="G700" s="6" t="s">
        <v>1136</v>
      </c>
      <c r="H700" t="s">
        <v>3500</v>
      </c>
      <c r="I700" t="s">
        <v>197</v>
      </c>
      <c r="J700">
        <v>5933</v>
      </c>
      <c r="K700" s="27" t="s">
        <v>3547</v>
      </c>
    </row>
    <row r="701" spans="1:1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7">
        <v>45812</v>
      </c>
      <c r="G701" s="6" t="s">
        <v>1181</v>
      </c>
      <c r="H701" t="s">
        <v>3500</v>
      </c>
      <c r="I701" t="s">
        <v>247</v>
      </c>
      <c r="J701">
        <v>0</v>
      </c>
      <c r="K701" s="27" t="s">
        <v>3547</v>
      </c>
    </row>
    <row r="702" spans="1:1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3">
        <v>45742</v>
      </c>
      <c r="G702" s="6" t="s">
        <v>1102</v>
      </c>
      <c r="H702" t="s">
        <v>3499</v>
      </c>
      <c r="I702" t="s">
        <v>106</v>
      </c>
      <c r="J702">
        <v>5043</v>
      </c>
      <c r="K702" s="27" t="s">
        <v>3547</v>
      </c>
    </row>
    <row r="703" spans="1:1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7">
        <v>45831</v>
      </c>
      <c r="G703" s="6" t="s">
        <v>1200</v>
      </c>
      <c r="H703" t="s">
        <v>3499</v>
      </c>
      <c r="I703" t="s">
        <v>28</v>
      </c>
      <c r="J703">
        <v>2269</v>
      </c>
      <c r="K703" s="27" t="s">
        <v>3547</v>
      </c>
    </row>
    <row r="704" spans="1:1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7">
        <v>45832</v>
      </c>
      <c r="G704" s="6" t="s">
        <v>1201</v>
      </c>
      <c r="H704" t="s">
        <v>3535</v>
      </c>
      <c r="I704" t="s">
        <v>239</v>
      </c>
      <c r="J704">
        <v>6339</v>
      </c>
      <c r="K704" s="27" t="s">
        <v>3547</v>
      </c>
    </row>
    <row r="705" spans="1:1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7">
        <v>45840</v>
      </c>
      <c r="G705" s="6" t="s">
        <v>1210</v>
      </c>
      <c r="H705" t="s">
        <v>3536</v>
      </c>
      <c r="I705" t="s">
        <v>5</v>
      </c>
      <c r="J705">
        <v>6368</v>
      </c>
      <c r="K705" s="27" t="s">
        <v>3547</v>
      </c>
    </row>
    <row r="706" spans="1:1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7">
        <v>45798</v>
      </c>
      <c r="G706" s="6" t="s">
        <v>1163</v>
      </c>
      <c r="H706" t="s">
        <v>3535</v>
      </c>
      <c r="I706" t="s">
        <v>173</v>
      </c>
      <c r="J706">
        <v>6333</v>
      </c>
      <c r="K706" s="27" t="s">
        <v>3547</v>
      </c>
    </row>
    <row r="707" spans="1:1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3">
        <v>45782</v>
      </c>
      <c r="G707" s="6" t="s">
        <v>1150</v>
      </c>
      <c r="H707" t="s">
        <v>3501</v>
      </c>
      <c r="I707" t="s">
        <v>13</v>
      </c>
      <c r="J707">
        <v>5053</v>
      </c>
      <c r="K707" s="27" t="s">
        <v>3547</v>
      </c>
    </row>
    <row r="708" spans="1:1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7">
        <v>45879</v>
      </c>
      <c r="G708" s="15" t="s">
        <v>1257</v>
      </c>
      <c r="H708" t="s">
        <v>3535</v>
      </c>
      <c r="I708" t="s">
        <v>5</v>
      </c>
      <c r="J708">
        <v>6321</v>
      </c>
      <c r="K708" s="27" t="s">
        <v>3547</v>
      </c>
    </row>
    <row r="709" spans="1:1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3">
        <v>45777</v>
      </c>
      <c r="G709" s="6" t="s">
        <v>1286</v>
      </c>
      <c r="H709" t="s">
        <v>8</v>
      </c>
      <c r="I709" t="s">
        <v>845</v>
      </c>
      <c r="J709">
        <v>6322</v>
      </c>
      <c r="K709" s="27" t="s">
        <v>3548</v>
      </c>
    </row>
    <row r="710" spans="1:1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3">
        <v>45750</v>
      </c>
      <c r="G710" s="6" t="s">
        <v>1109</v>
      </c>
      <c r="H710" t="s">
        <v>3501</v>
      </c>
      <c r="I710" t="s">
        <v>40</v>
      </c>
      <c r="J710">
        <v>5046</v>
      </c>
      <c r="K710" s="27" t="s">
        <v>3547</v>
      </c>
    </row>
    <row r="711" spans="1:1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3">
        <v>45718</v>
      </c>
      <c r="G711" s="6" t="s">
        <v>1072</v>
      </c>
      <c r="H711" t="s">
        <v>3500</v>
      </c>
      <c r="I711" t="s">
        <v>78</v>
      </c>
      <c r="J711">
        <v>5929</v>
      </c>
      <c r="K711" s="27" t="s">
        <v>3547</v>
      </c>
    </row>
    <row r="712" spans="1:1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7">
        <v>45830</v>
      </c>
      <c r="G712" s="6" t="s">
        <v>1197</v>
      </c>
      <c r="H712" t="s">
        <v>3500</v>
      </c>
      <c r="I712" t="s">
        <v>16</v>
      </c>
      <c r="J712">
        <v>5926</v>
      </c>
      <c r="K712" s="27" t="s">
        <v>3547</v>
      </c>
    </row>
    <row r="713" spans="1:1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F713" s="3">
        <v>45786</v>
      </c>
      <c r="G713" s="6" t="s">
        <v>1153</v>
      </c>
      <c r="H713" t="s">
        <v>3500</v>
      </c>
      <c r="I713" t="s">
        <v>165</v>
      </c>
      <c r="J713">
        <v>4678</v>
      </c>
      <c r="K713" s="27" t="s">
        <v>3547</v>
      </c>
    </row>
    <row r="714" spans="1:1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3">
        <v>45765</v>
      </c>
      <c r="G714" s="6" t="s">
        <v>1127</v>
      </c>
      <c r="H714" t="s">
        <v>3535</v>
      </c>
      <c r="I714" t="s">
        <v>88</v>
      </c>
      <c r="J714">
        <v>6339</v>
      </c>
      <c r="K714" s="27" t="s">
        <v>3547</v>
      </c>
    </row>
    <row r="715" spans="1:1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3">
        <v>45660</v>
      </c>
      <c r="G715" s="6" t="s">
        <v>982</v>
      </c>
      <c r="H715" t="s">
        <v>3501</v>
      </c>
      <c r="I715" t="s">
        <v>263</v>
      </c>
      <c r="J715">
        <v>5048</v>
      </c>
      <c r="K715" s="27" t="s">
        <v>3547</v>
      </c>
    </row>
    <row r="716" spans="1:1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3">
        <v>45700</v>
      </c>
      <c r="G716" s="6" t="s">
        <v>1041</v>
      </c>
      <c r="H716" t="s">
        <v>3535</v>
      </c>
      <c r="I716" t="s">
        <v>81</v>
      </c>
      <c r="J716">
        <v>6317</v>
      </c>
      <c r="K716" s="27" t="s">
        <v>3547</v>
      </c>
    </row>
    <row r="717" spans="1:1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3">
        <v>45756</v>
      </c>
      <c r="G717" s="6" t="s">
        <v>1116</v>
      </c>
      <c r="H717" t="s">
        <v>3501</v>
      </c>
      <c r="I717" t="s">
        <v>25</v>
      </c>
      <c r="J717">
        <v>5238</v>
      </c>
      <c r="K717" s="27" t="s">
        <v>3547</v>
      </c>
    </row>
    <row r="718" spans="1:1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3">
        <v>45660</v>
      </c>
      <c r="G718" s="6" t="s">
        <v>983</v>
      </c>
      <c r="H718" t="s">
        <v>3501</v>
      </c>
      <c r="I718" t="s">
        <v>13</v>
      </c>
      <c r="J718">
        <v>5229</v>
      </c>
      <c r="K718" s="27" t="s">
        <v>3547</v>
      </c>
    </row>
    <row r="719" spans="1:1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7">
        <v>45853</v>
      </c>
      <c r="G719" s="6" t="s">
        <v>1290</v>
      </c>
      <c r="H719" t="s">
        <v>8</v>
      </c>
      <c r="I719" t="s">
        <v>948</v>
      </c>
      <c r="J719">
        <v>6375</v>
      </c>
      <c r="K719" s="27" t="s">
        <v>3548</v>
      </c>
    </row>
    <row r="720" spans="1:1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7">
        <v>45728</v>
      </c>
      <c r="G720" s="6" t="s">
        <v>1087</v>
      </c>
      <c r="H720" t="s">
        <v>3501</v>
      </c>
      <c r="I720" t="s">
        <v>100</v>
      </c>
      <c r="J720">
        <v>5237</v>
      </c>
      <c r="K720" s="27" t="s">
        <v>3547</v>
      </c>
    </row>
    <row r="721" spans="1:1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F721" s="3">
        <v>45689</v>
      </c>
      <c r="G721" s="6" t="s">
        <v>1024</v>
      </c>
      <c r="H721" t="s">
        <v>3501</v>
      </c>
      <c r="I721" t="s">
        <v>13</v>
      </c>
      <c r="J721">
        <v>5048</v>
      </c>
      <c r="K721" s="27" t="s">
        <v>3547</v>
      </c>
    </row>
    <row r="722" spans="1:1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7">
        <v>45861</v>
      </c>
      <c r="G722" s="6" t="s">
        <v>1239</v>
      </c>
      <c r="H722" t="s">
        <v>3501</v>
      </c>
      <c r="I722" t="s">
        <v>113</v>
      </c>
      <c r="J722">
        <v>5260</v>
      </c>
      <c r="K722" s="27" t="s">
        <v>3547</v>
      </c>
    </row>
    <row r="723" spans="1:1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3">
        <v>45744</v>
      </c>
      <c r="G723" s="6" t="s">
        <v>1104</v>
      </c>
      <c r="H723" t="s">
        <v>3501</v>
      </c>
      <c r="I723" t="s">
        <v>48</v>
      </c>
      <c r="J723">
        <v>5261</v>
      </c>
      <c r="K723" s="27" t="s">
        <v>3547</v>
      </c>
    </row>
    <row r="724" spans="1:1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3">
        <v>45782</v>
      </c>
      <c r="G724" s="6" t="s">
        <v>1312</v>
      </c>
      <c r="H724" t="s">
        <v>3500</v>
      </c>
      <c r="I724" t="s">
        <v>475</v>
      </c>
      <c r="J724">
        <v>4667</v>
      </c>
      <c r="K724" s="27" t="s">
        <v>3548</v>
      </c>
    </row>
    <row r="725" spans="1:1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7">
        <v>45800</v>
      </c>
      <c r="G725" s="6" t="s">
        <v>1167</v>
      </c>
      <c r="H725" t="s">
        <v>3500</v>
      </c>
      <c r="I725" t="s">
        <v>10</v>
      </c>
      <c r="J725">
        <v>5238</v>
      </c>
      <c r="K725" s="27" t="s">
        <v>3548</v>
      </c>
    </row>
    <row r="726" spans="1:1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3">
        <v>45707</v>
      </c>
      <c r="G726" s="6" t="s">
        <v>1052</v>
      </c>
      <c r="H726" t="s">
        <v>3501</v>
      </c>
      <c r="I726" t="s">
        <v>43</v>
      </c>
      <c r="J726">
        <v>2195</v>
      </c>
      <c r="K726" s="27" t="s">
        <v>3547</v>
      </c>
    </row>
    <row r="727" spans="1:1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3">
        <v>45679</v>
      </c>
      <c r="G727" s="6" t="s">
        <v>1010</v>
      </c>
      <c r="H727" t="s">
        <v>3501</v>
      </c>
      <c r="I727" t="s">
        <v>48</v>
      </c>
      <c r="J727">
        <v>5264</v>
      </c>
      <c r="K727" s="27" t="s">
        <v>3547</v>
      </c>
    </row>
    <row r="728" spans="1:1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7">
        <v>45842</v>
      </c>
      <c r="G728" s="6" t="s">
        <v>1283</v>
      </c>
      <c r="H728" t="s">
        <v>3501</v>
      </c>
      <c r="I728" t="s">
        <v>227</v>
      </c>
      <c r="J728">
        <v>2190</v>
      </c>
      <c r="K728" s="27" t="s">
        <v>3548</v>
      </c>
    </row>
    <row r="729" spans="1:1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7">
        <v>45866</v>
      </c>
      <c r="G729" s="6" t="s">
        <v>1244</v>
      </c>
      <c r="H729" t="s">
        <v>3501</v>
      </c>
      <c r="I729" t="s">
        <v>265</v>
      </c>
      <c r="J729">
        <v>2192</v>
      </c>
      <c r="K729" s="27" t="s">
        <v>3547</v>
      </c>
    </row>
    <row r="730" spans="1:1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3">
        <v>45678</v>
      </c>
      <c r="G730" s="6" t="s">
        <v>1009</v>
      </c>
      <c r="H730" t="s">
        <v>3500</v>
      </c>
      <c r="I730" t="s">
        <v>92</v>
      </c>
      <c r="J730">
        <v>5922</v>
      </c>
      <c r="K730" s="27" t="s">
        <v>3547</v>
      </c>
    </row>
    <row r="731" spans="1:1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3">
        <v>45754</v>
      </c>
      <c r="G731" s="6" t="s">
        <v>1305</v>
      </c>
      <c r="H731" t="s">
        <v>3501</v>
      </c>
      <c r="I731" t="s">
        <v>1306</v>
      </c>
      <c r="J731">
        <v>2197</v>
      </c>
      <c r="K731" s="27" t="s">
        <v>3548</v>
      </c>
    </row>
    <row r="732" spans="1:1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3">
        <v>45709</v>
      </c>
      <c r="G732"/>
      <c r="H732" t="s">
        <v>3501</v>
      </c>
      <c r="J732">
        <v>0</v>
      </c>
      <c r="K732" s="27" t="s">
        <v>3547</v>
      </c>
    </row>
    <row r="733" spans="1:1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3">
        <v>45715</v>
      </c>
      <c r="G733" s="6" t="s">
        <v>1068</v>
      </c>
      <c r="H733" t="s">
        <v>3500</v>
      </c>
      <c r="I733" t="s">
        <v>277</v>
      </c>
      <c r="J733">
        <v>5923</v>
      </c>
      <c r="K733" s="27" t="s">
        <v>3547</v>
      </c>
    </row>
    <row r="734" spans="1:1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3">
        <v>45735</v>
      </c>
      <c r="G734" s="6" t="s">
        <v>1282</v>
      </c>
      <c r="H734" t="s">
        <v>3501</v>
      </c>
      <c r="I734" t="s">
        <v>72</v>
      </c>
      <c r="J734">
        <v>5054</v>
      </c>
      <c r="K734" s="27" t="s">
        <v>3548</v>
      </c>
    </row>
    <row r="735" spans="1:1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F735" s="7">
        <v>45710</v>
      </c>
      <c r="G735" s="6" t="s">
        <v>1060</v>
      </c>
      <c r="H735" t="s">
        <v>3500</v>
      </c>
      <c r="I735" t="s">
        <v>1061</v>
      </c>
      <c r="J735">
        <v>5929</v>
      </c>
      <c r="K735" s="27" t="s">
        <v>3547</v>
      </c>
    </row>
    <row r="736" spans="1:1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3">
        <v>45715</v>
      </c>
      <c r="G736" s="6" t="s">
        <v>1069</v>
      </c>
      <c r="H736" t="s">
        <v>3499</v>
      </c>
      <c r="I736" t="s">
        <v>5</v>
      </c>
      <c r="J736">
        <v>5046</v>
      </c>
      <c r="K736" s="27" t="s">
        <v>3547</v>
      </c>
    </row>
    <row r="737" spans="1:1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3">
        <v>45710</v>
      </c>
      <c r="G737" s="6" t="s">
        <v>1297</v>
      </c>
      <c r="H737" t="s">
        <v>3501</v>
      </c>
      <c r="I737" t="s">
        <v>113</v>
      </c>
      <c r="J737">
        <v>5043</v>
      </c>
      <c r="K737" s="27" t="s">
        <v>3548</v>
      </c>
    </row>
    <row r="738" spans="1:1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7">
        <v>45837</v>
      </c>
      <c r="G738" s="6" t="s">
        <v>1204</v>
      </c>
      <c r="H738" t="s">
        <v>3499</v>
      </c>
      <c r="I738" t="s">
        <v>119</v>
      </c>
      <c r="J738">
        <v>5042</v>
      </c>
      <c r="K738" s="27" t="s">
        <v>3547</v>
      </c>
    </row>
    <row r="739" spans="1:1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3">
        <v>45790</v>
      </c>
      <c r="G739" s="6" t="s">
        <v>1157</v>
      </c>
      <c r="H739" t="s">
        <v>3499</v>
      </c>
      <c r="I739" t="s">
        <v>161</v>
      </c>
      <c r="J739">
        <v>5265</v>
      </c>
      <c r="K739" s="27" t="s">
        <v>3547</v>
      </c>
    </row>
    <row r="740" spans="1:1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7">
        <v>45808</v>
      </c>
      <c r="G740" s="6" t="s">
        <v>1173</v>
      </c>
      <c r="H740" t="s">
        <v>3536</v>
      </c>
      <c r="I740" t="s">
        <v>5</v>
      </c>
      <c r="J740">
        <v>6355</v>
      </c>
      <c r="K740" s="27" t="s">
        <v>3547</v>
      </c>
    </row>
    <row r="741" spans="1:1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3">
        <v>45756</v>
      </c>
      <c r="G741" s="6" t="s">
        <v>1115</v>
      </c>
      <c r="H741" t="s">
        <v>3499</v>
      </c>
      <c r="I741" t="s">
        <v>253</v>
      </c>
      <c r="J741">
        <v>2197</v>
      </c>
      <c r="K741" s="27" t="s">
        <v>3547</v>
      </c>
    </row>
    <row r="742" spans="1:1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1055</v>
      </c>
      <c r="D742" t="s">
        <v>1056</v>
      </c>
      <c r="E742" t="s">
        <v>55</v>
      </c>
      <c r="F742" s="3">
        <v>45709</v>
      </c>
      <c r="G742" s="6" t="s">
        <v>1057</v>
      </c>
      <c r="H742" t="s">
        <v>3499</v>
      </c>
      <c r="I742" t="s">
        <v>25</v>
      </c>
      <c r="J742">
        <v>5229</v>
      </c>
      <c r="K742" s="27" t="s">
        <v>3547</v>
      </c>
    </row>
    <row r="743" spans="1:1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3">
        <v>45672</v>
      </c>
      <c r="G743" s="6" t="s">
        <v>1002</v>
      </c>
      <c r="H743" t="s">
        <v>3500</v>
      </c>
      <c r="I743" t="s">
        <v>185</v>
      </c>
      <c r="J743">
        <v>5920</v>
      </c>
      <c r="K743" s="27" t="s">
        <v>3547</v>
      </c>
    </row>
    <row r="744" spans="1:1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7">
        <v>45810</v>
      </c>
      <c r="G744" s="6" t="s">
        <v>1176</v>
      </c>
      <c r="H744" t="s">
        <v>3500</v>
      </c>
      <c r="I744" t="s">
        <v>60</v>
      </c>
      <c r="J744">
        <v>5931</v>
      </c>
      <c r="K744" s="27" t="s">
        <v>3547</v>
      </c>
    </row>
    <row r="745" spans="1:1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3">
        <v>45695</v>
      </c>
      <c r="G745" s="6" t="s">
        <v>1036</v>
      </c>
      <c r="H745" t="s">
        <v>3499</v>
      </c>
      <c r="I745" t="s">
        <v>19</v>
      </c>
      <c r="J745">
        <v>5261</v>
      </c>
      <c r="K745" s="27" t="s">
        <v>3547</v>
      </c>
    </row>
    <row r="746" spans="1:1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3">
        <v>45660</v>
      </c>
      <c r="G746" s="6" t="s">
        <v>1285</v>
      </c>
      <c r="H746" t="s">
        <v>3499</v>
      </c>
      <c r="I746" t="s">
        <v>119</v>
      </c>
      <c r="J746">
        <v>5047</v>
      </c>
      <c r="K746" s="27" t="s">
        <v>3548</v>
      </c>
    </row>
    <row r="747" spans="1:1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3">
        <v>45766</v>
      </c>
      <c r="G747" s="6" t="s">
        <v>1129</v>
      </c>
      <c r="H747" t="s">
        <v>3499</v>
      </c>
      <c r="I747" t="s">
        <v>177</v>
      </c>
      <c r="J747">
        <v>2197</v>
      </c>
      <c r="K747" s="27" t="s">
        <v>3547</v>
      </c>
    </row>
    <row r="748" spans="1:1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3">
        <v>45775</v>
      </c>
      <c r="G748" s="6" t="s">
        <v>1141</v>
      </c>
      <c r="H748" t="s">
        <v>3500</v>
      </c>
      <c r="I748" t="s">
        <v>179</v>
      </c>
      <c r="J748">
        <v>5770</v>
      </c>
      <c r="K748" s="27" t="s">
        <v>3547</v>
      </c>
    </row>
    <row r="749" spans="1:1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7">
        <v>45871</v>
      </c>
      <c r="G749" s="6" t="s">
        <v>1250</v>
      </c>
      <c r="H749" t="s">
        <v>3500</v>
      </c>
      <c r="I749" t="s">
        <v>25</v>
      </c>
      <c r="J749">
        <v>5915</v>
      </c>
      <c r="K749" s="27" t="s">
        <v>3547</v>
      </c>
    </row>
    <row r="750" spans="1:1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3">
        <v>45788</v>
      </c>
      <c r="G750" s="6" t="s">
        <v>1156</v>
      </c>
      <c r="H750" t="s">
        <v>3501</v>
      </c>
      <c r="I750" t="s">
        <v>25</v>
      </c>
      <c r="J750">
        <v>5047</v>
      </c>
      <c r="K750" s="27" t="s">
        <v>3547</v>
      </c>
    </row>
    <row r="751" spans="1:1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3">
        <v>45727</v>
      </c>
      <c r="G751" s="6" t="s">
        <v>1086</v>
      </c>
      <c r="H751" t="s">
        <v>3501</v>
      </c>
      <c r="I751" t="s">
        <v>40</v>
      </c>
      <c r="J751">
        <v>5325</v>
      </c>
      <c r="K751" s="27" t="s">
        <v>3547</v>
      </c>
    </row>
    <row r="752" spans="1:11" x14ac:dyDescent="0.25">
      <c r="A752" s="10">
        <v>40138</v>
      </c>
      <c r="B752" t="str">
        <f>_xlfn.CONCAT(bron[[#This Row],[personeelsnr]]," ",bron[[#This Row],[achternaam]]," ",bron[[#This Row],[voornaam]])</f>
        <v>40138 Moerman Tjimmy</v>
      </c>
      <c r="C752" s="10" t="str">
        <f>VLOOKUP(bron[[#This Row],[personeelsnr]],'data hastus'!$A:$C,2,0)</f>
        <v>Moerman</v>
      </c>
      <c r="D752" s="10" t="str">
        <f>VLOOKUP(bron[[#This Row],[personeelsnr]],'data hastus'!$A:$C,3,0)</f>
        <v>Tjimmy</v>
      </c>
      <c r="E752" s="10" t="str">
        <f>VLOOKUP(bron[[#This Row],[personeelsnr]],'data hastus'!A:K,11,FALSE)</f>
        <v>Christoff Rotty</v>
      </c>
      <c r="F752" s="13">
        <v>45717</v>
      </c>
      <c r="G752" s="12" t="s">
        <v>1071</v>
      </c>
      <c r="H752" t="s">
        <v>3500</v>
      </c>
      <c r="I752" s="10" t="s">
        <v>287</v>
      </c>
      <c r="J752">
        <v>5047</v>
      </c>
      <c r="K752" s="27" t="s">
        <v>3547</v>
      </c>
    </row>
    <row r="753" spans="1:1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3">
        <v>45685</v>
      </c>
      <c r="G753" s="6" t="s">
        <v>1017</v>
      </c>
      <c r="H753" t="s">
        <v>3500</v>
      </c>
      <c r="I753" t="s">
        <v>54</v>
      </c>
      <c r="J753">
        <v>5923</v>
      </c>
      <c r="K753" s="27" t="s">
        <v>3547</v>
      </c>
    </row>
    <row r="754" spans="1:1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3">
        <v>45661</v>
      </c>
      <c r="G754" s="6" t="s">
        <v>989</v>
      </c>
      <c r="H754" t="s">
        <v>3501</v>
      </c>
      <c r="I754" t="s">
        <v>257</v>
      </c>
      <c r="J754">
        <v>5051</v>
      </c>
      <c r="K754" s="27" t="s">
        <v>3547</v>
      </c>
    </row>
    <row r="755" spans="1:1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7">
        <v>45837</v>
      </c>
      <c r="G755" s="6" t="s">
        <v>1205</v>
      </c>
      <c r="H755" t="s">
        <v>3501</v>
      </c>
      <c r="I755" t="s">
        <v>271</v>
      </c>
      <c r="J755">
        <v>5047</v>
      </c>
      <c r="K755" s="27" t="s">
        <v>3547</v>
      </c>
    </row>
    <row r="756" spans="1:1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3">
        <v>45711</v>
      </c>
      <c r="G756" s="6" t="s">
        <v>1062</v>
      </c>
      <c r="H756" t="s">
        <v>3501</v>
      </c>
      <c r="I756" t="s">
        <v>25</v>
      </c>
      <c r="J756">
        <v>5049</v>
      </c>
      <c r="K756" s="27" t="s">
        <v>3547</v>
      </c>
    </row>
    <row r="757" spans="1:1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3">
        <v>45699</v>
      </c>
      <c r="G757" s="6" t="s">
        <v>1040</v>
      </c>
      <c r="H757" t="s">
        <v>3501</v>
      </c>
      <c r="I757" t="s">
        <v>299</v>
      </c>
      <c r="J757">
        <v>5052</v>
      </c>
      <c r="K757" s="27" t="s">
        <v>3547</v>
      </c>
    </row>
    <row r="758" spans="1:1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3">
        <v>45693</v>
      </c>
      <c r="G758" s="6" t="s">
        <v>1030</v>
      </c>
      <c r="H758" t="s">
        <v>3501</v>
      </c>
      <c r="I758" t="s">
        <v>43</v>
      </c>
      <c r="J758">
        <v>2199</v>
      </c>
      <c r="K758" s="27" t="s">
        <v>3547</v>
      </c>
    </row>
    <row r="759" spans="1:1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3">
        <v>45667</v>
      </c>
      <c r="G759" s="6" t="s">
        <v>994</v>
      </c>
      <c r="H759" t="s">
        <v>3500</v>
      </c>
      <c r="I759" t="s">
        <v>102</v>
      </c>
      <c r="J759">
        <v>5912</v>
      </c>
      <c r="K759" s="27" t="s">
        <v>3547</v>
      </c>
    </row>
    <row r="760" spans="1:1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7">
        <v>45810</v>
      </c>
      <c r="G760" s="6" t="s">
        <v>1174</v>
      </c>
      <c r="H760" t="s">
        <v>3501</v>
      </c>
      <c r="I760" t="s">
        <v>98</v>
      </c>
      <c r="J760">
        <v>5236</v>
      </c>
      <c r="K760" s="27" t="s">
        <v>3547</v>
      </c>
    </row>
    <row r="761" spans="1:1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7">
        <v>45800</v>
      </c>
      <c r="G761" s="5" t="s">
        <v>1166</v>
      </c>
      <c r="H761" t="s">
        <v>3501</v>
      </c>
      <c r="I761" t="s">
        <v>37</v>
      </c>
      <c r="J761">
        <v>0</v>
      </c>
      <c r="K761" s="27" t="s">
        <v>3547</v>
      </c>
    </row>
    <row r="762" spans="1:1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7">
        <v>45848</v>
      </c>
      <c r="G762" s="6" t="s">
        <v>1225</v>
      </c>
      <c r="H762" t="s">
        <v>3500</v>
      </c>
      <c r="I762" t="s">
        <v>505</v>
      </c>
      <c r="J762">
        <v>5915</v>
      </c>
      <c r="K762" s="27" t="s">
        <v>3547</v>
      </c>
    </row>
    <row r="763" spans="1:1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7">
        <v>45833</v>
      </c>
      <c r="G763" s="6" t="s">
        <v>1203</v>
      </c>
      <c r="H763" t="s">
        <v>3501</v>
      </c>
      <c r="I763" t="s">
        <v>51</v>
      </c>
      <c r="J763">
        <v>5235</v>
      </c>
      <c r="K763" s="27" t="s">
        <v>3547</v>
      </c>
    </row>
    <row r="764" spans="1:1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7">
        <v>45792</v>
      </c>
      <c r="G764" s="6" t="s">
        <v>1159</v>
      </c>
      <c r="H764" t="s">
        <v>3500</v>
      </c>
      <c r="I764" t="s">
        <v>175</v>
      </c>
      <c r="J764">
        <v>7897</v>
      </c>
      <c r="K764" s="27" t="s">
        <v>3547</v>
      </c>
    </row>
    <row r="765" spans="1:1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7">
        <v>45890</v>
      </c>
      <c r="G765" s="5" t="s">
        <v>1296</v>
      </c>
      <c r="H765" t="s">
        <v>3501</v>
      </c>
      <c r="I765" t="s">
        <v>523</v>
      </c>
      <c r="J765">
        <v>5239</v>
      </c>
      <c r="K765" s="27" t="s">
        <v>3548</v>
      </c>
    </row>
    <row r="766" spans="1:1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3">
        <v>45762</v>
      </c>
      <c r="G766" s="6" t="s">
        <v>1123</v>
      </c>
      <c r="H766" t="s">
        <v>3500</v>
      </c>
      <c r="I766" t="s">
        <v>51</v>
      </c>
      <c r="J766">
        <v>5767</v>
      </c>
      <c r="K766" s="27" t="s">
        <v>3547</v>
      </c>
    </row>
    <row r="767" spans="1:1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3">
        <v>45670</v>
      </c>
      <c r="G767" s="6" t="s">
        <v>998</v>
      </c>
      <c r="H767" t="s">
        <v>3501</v>
      </c>
      <c r="I767" t="s">
        <v>100</v>
      </c>
      <c r="J767">
        <v>5260</v>
      </c>
      <c r="K767" s="27" t="s">
        <v>3547</v>
      </c>
    </row>
    <row r="768" spans="1:1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7">
        <v>45831</v>
      </c>
      <c r="G768" s="6" t="s">
        <v>1199</v>
      </c>
      <c r="H768" t="s">
        <v>3500</v>
      </c>
      <c r="I768" t="s">
        <v>84</v>
      </c>
      <c r="J768">
        <v>5911</v>
      </c>
      <c r="K768" s="27" t="s">
        <v>3547</v>
      </c>
    </row>
    <row r="769" spans="1:1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3">
        <v>45769</v>
      </c>
      <c r="G769" s="6" t="s">
        <v>1132</v>
      </c>
      <c r="H769" t="s">
        <v>3500</v>
      </c>
      <c r="I769" t="s">
        <v>245</v>
      </c>
      <c r="J769">
        <v>5772</v>
      </c>
      <c r="K769" s="27" t="s">
        <v>3547</v>
      </c>
    </row>
    <row r="770" spans="1:1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3">
        <v>45775</v>
      </c>
      <c r="G770" s="6" t="s">
        <v>1140</v>
      </c>
      <c r="H770" t="s">
        <v>3501</v>
      </c>
      <c r="I770" t="s">
        <v>157</v>
      </c>
      <c r="J770">
        <v>2208</v>
      </c>
      <c r="K770" s="27" t="s">
        <v>3547</v>
      </c>
    </row>
    <row r="771" spans="1:1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3">
        <v>45721</v>
      </c>
      <c r="G771" s="6" t="s">
        <v>1076</v>
      </c>
      <c r="H771" t="s">
        <v>3501</v>
      </c>
      <c r="I771" t="s">
        <v>22</v>
      </c>
      <c r="J771">
        <v>5042</v>
      </c>
      <c r="K771" s="27" t="s">
        <v>3547</v>
      </c>
    </row>
    <row r="772" spans="1:1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7">
        <v>45818</v>
      </c>
      <c r="G772" s="6" t="s">
        <v>1186</v>
      </c>
      <c r="H772" t="s">
        <v>3500</v>
      </c>
      <c r="I772" t="s">
        <v>16</v>
      </c>
      <c r="J772">
        <v>5909</v>
      </c>
      <c r="K772" s="27" t="s">
        <v>3547</v>
      </c>
    </row>
    <row r="773" spans="1:1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3">
        <v>45784</v>
      </c>
      <c r="G773" s="6" t="s">
        <v>1152</v>
      </c>
      <c r="H773" t="s">
        <v>3501</v>
      </c>
      <c r="I773" t="s">
        <v>295</v>
      </c>
      <c r="J773">
        <v>2196</v>
      </c>
      <c r="K773" s="27" t="s">
        <v>3547</v>
      </c>
    </row>
    <row r="774" spans="1:1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3">
        <v>45779</v>
      </c>
      <c r="G774" s="6" t="s">
        <v>1008</v>
      </c>
      <c r="H774" t="s">
        <v>3501</v>
      </c>
      <c r="I774" t="s">
        <v>40</v>
      </c>
      <c r="J774">
        <v>5039</v>
      </c>
      <c r="K774" s="27" t="s">
        <v>3547</v>
      </c>
    </row>
    <row r="775" spans="1:1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7">
        <v>45779</v>
      </c>
      <c r="G775" s="6" t="s">
        <v>1147</v>
      </c>
      <c r="H775" t="s">
        <v>3501</v>
      </c>
      <c r="I775" t="s">
        <v>40</v>
      </c>
      <c r="J775">
        <v>2198</v>
      </c>
      <c r="K775" s="27" t="s">
        <v>3547</v>
      </c>
    </row>
    <row r="776" spans="1:1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3">
        <v>45687</v>
      </c>
      <c r="G776" s="6" t="s">
        <v>1022</v>
      </c>
      <c r="H776" t="s">
        <v>3501</v>
      </c>
      <c r="I776" t="s">
        <v>241</v>
      </c>
      <c r="J776">
        <v>2204</v>
      </c>
      <c r="K776" s="27" t="s">
        <v>3547</v>
      </c>
    </row>
    <row r="777" spans="1:1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3">
        <v>45715</v>
      </c>
      <c r="G777" s="6" t="s">
        <v>1067</v>
      </c>
      <c r="H777" t="s">
        <v>3500</v>
      </c>
      <c r="I777" t="s">
        <v>207</v>
      </c>
      <c r="J777">
        <v>2546</v>
      </c>
      <c r="K777" s="27" t="s">
        <v>3547</v>
      </c>
    </row>
    <row r="778" spans="1:1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3">
        <v>45709</v>
      </c>
      <c r="G778" s="6" t="s">
        <v>1058</v>
      </c>
      <c r="H778" t="s">
        <v>3500</v>
      </c>
      <c r="I778" t="s">
        <v>16</v>
      </c>
      <c r="J778">
        <v>5929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7">
        <v>45841</v>
      </c>
      <c r="G780" s="6" t="s">
        <v>1211</v>
      </c>
      <c r="H780" t="s">
        <v>3499</v>
      </c>
      <c r="I780" t="s">
        <v>98</v>
      </c>
      <c r="J780">
        <v>5259</v>
      </c>
      <c r="K780" s="27" t="s">
        <v>3547</v>
      </c>
    </row>
    <row r="781" spans="1:1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7">
        <v>45850</v>
      </c>
      <c r="G781" s="6" t="s">
        <v>1228</v>
      </c>
      <c r="H781" t="s">
        <v>3499</v>
      </c>
      <c r="I781" t="s">
        <v>19</v>
      </c>
      <c r="J781">
        <v>5043</v>
      </c>
      <c r="K781" s="27" t="s">
        <v>3547</v>
      </c>
    </row>
    <row r="782" spans="1:1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7">
        <v>45806</v>
      </c>
      <c r="G782" s="6" t="s">
        <v>1171</v>
      </c>
      <c r="H782" t="s">
        <v>3499</v>
      </c>
      <c r="I782" t="s">
        <v>125</v>
      </c>
      <c r="J782">
        <v>5630</v>
      </c>
      <c r="K782" s="27" t="s">
        <v>3547</v>
      </c>
    </row>
    <row r="783" spans="1:1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3">
        <v>45694</v>
      </c>
      <c r="G783" s="6" t="s">
        <v>1035</v>
      </c>
      <c r="H783" t="s">
        <v>3499</v>
      </c>
      <c r="I783" t="s">
        <v>211</v>
      </c>
      <c r="J783">
        <v>2208</v>
      </c>
      <c r="K783" s="27" t="s">
        <v>3547</v>
      </c>
    </row>
    <row r="784" spans="1:1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7">
        <v>45872</v>
      </c>
      <c r="G784" s="6" t="s">
        <v>1251</v>
      </c>
      <c r="H784" t="s">
        <v>3499</v>
      </c>
      <c r="I784" t="s">
        <v>209</v>
      </c>
      <c r="J784">
        <v>2190</v>
      </c>
      <c r="K784" s="27" t="s">
        <v>3547</v>
      </c>
    </row>
    <row r="785" spans="1:1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3">
        <v>45693</v>
      </c>
      <c r="G785" s="6" t="s">
        <v>1033</v>
      </c>
      <c r="H785" t="s">
        <v>3499</v>
      </c>
      <c r="I785" t="s">
        <v>273</v>
      </c>
      <c r="J785">
        <v>5325</v>
      </c>
      <c r="K785" s="27" t="s">
        <v>3547</v>
      </c>
    </row>
    <row r="786" spans="1:1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7">
        <v>45783</v>
      </c>
      <c r="G786" s="6" t="s">
        <v>1151</v>
      </c>
      <c r="H786" t="s">
        <v>3499</v>
      </c>
      <c r="I786" t="s">
        <v>43</v>
      </c>
      <c r="J786">
        <v>2196</v>
      </c>
      <c r="K786" s="27" t="s">
        <v>3547</v>
      </c>
    </row>
    <row r="787" spans="1:1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7">
        <v>45902</v>
      </c>
      <c r="G787" s="5" t="s">
        <v>3487</v>
      </c>
      <c r="H787" t="s">
        <v>3501</v>
      </c>
      <c r="I787" t="s">
        <v>100</v>
      </c>
      <c r="J787">
        <v>5263</v>
      </c>
      <c r="K787" s="27" t="s">
        <v>3548</v>
      </c>
    </row>
    <row r="788" spans="1:1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7">
        <v>45843</v>
      </c>
      <c r="G788" s="6" t="s">
        <v>1214</v>
      </c>
      <c r="H788" t="s">
        <v>3499</v>
      </c>
      <c r="I788" t="s">
        <v>22</v>
      </c>
      <c r="J788">
        <v>5046</v>
      </c>
      <c r="K788" s="27" t="s">
        <v>3547</v>
      </c>
    </row>
    <row r="789" spans="1:1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3">
        <v>45751</v>
      </c>
      <c r="G789" s="6" t="s">
        <v>1110</v>
      </c>
      <c r="H789" t="s">
        <v>3499</v>
      </c>
      <c r="I789" t="s">
        <v>43</v>
      </c>
      <c r="J789">
        <v>2198</v>
      </c>
      <c r="K789" s="27" t="s">
        <v>3547</v>
      </c>
    </row>
    <row r="790" spans="1:1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3">
        <v>45725</v>
      </c>
      <c r="G790" s="6" t="s">
        <v>1083</v>
      </c>
      <c r="H790" t="s">
        <v>3500</v>
      </c>
      <c r="I790" t="s">
        <v>13</v>
      </c>
      <c r="J790">
        <v>5932</v>
      </c>
      <c r="K790" s="27" t="s">
        <v>3547</v>
      </c>
    </row>
    <row r="791" spans="1:1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F791" s="3">
        <v>45673</v>
      </c>
      <c r="G791" s="6" t="s">
        <v>1005</v>
      </c>
      <c r="H791" t="s">
        <v>3500</v>
      </c>
      <c r="I791" t="s">
        <v>28</v>
      </c>
      <c r="J791">
        <v>5771</v>
      </c>
      <c r="K791" s="27" t="s">
        <v>3547</v>
      </c>
    </row>
    <row r="792" spans="1:1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1247</v>
      </c>
      <c r="D792" t="s">
        <v>1248</v>
      </c>
      <c r="E792" t="s">
        <v>76</v>
      </c>
      <c r="F792" s="7">
        <v>45867</v>
      </c>
      <c r="G792" s="15" t="s">
        <v>1249</v>
      </c>
      <c r="H792" t="s">
        <v>3500</v>
      </c>
      <c r="I792" t="s">
        <v>16</v>
      </c>
      <c r="J792">
        <v>5923</v>
      </c>
      <c r="K792" s="27" t="s">
        <v>3547</v>
      </c>
    </row>
    <row r="793" spans="1:1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3">
        <v>45734</v>
      </c>
      <c r="G793" s="6" t="s">
        <v>1094</v>
      </c>
      <c r="H793" t="s">
        <v>3499</v>
      </c>
      <c r="I793" t="s">
        <v>25</v>
      </c>
      <c r="J793">
        <v>5045</v>
      </c>
      <c r="K793" s="27" t="s">
        <v>3547</v>
      </c>
    </row>
    <row r="794" spans="1:1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F794" s="3">
        <v>45706</v>
      </c>
      <c r="G794" s="6" t="s">
        <v>1050</v>
      </c>
      <c r="H794" t="s">
        <v>3500</v>
      </c>
      <c r="I794" t="s">
        <v>500</v>
      </c>
      <c r="J794">
        <v>5923</v>
      </c>
      <c r="K794" s="27" t="s">
        <v>3547</v>
      </c>
    </row>
    <row r="795" spans="1:1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7">
        <v>45813</v>
      </c>
      <c r="G795" s="6" t="s">
        <v>1182</v>
      </c>
      <c r="H795" t="s">
        <v>3501</v>
      </c>
      <c r="I795" t="s">
        <v>117</v>
      </c>
      <c r="J795">
        <v>5237</v>
      </c>
      <c r="K795" s="27" t="s">
        <v>3547</v>
      </c>
    </row>
    <row r="796" spans="1:1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7">
        <v>45813</v>
      </c>
      <c r="G796" s="6" t="s">
        <v>1183</v>
      </c>
      <c r="H796" t="s">
        <v>3501</v>
      </c>
      <c r="I796" t="s">
        <v>34</v>
      </c>
      <c r="J796">
        <v>5237</v>
      </c>
      <c r="K796" s="27" t="s">
        <v>3547</v>
      </c>
    </row>
    <row r="797" spans="1:1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3">
        <v>45706</v>
      </c>
      <c r="G797" s="6" t="s">
        <v>1051</v>
      </c>
      <c r="H797" t="s">
        <v>3500</v>
      </c>
      <c r="I797" t="s">
        <v>219</v>
      </c>
      <c r="J797">
        <v>5925</v>
      </c>
      <c r="K797" s="27" t="s">
        <v>3547</v>
      </c>
    </row>
    <row r="798" spans="1:1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7">
        <v>45666</v>
      </c>
      <c r="G798" s="6" t="s">
        <v>992</v>
      </c>
      <c r="H798" t="s">
        <v>3500</v>
      </c>
      <c r="I798" t="s">
        <v>31</v>
      </c>
      <c r="J798">
        <v>5926</v>
      </c>
      <c r="K798" s="27" t="s">
        <v>3547</v>
      </c>
    </row>
    <row r="799" spans="1:1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7">
        <v>45811</v>
      </c>
      <c r="G799" s="6" t="s">
        <v>1177</v>
      </c>
      <c r="H799" t="s">
        <v>3500</v>
      </c>
      <c r="I799" t="s">
        <v>5</v>
      </c>
      <c r="J799">
        <v>5048</v>
      </c>
      <c r="K799" s="27" t="s">
        <v>3547</v>
      </c>
    </row>
    <row r="800" spans="1:1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3">
        <v>45734</v>
      </c>
      <c r="G800" s="6" t="s">
        <v>1092</v>
      </c>
      <c r="H800" t="s">
        <v>3500</v>
      </c>
      <c r="I800" t="s">
        <v>10</v>
      </c>
      <c r="J800">
        <v>2549</v>
      </c>
      <c r="K800" s="27" t="s">
        <v>3547</v>
      </c>
    </row>
    <row r="801" spans="1:1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3">
        <v>45671</v>
      </c>
      <c r="G801" s="6" t="s">
        <v>1001</v>
      </c>
      <c r="H801" t="s">
        <v>3500</v>
      </c>
      <c r="I801" t="s">
        <v>16</v>
      </c>
      <c r="J801">
        <v>5929</v>
      </c>
      <c r="K801" s="27" t="s">
        <v>3547</v>
      </c>
    </row>
    <row r="802" spans="1:1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7">
        <v>45849</v>
      </c>
      <c r="G802" s="6" t="s">
        <v>1227</v>
      </c>
      <c r="H802" t="s">
        <v>3501</v>
      </c>
      <c r="I802" t="s">
        <v>135</v>
      </c>
      <c r="J802">
        <v>5324</v>
      </c>
      <c r="K802" s="27" t="s">
        <v>3547</v>
      </c>
    </row>
    <row r="803" spans="1:1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F803" s="3">
        <v>45703</v>
      </c>
      <c r="G803" s="6" t="s">
        <v>1047</v>
      </c>
      <c r="H803" t="s">
        <v>3500</v>
      </c>
      <c r="I803" t="s">
        <v>111</v>
      </c>
      <c r="J803">
        <v>5928</v>
      </c>
      <c r="K803" s="27" t="s">
        <v>3547</v>
      </c>
    </row>
    <row r="804" spans="1:1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7">
        <v>45878</v>
      </c>
      <c r="G804" s="6" t="s">
        <v>1256</v>
      </c>
      <c r="H804" t="s">
        <v>3501</v>
      </c>
      <c r="I804" t="s">
        <v>289</v>
      </c>
      <c r="J804">
        <v>2194</v>
      </c>
      <c r="K804" s="27" t="s">
        <v>3547</v>
      </c>
    </row>
    <row r="805" spans="1:1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3">
        <v>45777</v>
      </c>
      <c r="G805" s="6" t="s">
        <v>1144</v>
      </c>
      <c r="H805" t="s">
        <v>3500</v>
      </c>
      <c r="I805" t="s">
        <v>133</v>
      </c>
      <c r="J805">
        <v>5912</v>
      </c>
      <c r="K805" s="27" t="s">
        <v>3547</v>
      </c>
    </row>
    <row r="806" spans="1:1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3">
        <v>45754</v>
      </c>
      <c r="G806" s="6" t="s">
        <v>1112</v>
      </c>
      <c r="H806" t="s">
        <v>3500</v>
      </c>
      <c r="I806" t="s">
        <v>119</v>
      </c>
      <c r="J806">
        <v>5766</v>
      </c>
      <c r="K806" s="27" t="s">
        <v>3547</v>
      </c>
    </row>
    <row r="807" spans="1:1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3">
        <v>45734</v>
      </c>
      <c r="G807" s="6" t="s">
        <v>1093</v>
      </c>
      <c r="H807" t="s">
        <v>3500</v>
      </c>
      <c r="I807" t="s">
        <v>102</v>
      </c>
      <c r="J807">
        <v>5770</v>
      </c>
      <c r="K807" s="27" t="s">
        <v>3547</v>
      </c>
    </row>
    <row r="808" spans="1:1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3">
        <v>45722</v>
      </c>
      <c r="G808" s="6" t="s">
        <v>1077</v>
      </c>
      <c r="H808" t="s">
        <v>3500</v>
      </c>
      <c r="I808" t="s">
        <v>225</v>
      </c>
      <c r="J808">
        <v>5909</v>
      </c>
      <c r="K808" s="27" t="s">
        <v>3547</v>
      </c>
    </row>
    <row r="809" spans="1:1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3">
        <v>45716</v>
      </c>
      <c r="G809" s="6" t="s">
        <v>1070</v>
      </c>
      <c r="H809" t="s">
        <v>3500</v>
      </c>
      <c r="I809" t="s">
        <v>34</v>
      </c>
      <c r="J809">
        <v>2548</v>
      </c>
      <c r="K809" s="27" t="s">
        <v>3547</v>
      </c>
    </row>
    <row r="810" spans="1:1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3">
        <v>45693</v>
      </c>
      <c r="G810" s="6" t="s">
        <v>1032</v>
      </c>
      <c r="H810" t="s">
        <v>3500</v>
      </c>
      <c r="I810" t="s">
        <v>57</v>
      </c>
      <c r="J810">
        <v>5935</v>
      </c>
      <c r="K810" s="27" t="s">
        <v>3547</v>
      </c>
    </row>
    <row r="811" spans="1:1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7">
        <v>45859</v>
      </c>
      <c r="G811" s="15" t="s">
        <v>1236</v>
      </c>
      <c r="H811" t="s">
        <v>3500</v>
      </c>
      <c r="I811" t="s">
        <v>111</v>
      </c>
      <c r="J811">
        <v>5767</v>
      </c>
      <c r="K811" s="27" t="s">
        <v>3547</v>
      </c>
    </row>
    <row r="812" spans="1:1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7">
        <v>45874</v>
      </c>
      <c r="G812" s="15" t="s">
        <v>1252</v>
      </c>
      <c r="H812" t="s">
        <v>3501</v>
      </c>
      <c r="I812" t="s">
        <v>19</v>
      </c>
      <c r="J812">
        <v>2200</v>
      </c>
      <c r="K812" s="27" t="s">
        <v>3547</v>
      </c>
    </row>
    <row r="813" spans="1:1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7">
        <v>45861</v>
      </c>
      <c r="G813" s="6" t="s">
        <v>1237</v>
      </c>
      <c r="H813" t="s">
        <v>3501</v>
      </c>
      <c r="I813" t="s">
        <v>1238</v>
      </c>
      <c r="J813">
        <v>5046</v>
      </c>
      <c r="K813" s="27" t="s">
        <v>3547</v>
      </c>
    </row>
    <row r="814" spans="1:1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3">
        <v>45706</v>
      </c>
      <c r="G814" s="6" t="s">
        <v>1049</v>
      </c>
      <c r="H814" t="s">
        <v>3500</v>
      </c>
      <c r="I814" t="s">
        <v>213</v>
      </c>
      <c r="J814">
        <v>5927</v>
      </c>
      <c r="K814" s="27" t="s">
        <v>3547</v>
      </c>
    </row>
    <row r="815" spans="1:1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3">
        <v>45693</v>
      </c>
      <c r="G815" s="6" t="s">
        <v>1031</v>
      </c>
      <c r="H815" t="s">
        <v>3500</v>
      </c>
      <c r="I815" t="s">
        <v>261</v>
      </c>
      <c r="J815">
        <v>5769</v>
      </c>
      <c r="K815" s="27" t="s">
        <v>3547</v>
      </c>
    </row>
    <row r="816" spans="1:1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7">
        <v>45898</v>
      </c>
      <c r="G816" s="5" t="s">
        <v>1273</v>
      </c>
      <c r="H816" t="s">
        <v>3501</v>
      </c>
      <c r="I816" t="s">
        <v>1274</v>
      </c>
      <c r="J816">
        <v>5327</v>
      </c>
      <c r="K816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3">
        <v>45679</v>
      </c>
      <c r="G817" s="6" t="s">
        <v>1011</v>
      </c>
      <c r="H817" t="s">
        <v>3500</v>
      </c>
      <c r="I817" t="s">
        <v>127</v>
      </c>
      <c r="J817">
        <v>5929</v>
      </c>
      <c r="K817" s="27" t="s">
        <v>3547</v>
      </c>
    </row>
    <row r="818" spans="1:1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7">
        <v>45794</v>
      </c>
      <c r="G818" s="6" t="s">
        <v>1161</v>
      </c>
      <c r="H818" t="s">
        <v>3500</v>
      </c>
      <c r="I818" t="s">
        <v>281</v>
      </c>
      <c r="J818">
        <v>5924</v>
      </c>
      <c r="K818" s="27" t="s">
        <v>3547</v>
      </c>
    </row>
    <row r="819" spans="1:1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7">
        <v>45909</v>
      </c>
      <c r="G819" s="5" t="s">
        <v>3494</v>
      </c>
      <c r="H819" t="s">
        <v>3499</v>
      </c>
      <c r="I819" t="s">
        <v>119</v>
      </c>
      <c r="J819">
        <v>5042</v>
      </c>
      <c r="K819" t="s">
        <v>3547</v>
      </c>
    </row>
    <row r="820" spans="1:1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3">
        <v>45765</v>
      </c>
      <c r="G820" s="6" t="s">
        <v>1126</v>
      </c>
      <c r="H820" t="s">
        <v>3500</v>
      </c>
      <c r="I820" t="s">
        <v>131</v>
      </c>
      <c r="J820">
        <v>5910</v>
      </c>
      <c r="K820" s="27" t="s">
        <v>3547</v>
      </c>
    </row>
    <row r="821" spans="1:1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7">
        <v>45811</v>
      </c>
      <c r="G821" s="6" t="s">
        <v>1178</v>
      </c>
      <c r="H821" t="s">
        <v>3500</v>
      </c>
      <c r="I821" t="s">
        <v>283</v>
      </c>
      <c r="J821">
        <v>5920</v>
      </c>
      <c r="K821" s="27" t="s">
        <v>3547</v>
      </c>
    </row>
    <row r="822" spans="1:11" x14ac:dyDescent="0.25">
      <c r="A822" s="10">
        <v>41246</v>
      </c>
      <c r="B822" t="str">
        <f>_xlfn.CONCAT(bron[[#This Row],[personeelsnr]]," ",bron[[#This Row],[achternaam]]," ",bron[[#This Row],[voornaam]])</f>
        <v>41246 Van Holsbeeck Yana</v>
      </c>
      <c r="C822" s="10" t="str">
        <f>VLOOKUP(bron[[#This Row],[personeelsnr]],'data hastus'!$A:$C,2,0)</f>
        <v>Van Holsbeeck</v>
      </c>
      <c r="D822" s="10" t="str">
        <f>VLOOKUP(bron[[#This Row],[personeelsnr]],'data hastus'!$A:$C,3,0)</f>
        <v>Yana</v>
      </c>
      <c r="E822" s="10" t="str">
        <f>VLOOKUP(bron[[#This Row],[personeelsnr]],'data hastus'!A:K,11,FALSE)</f>
        <v>Dominique De Clercq</v>
      </c>
      <c r="F822" s="11">
        <v>45732</v>
      </c>
      <c r="G822" s="12" t="s">
        <v>1090</v>
      </c>
      <c r="H822" t="s">
        <v>3500</v>
      </c>
      <c r="I822" s="10" t="s">
        <v>121</v>
      </c>
      <c r="J822">
        <v>5928</v>
      </c>
      <c r="K822" s="27" t="s">
        <v>3547</v>
      </c>
    </row>
    <row r="823" spans="1:1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3">
        <v>45708</v>
      </c>
      <c r="G823" s="6" t="s">
        <v>1053</v>
      </c>
      <c r="H823" t="s">
        <v>3500</v>
      </c>
      <c r="I823" t="s">
        <v>131</v>
      </c>
      <c r="J823">
        <v>5916</v>
      </c>
      <c r="K823" s="27" t="s">
        <v>3547</v>
      </c>
    </row>
    <row r="824" spans="1:1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7">
        <v>45907</v>
      </c>
      <c r="G824" s="6" t="s">
        <v>3534</v>
      </c>
      <c r="H824" t="s">
        <v>3501</v>
      </c>
      <c r="I824" t="s">
        <v>13</v>
      </c>
      <c r="J824">
        <v>5259</v>
      </c>
      <c r="K824" t="s">
        <v>3547</v>
      </c>
    </row>
    <row r="825" spans="1:1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7">
        <v>45915</v>
      </c>
      <c r="G825" s="5" t="s">
        <v>3539</v>
      </c>
      <c r="H825" t="s">
        <v>3499</v>
      </c>
      <c r="I825" t="s">
        <v>25</v>
      </c>
      <c r="J825">
        <v>5237</v>
      </c>
      <c r="K825" t="s">
        <v>3547</v>
      </c>
    </row>
    <row r="826" spans="1:1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7">
        <v>45867</v>
      </c>
      <c r="G826" s="15" t="s">
        <v>1246</v>
      </c>
      <c r="H826" t="s">
        <v>3501</v>
      </c>
      <c r="I826" t="s">
        <v>141</v>
      </c>
      <c r="J826">
        <v>5271</v>
      </c>
      <c r="K826" s="27" t="s">
        <v>3547</v>
      </c>
    </row>
    <row r="827" spans="1:1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3">
        <v>45883</v>
      </c>
      <c r="G827" s="15" t="s">
        <v>1287</v>
      </c>
      <c r="H827" t="s">
        <v>3500</v>
      </c>
      <c r="I827" t="s">
        <v>10</v>
      </c>
      <c r="J827">
        <v>5927</v>
      </c>
      <c r="K827" s="27" t="s">
        <v>3548</v>
      </c>
    </row>
    <row r="828" spans="1:1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3">
        <v>45702</v>
      </c>
      <c r="G828" s="6" t="s">
        <v>1046</v>
      </c>
      <c r="H828" t="s">
        <v>3500</v>
      </c>
      <c r="I828" t="s">
        <v>60</v>
      </c>
      <c r="J828">
        <v>5909</v>
      </c>
      <c r="K828" s="27" t="s">
        <v>3547</v>
      </c>
    </row>
    <row r="829" spans="1:1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7">
        <v>45810</v>
      </c>
      <c r="G829" s="6" t="s">
        <v>1175</v>
      </c>
      <c r="H829" t="s">
        <v>3500</v>
      </c>
      <c r="I829" t="s">
        <v>28</v>
      </c>
      <c r="J829">
        <v>5489</v>
      </c>
      <c r="K829" s="27" t="s">
        <v>3547</v>
      </c>
    </row>
    <row r="830" spans="1:1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7">
        <v>45902</v>
      </c>
      <c r="G830" s="5" t="s">
        <v>1327</v>
      </c>
      <c r="H830" t="s">
        <v>3501</v>
      </c>
      <c r="I830" t="s">
        <v>385</v>
      </c>
      <c r="J830">
        <v>5233</v>
      </c>
      <c r="K830" t="s">
        <v>3547</v>
      </c>
    </row>
    <row r="831" spans="1:1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7">
        <v>45864</v>
      </c>
      <c r="G831" s="6" t="s">
        <v>1288</v>
      </c>
      <c r="H831" t="s">
        <v>3500</v>
      </c>
      <c r="I831" t="s">
        <v>108</v>
      </c>
      <c r="J831">
        <v>5767</v>
      </c>
      <c r="K831" s="27" t="s">
        <v>3548</v>
      </c>
    </row>
    <row r="832" spans="1:1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7">
        <v>45800</v>
      </c>
      <c r="G832" s="6" t="s">
        <v>1165</v>
      </c>
      <c r="H832" t="s">
        <v>3500</v>
      </c>
      <c r="I832" t="s">
        <v>34</v>
      </c>
      <c r="J832">
        <v>5928</v>
      </c>
      <c r="K832" s="27" t="s">
        <v>3547</v>
      </c>
    </row>
    <row r="833" spans="1:1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7">
        <v>45891</v>
      </c>
      <c r="G833" s="5" t="s">
        <v>1266</v>
      </c>
      <c r="H833" t="s">
        <v>3501</v>
      </c>
      <c r="I833" t="s">
        <v>113</v>
      </c>
      <c r="J833">
        <v>5052</v>
      </c>
      <c r="K833" t="s">
        <v>3547</v>
      </c>
    </row>
    <row r="834" spans="1:1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7">
        <v>45891</v>
      </c>
      <c r="G834" s="6" t="s">
        <v>1265</v>
      </c>
      <c r="H834" t="s">
        <v>3501</v>
      </c>
      <c r="I834" t="s">
        <v>22</v>
      </c>
      <c r="J834">
        <v>5238</v>
      </c>
      <c r="K834" t="s">
        <v>3547</v>
      </c>
    </row>
    <row r="835" spans="1:1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3">
        <v>45766</v>
      </c>
      <c r="G835" s="6" t="s">
        <v>1130</v>
      </c>
      <c r="H835" t="s">
        <v>3500</v>
      </c>
      <c r="I835" t="s">
        <v>269</v>
      </c>
      <c r="J835">
        <v>5919</v>
      </c>
      <c r="K835" s="27" t="s">
        <v>3547</v>
      </c>
    </row>
    <row r="836" spans="1:1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7">
        <v>45899</v>
      </c>
      <c r="G836" s="5" t="s">
        <v>1275</v>
      </c>
      <c r="H836" t="s">
        <v>3501</v>
      </c>
      <c r="I836" t="s">
        <v>546</v>
      </c>
      <c r="J836">
        <v>5044</v>
      </c>
      <c r="K836" t="s">
        <v>3547</v>
      </c>
    </row>
    <row r="837" spans="1:1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3">
        <v>45736</v>
      </c>
      <c r="G837" s="6" t="s">
        <v>1098</v>
      </c>
      <c r="H837" t="s">
        <v>3500</v>
      </c>
      <c r="I837" t="s">
        <v>145</v>
      </c>
      <c r="J837">
        <v>8138</v>
      </c>
      <c r="K837" s="27" t="s">
        <v>3547</v>
      </c>
    </row>
    <row r="838" spans="1:1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3">
        <v>45769</v>
      </c>
      <c r="G838" s="6" t="s">
        <v>1133</v>
      </c>
      <c r="H838" t="s">
        <v>3500</v>
      </c>
      <c r="I838" t="s">
        <v>183</v>
      </c>
      <c r="J838">
        <v>7897</v>
      </c>
      <c r="K838" s="27" t="s">
        <v>3547</v>
      </c>
    </row>
    <row r="839" spans="1:1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7">
        <v>45807</v>
      </c>
      <c r="G839" s="6" t="s">
        <v>1172</v>
      </c>
      <c r="H839" t="s">
        <v>3500</v>
      </c>
      <c r="I839" t="s">
        <v>57</v>
      </c>
      <c r="J839">
        <v>5927</v>
      </c>
      <c r="K839" s="27" t="s">
        <v>3547</v>
      </c>
    </row>
    <row r="840" spans="1:1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7">
        <v>45799</v>
      </c>
      <c r="G840" s="6" t="s">
        <v>1164</v>
      </c>
      <c r="H840" t="s">
        <v>3500</v>
      </c>
      <c r="I840" t="s">
        <v>46</v>
      </c>
      <c r="J840">
        <v>8232</v>
      </c>
      <c r="K840" s="27" t="s">
        <v>3547</v>
      </c>
    </row>
    <row r="841" spans="1:1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7">
        <v>45902</v>
      </c>
      <c r="G841" s="5" t="s">
        <v>3491</v>
      </c>
      <c r="H841" t="s">
        <v>3500</v>
      </c>
      <c r="I841" t="s">
        <v>3492</v>
      </c>
      <c r="J841">
        <v>550311</v>
      </c>
      <c r="K841" t="s">
        <v>3547</v>
      </c>
    </row>
    <row r="842" spans="1:1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7">
        <v>45829</v>
      </c>
      <c r="G842" s="6" t="s">
        <v>1196</v>
      </c>
      <c r="H842" t="s">
        <v>3500</v>
      </c>
      <c r="I842" t="s">
        <v>54</v>
      </c>
      <c r="J842">
        <v>5771</v>
      </c>
      <c r="K842" s="27" t="s">
        <v>3547</v>
      </c>
    </row>
    <row r="843" spans="1:1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7">
        <v>45915</v>
      </c>
      <c r="G843" s="5" t="s">
        <v>3541</v>
      </c>
      <c r="H843" t="s">
        <v>3500</v>
      </c>
      <c r="I843" t="s">
        <v>51</v>
      </c>
      <c r="J843">
        <v>5763</v>
      </c>
      <c r="K843" t="s">
        <v>3547</v>
      </c>
    </row>
    <row r="844" spans="1:1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7">
        <v>45798</v>
      </c>
      <c r="G844" s="6" t="s">
        <v>1162</v>
      </c>
      <c r="H844" t="s">
        <v>3500</v>
      </c>
      <c r="I844" t="s">
        <v>108</v>
      </c>
      <c r="J844">
        <v>2546</v>
      </c>
      <c r="K844" s="27" t="s">
        <v>3547</v>
      </c>
    </row>
    <row r="845" spans="1:1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7">
        <v>45898</v>
      </c>
      <c r="G845" s="5" t="s">
        <v>1272</v>
      </c>
      <c r="H845" t="s">
        <v>3499</v>
      </c>
      <c r="I845" t="s">
        <v>5</v>
      </c>
      <c r="J845">
        <v>2193</v>
      </c>
      <c r="K845" t="s">
        <v>3547</v>
      </c>
    </row>
    <row r="846" spans="1:1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7">
        <v>45828</v>
      </c>
      <c r="G846" s="6" t="s">
        <v>1194</v>
      </c>
      <c r="H846" t="s">
        <v>3500</v>
      </c>
      <c r="I846" t="s">
        <v>57</v>
      </c>
      <c r="J846">
        <v>5938</v>
      </c>
      <c r="K846" s="27" t="s">
        <v>3547</v>
      </c>
    </row>
    <row r="847" spans="1:1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1262</v>
      </c>
      <c r="D847" t="s">
        <v>1263</v>
      </c>
      <c r="E847" t="s">
        <v>76</v>
      </c>
      <c r="F847" s="7">
        <v>45891</v>
      </c>
      <c r="G847" s="15" t="s">
        <v>1264</v>
      </c>
      <c r="H847" t="s">
        <v>3500</v>
      </c>
      <c r="I847" t="s">
        <v>5</v>
      </c>
      <c r="J847">
        <v>5765</v>
      </c>
      <c r="K847" t="s">
        <v>3547</v>
      </c>
    </row>
    <row r="848" spans="1:1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1216</v>
      </c>
      <c r="D848" t="s">
        <v>1217</v>
      </c>
      <c r="E848" t="s">
        <v>76</v>
      </c>
      <c r="F848" s="7">
        <v>45845</v>
      </c>
      <c r="G848" s="6" t="s">
        <v>1218</v>
      </c>
      <c r="H848" t="s">
        <v>3500</v>
      </c>
      <c r="I848" t="s">
        <v>16</v>
      </c>
      <c r="J848">
        <v>5921</v>
      </c>
      <c r="K848" s="27" t="s">
        <v>3547</v>
      </c>
    </row>
    <row r="849" spans="1:1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7">
        <v>45876</v>
      </c>
      <c r="G849" s="15" t="s">
        <v>1254</v>
      </c>
      <c r="H849" t="s">
        <v>3500</v>
      </c>
      <c r="I849" t="s">
        <v>54</v>
      </c>
      <c r="J849">
        <v>5923</v>
      </c>
      <c r="K849" s="27" t="s">
        <v>3547</v>
      </c>
    </row>
    <row r="850" spans="1:1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7">
        <v>45892</v>
      </c>
      <c r="G850" s="5" t="s">
        <v>1267</v>
      </c>
      <c r="H850" t="s">
        <v>3501</v>
      </c>
      <c r="I850" t="s">
        <v>51</v>
      </c>
      <c r="J850">
        <v>5048</v>
      </c>
      <c r="K850" t="s">
        <v>3547</v>
      </c>
    </row>
    <row r="851" spans="1:1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7">
        <v>45884</v>
      </c>
      <c r="G851" s="15" t="s">
        <v>1259</v>
      </c>
      <c r="H851" t="s">
        <v>3500</v>
      </c>
      <c r="I851" t="s">
        <v>243</v>
      </c>
      <c r="J851">
        <v>5912</v>
      </c>
      <c r="K851" t="s">
        <v>3547</v>
      </c>
    </row>
    <row r="852" spans="1:1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7">
        <v>45901</v>
      </c>
      <c r="G852" s="5" t="s">
        <v>1325</v>
      </c>
      <c r="H852" t="s">
        <v>3500</v>
      </c>
      <c r="I852" t="s">
        <v>1326</v>
      </c>
      <c r="J852">
        <v>5938</v>
      </c>
      <c r="K852" t="s">
        <v>3547</v>
      </c>
    </row>
    <row r="853" spans="1:1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7">
        <v>45862</v>
      </c>
      <c r="G853" s="6" t="s">
        <v>1303</v>
      </c>
      <c r="H853" t="s">
        <v>3500</v>
      </c>
      <c r="I853" t="s">
        <v>16</v>
      </c>
      <c r="J853">
        <v>5924</v>
      </c>
      <c r="K853" s="27" t="s">
        <v>3548</v>
      </c>
    </row>
    <row r="854" spans="1:1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7">
        <v>45904</v>
      </c>
      <c r="G854" s="5" t="s">
        <v>3488</v>
      </c>
      <c r="H854" t="s">
        <v>3500</v>
      </c>
      <c r="I854" t="s">
        <v>10</v>
      </c>
      <c r="J854">
        <v>2548</v>
      </c>
      <c r="K854" t="s">
        <v>3547</v>
      </c>
    </row>
    <row r="855" spans="1:1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7">
        <v>45894</v>
      </c>
      <c r="G855" s="5" t="s">
        <v>1268</v>
      </c>
      <c r="H855" t="s">
        <v>3500</v>
      </c>
      <c r="I855" t="s">
        <v>293</v>
      </c>
      <c r="J855">
        <v>8137</v>
      </c>
      <c r="K855" t="s">
        <v>3547</v>
      </c>
    </row>
    <row r="856" spans="1:1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7">
        <v>45915</v>
      </c>
      <c r="G856" s="5" t="s">
        <v>3540</v>
      </c>
      <c r="H856" t="s">
        <v>3500</v>
      </c>
      <c r="I856" t="s">
        <v>3538</v>
      </c>
      <c r="J856">
        <v>5488</v>
      </c>
      <c r="K856" t="s">
        <v>3547</v>
      </c>
    </row>
    <row r="857" spans="1:1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7">
        <v>45916</v>
      </c>
      <c r="G857" s="5" t="s">
        <v>3543</v>
      </c>
      <c r="H857" t="s">
        <v>3535</v>
      </c>
      <c r="I857" t="s">
        <v>1300</v>
      </c>
      <c r="J857">
        <v>6334</v>
      </c>
      <c r="K857" t="s">
        <v>3548</v>
      </c>
    </row>
    <row r="858" spans="1:1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7">
        <v>45909</v>
      </c>
      <c r="G858" s="5" t="s">
        <v>3544</v>
      </c>
      <c r="H858" t="s">
        <v>3500</v>
      </c>
      <c r="I858" t="s">
        <v>3545</v>
      </c>
      <c r="J858">
        <v>4678</v>
      </c>
      <c r="K858" s="27" t="s">
        <v>3547</v>
      </c>
    </row>
    <row r="859" spans="1:1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7">
        <v>45912</v>
      </c>
      <c r="G859" s="5" t="s">
        <v>3550</v>
      </c>
      <c r="H859" t="s">
        <v>3501</v>
      </c>
      <c r="I859" t="s">
        <v>48</v>
      </c>
      <c r="J859">
        <v>5265</v>
      </c>
      <c r="K859" s="27" t="s">
        <v>3547</v>
      </c>
    </row>
    <row r="860" spans="1:1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7">
        <v>45917</v>
      </c>
      <c r="G860" s="5" t="s">
        <v>3551</v>
      </c>
      <c r="H860" t="s">
        <v>3500</v>
      </c>
      <c r="I860" t="s">
        <v>3552</v>
      </c>
      <c r="J860">
        <v>5913</v>
      </c>
      <c r="K860" s="27" t="s">
        <v>3547</v>
      </c>
    </row>
    <row r="861" spans="1:1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7">
        <v>45912</v>
      </c>
      <c r="G861" s="5" t="s">
        <v>3555</v>
      </c>
      <c r="H861" t="s">
        <v>3501</v>
      </c>
      <c r="I861" t="s">
        <v>100</v>
      </c>
      <c r="J861">
        <v>2193</v>
      </c>
      <c r="K861" s="27" t="s">
        <v>3547</v>
      </c>
    </row>
    <row r="862" spans="1:1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7">
        <v>45869</v>
      </c>
      <c r="G862" s="5" t="s">
        <v>3609</v>
      </c>
      <c r="H862" t="s">
        <v>3501</v>
      </c>
      <c r="I862" t="s">
        <v>500</v>
      </c>
      <c r="J862">
        <v>5042</v>
      </c>
      <c r="K862" s="27" t="s">
        <v>3547</v>
      </c>
    </row>
    <row r="863" spans="1:1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7">
        <v>45919</v>
      </c>
      <c r="G863" s="5" t="s">
        <v>3612</v>
      </c>
      <c r="H863" t="s">
        <v>3500</v>
      </c>
      <c r="I863" t="s">
        <v>521</v>
      </c>
      <c r="J863">
        <v>5488</v>
      </c>
      <c r="K863" s="27" t="s">
        <v>3548</v>
      </c>
    </row>
    <row r="864" spans="1:1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7">
        <v>45917</v>
      </c>
      <c r="G864" s="5" t="s">
        <v>3613</v>
      </c>
      <c r="H864" t="s">
        <v>3500</v>
      </c>
      <c r="I864" t="s">
        <v>28</v>
      </c>
      <c r="J864">
        <v>5488</v>
      </c>
      <c r="K864" s="27" t="s">
        <v>3547</v>
      </c>
    </row>
    <row r="865" spans="1:1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7">
        <v>45922</v>
      </c>
      <c r="G865" s="5" t="s">
        <v>3614</v>
      </c>
      <c r="H865" t="s">
        <v>3500</v>
      </c>
      <c r="I865" t="s">
        <v>3615</v>
      </c>
      <c r="J865">
        <v>2047</v>
      </c>
      <c r="K865" s="27" t="s">
        <v>3547</v>
      </c>
    </row>
    <row r="866" spans="1:11" x14ac:dyDescent="0.25">
      <c r="A866">
        <v>19917</v>
      </c>
      <c r="B866" t="str">
        <f>_xlfn.CONCAT(bron[[#This Row],[personeelsnr]]," ",bron[[#This Row],[achternaam]]," ",bron[[#This Row],[voornaam]])</f>
        <v>19917 Vandevyvere Frank</v>
      </c>
      <c r="C866" t="str">
        <f>VLOOKUP(bron[[#This Row],[personeelsnr]],'data hastus'!$A:$C,2,0)</f>
        <v>Vandevyvere</v>
      </c>
      <c r="D866" t="str">
        <f>VLOOKUP(bron[[#This Row],[personeelsnr]],'data hastus'!$A:$C,3,0)</f>
        <v>Frank</v>
      </c>
      <c r="E866" t="str">
        <f>VLOOKUP(bron[[#This Row],[personeelsnr]],'data hastus'!A:K,11,FALSE)</f>
        <v>Bart Van Der Beken</v>
      </c>
      <c r="F866" s="7">
        <v>45925</v>
      </c>
      <c r="G866" s="5" t="s">
        <v>3626</v>
      </c>
      <c r="H866" t="s">
        <v>3500</v>
      </c>
      <c r="I866" t="s">
        <v>1311</v>
      </c>
      <c r="J866">
        <v>5938</v>
      </c>
      <c r="K866" s="27" t="s">
        <v>3548</v>
      </c>
    </row>
    <row r="867" spans="1:1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</row>
    <row r="868" spans="1:1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</row>
    <row r="869" spans="1:1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</row>
    <row r="870" spans="1:1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</row>
    <row r="871" spans="1:1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</row>
    <row r="872" spans="1:11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7">
        <v>45922</v>
      </c>
      <c r="G872" s="5" t="s">
        <v>3616</v>
      </c>
      <c r="H872" t="s">
        <v>3536</v>
      </c>
      <c r="I872" t="s">
        <v>5</v>
      </c>
      <c r="J872">
        <v>6375</v>
      </c>
      <c r="K872" s="27" t="s">
        <v>3547</v>
      </c>
    </row>
    <row r="873" spans="1:11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7">
        <v>45919</v>
      </c>
      <c r="G873" s="5" t="s">
        <v>3617</v>
      </c>
      <c r="H873" t="s">
        <v>3500</v>
      </c>
      <c r="I873" t="s">
        <v>84</v>
      </c>
      <c r="J873">
        <v>5923</v>
      </c>
      <c r="K873" s="27" t="s">
        <v>3547</v>
      </c>
    </row>
    <row r="874" spans="1:11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7">
        <v>45922</v>
      </c>
      <c r="G874" s="5" t="s">
        <v>3618</v>
      </c>
      <c r="H874" t="s">
        <v>3501</v>
      </c>
      <c r="I874" t="s">
        <v>3619</v>
      </c>
      <c r="J874">
        <v>5225</v>
      </c>
      <c r="K874" s="27" t="s">
        <v>3620</v>
      </c>
    </row>
    <row r="875" spans="1:11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7">
        <v>45923</v>
      </c>
      <c r="G875" s="5" t="s">
        <v>3621</v>
      </c>
      <c r="H875" t="s">
        <v>3500</v>
      </c>
      <c r="I875" t="s">
        <v>40</v>
      </c>
      <c r="J875">
        <v>2047</v>
      </c>
      <c r="K875" s="27" t="s">
        <v>3547</v>
      </c>
    </row>
    <row r="876" spans="1:11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7">
        <v>45924</v>
      </c>
      <c r="G876" s="5" t="s">
        <v>3622</v>
      </c>
      <c r="H876" t="s">
        <v>3500</v>
      </c>
      <c r="I876" t="s">
        <v>3615</v>
      </c>
      <c r="J876">
        <v>2085</v>
      </c>
      <c r="K876" s="27" t="s">
        <v>3547</v>
      </c>
    </row>
    <row r="877" spans="1:11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7">
        <v>45923</v>
      </c>
      <c r="G877" s="5" t="s">
        <v>3623</v>
      </c>
      <c r="H877" t="s">
        <v>3535</v>
      </c>
      <c r="I877" t="s">
        <v>75</v>
      </c>
      <c r="J877">
        <v>6328</v>
      </c>
      <c r="K877" s="27" t="s">
        <v>3548</v>
      </c>
    </row>
    <row r="878" spans="1:11" x14ac:dyDescent="0.25">
      <c r="A878">
        <v>41888</v>
      </c>
      <c r="B878" t="str">
        <f>_xlfn.CONCAT(bron[[#This Row],[personeelsnr]]," ",bron[[#This Row],[achternaam]]," ",bron[[#This Row],[voornaam]])</f>
        <v>41888 De Rammelaere Bjorn</v>
      </c>
      <c r="C878" t="str">
        <f>VLOOKUP(bron[[#This Row],[personeelsnr]],'data hastus'!$A:$C,2,0)</f>
        <v>De Rammelaere</v>
      </c>
      <c r="D878" t="str">
        <f>VLOOKUP(bron[[#This Row],[personeelsnr]],'data hastus'!$A:$C,3,0)</f>
        <v>Bjorn</v>
      </c>
      <c r="E878" t="str">
        <f>VLOOKUP(bron[[#This Row],[personeelsnr]],'data hastus'!A:K,11,FALSE)</f>
        <v>Kenneth De Rick</v>
      </c>
      <c r="F878" s="7">
        <v>45924</v>
      </c>
      <c r="G878" s="5" t="s">
        <v>3624</v>
      </c>
      <c r="H878" t="s">
        <v>3500</v>
      </c>
      <c r="I878" t="s">
        <v>3625</v>
      </c>
      <c r="J878">
        <v>5922</v>
      </c>
      <c r="K878" s="27" t="s">
        <v>3548</v>
      </c>
    </row>
    <row r="879" spans="1:11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</row>
    <row r="880" spans="1:11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</row>
    <row r="881" spans="2:5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</row>
    <row r="882" spans="2:5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</row>
    <row r="883" spans="2:5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</row>
    <row r="884" spans="2:5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</row>
    <row r="885" spans="2:5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</row>
    <row r="886" spans="2:5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</row>
    <row r="887" spans="2:5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</row>
    <row r="888" spans="2:5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</row>
    <row r="889" spans="2:5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</row>
    <row r="890" spans="2:5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</row>
    <row r="891" spans="2:5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</row>
    <row r="892" spans="2:5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</row>
    <row r="893" spans="2:5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</row>
    <row r="894" spans="2:5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</row>
    <row r="895" spans="2:5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</row>
    <row r="896" spans="2:5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</row>
    <row r="897" spans="2:5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</row>
    <row r="898" spans="2:5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</row>
    <row r="899" spans="2:5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</row>
    <row r="900" spans="2:5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</row>
    <row r="901" spans="2:5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</row>
    <row r="902" spans="2:5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</row>
    <row r="903" spans="2:5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</row>
    <row r="904" spans="2:5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</row>
    <row r="905" spans="2:5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</row>
    <row r="906" spans="2:5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</row>
    <row r="907" spans="2:5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</row>
    <row r="908" spans="2:5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</row>
    <row r="909" spans="2:5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</row>
    <row r="910" spans="2:5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</row>
  </sheetData>
  <sheetProtection sort="0" autoFilter="0"/>
  <phoneticPr fontId="1" type="noConversion"/>
  <hyperlinks>
    <hyperlink ref="G609" r:id="rId1" xr:uid="{069AB0F3-66D9-443A-A282-BECCE4BC15A4}"/>
    <hyperlink ref="G697" r:id="rId2" xr:uid="{266ED411-E9BA-4025-B809-BF681D6EF2C2}"/>
    <hyperlink ref="G555" r:id="rId3" display="../../../../../../../:b:/r/teams/CTM-OTGentStad/Shared Documents/General/EAF/CSI(nieuwe sharepoint) 2025/1. Januari/EAF 6337 Gent 17012025.pdf?csf=1&amp;web=1&amp;e=HIde3n" xr:uid="{B7A5B04D-2444-4A69-96EE-429FE1FAEFC1}"/>
    <hyperlink ref="G647" r:id="rId4" display="../../../../../../../:b:/r/teams/CTM-OTGentStad/Shared Documents/General/EAF/CSI(nieuwe sharepoint) 2025/1. Januari/EAF 6356 Gentbrugge 18012025.pdf?csf=1&amp;web=1&amp;e=mefvXc" xr:uid="{3B1FF491-C1E6-43FD-A0C3-057465EB5192}"/>
    <hyperlink ref="G568" r:id="rId5" display="../../../../../../../:b:/r/teams/CTM-OTGentStad/Shared Documents/General/EAF/CSI(nieuwe sharepoint) 2025/1. Januari/EAF 5263 Mariakerke 13012025.pdf?csf=1&amp;web=1&amp;e=qFf0hX" xr:uid="{1AF9CACF-A798-4483-851F-5828A099BE42}"/>
    <hyperlink ref="G746" r:id="rId6" display="../../../../../../../:b:/r/teams/CTM-OTGentStad/Shared Documents/General/EAF/CSI(nieuwe sharepoint) 2025/1. Januari/EAF 5047 Gent 03012025.pdf?csf=1&amp;web=1&amp;e=ycRhDE" xr:uid="{3AD54217-AB8C-48D0-9A63-05351EF31D35}"/>
    <hyperlink ref="G539" r:id="rId7" xr:uid="{758C2375-3764-4237-851D-A90FFF7D6AC8}"/>
    <hyperlink ref="G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2" r:id="rId10" xr:uid="{F64E53A4-7C17-46F2-BB91-670CFE110D02}"/>
    <hyperlink ref="G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20" r:id="rId12" xr:uid="{E73AE997-AD9B-4405-90F0-3EFD6BA2309E}"/>
    <hyperlink ref="G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809" r:id="rId16" xr:uid="{7921045D-AAB1-4DF0-9E93-D83FFE86B6F5}"/>
    <hyperlink ref="G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784" r:id="rId533" xr:uid="{150DA4FD-1711-4867-B634-D05F4AEFF1A7}"/>
    <hyperlink ref="G776" r:id="rId534" xr:uid="{D4A9EBC2-7040-472D-9CD7-25E0CD73A803}"/>
    <hyperlink ref="G774" r:id="rId535" xr:uid="{863C6FA1-A756-4D70-AC71-51E5A76689C5}"/>
    <hyperlink ref="G522" r:id="rId536" xr:uid="{DACDB412-C833-4291-9C28-79BA532569AA}"/>
    <hyperlink ref="G566" r:id="rId537" xr:uid="{0B00DD93-46E6-429E-BC0E-941F7DDDCE2A}"/>
    <hyperlink ref="G715" r:id="rId538" xr:uid="{225EB26C-7772-460F-A73C-0F374D7AF285}"/>
    <hyperlink ref="G653" r:id="rId539" xr:uid="{BD0527B6-7BCC-4011-AFE4-A7A21EEA6DF1}"/>
    <hyperlink ref="G673" r:id="rId540" xr:uid="{C2CD05F9-E24E-4861-A589-1C820F320F9E}"/>
    <hyperlink ref="G718" r:id="rId541" xr:uid="{FE436817-0B4F-438C-A63D-C51B18F105A4}"/>
    <hyperlink ref="G645" r:id="rId542" xr:uid="{4A3BDEF3-14A7-45E2-8146-4BAA33388E54}"/>
    <hyperlink ref="G767" r:id="rId543" xr:uid="{56E8F87E-FC9C-4191-9A01-2285D988C8C0}"/>
    <hyperlink ref="G727" r:id="rId544" xr:uid="{3BF788E9-2462-4020-AC4B-A66BB6793883}"/>
    <hyperlink ref="G631" r:id="rId545" xr:uid="{67C81648-7A07-49F8-9510-14AC3651BFAC}"/>
    <hyperlink ref="G674" r:id="rId546" xr:uid="{D17842E8-28B7-4700-8F51-1BF6AAFEEDED}"/>
    <hyperlink ref="G812" r:id="rId547" xr:uid="{1D07BE5F-6D45-449E-A856-72ABC302C426}"/>
    <hyperlink ref="G682" r:id="rId548" xr:uid="{74CF06CF-A463-4FAA-9D33-6F2484FDFE16}"/>
    <hyperlink ref="G651" r:id="rId549" xr:uid="{4D2D47F3-D93E-4E06-A609-F6F31A503B9E}"/>
    <hyperlink ref="G804" r:id="rId550" xr:uid="{BB3ADF8B-2677-4058-AC30-13299C7C8573}"/>
    <hyperlink ref="G849" r:id="rId551" xr:uid="{F243989D-7F6A-4CAE-A35A-DDFC357040CB}"/>
    <hyperlink ref="G680" r:id="rId552" xr:uid="{E058195F-A560-43AD-B42C-D9F293BF83BE}"/>
    <hyperlink ref="G792" r:id="rId553" xr:uid="{E23FAE86-C71A-42EC-8B47-C80E9CF9E459}"/>
    <hyperlink ref="G826" r:id="rId554" xr:uid="{56031605-4B81-4A26-9C04-859AC6BC7199}"/>
    <hyperlink ref="G708" r:id="rId555" xr:uid="{37F3A534-9157-4431-A907-DA8F76A26E11}"/>
    <hyperlink ref="G811" r:id="rId556" xr:uid="{3B159F39-D1EE-4FFE-B00F-CD5A30667FFD}"/>
    <hyperlink ref="G798" r:id="rId557" xr:uid="{D0BD2ED7-E6F8-44FF-AA5C-9C16A6C1804B}"/>
    <hyperlink ref="G656" r:id="rId558" xr:uid="{F33A1740-8EB8-4025-8F53-80BACD691CA6}"/>
    <hyperlink ref="G563" r:id="rId559" xr:uid="{9D95C12D-8E65-4229-9718-A51321D9D94F}"/>
    <hyperlink ref="G753" r:id="rId560" xr:uid="{E4224694-117F-4F4F-9BF7-195BE73397D9}"/>
    <hyperlink ref="G730" r:id="rId561" xr:uid="{C8F55B2D-0BB9-4A25-9B22-6ED11D2439AC}"/>
    <hyperlink ref="G627" r:id="rId562" xr:uid="{086A88D0-A6B0-4F2C-A4EA-1445ED053D6B}"/>
    <hyperlink ref="G610" r:id="rId563" xr:uid="{C251BE52-D64A-40F3-8DC1-707966587D02}"/>
    <hyperlink ref="G640" r:id="rId564" xr:uid="{C7F96931-1F41-4392-BB45-AB92C7E8FFD7}"/>
    <hyperlink ref="G570" r:id="rId565" xr:uid="{730C7AE1-7643-4719-8632-C64D319771B0}"/>
    <hyperlink ref="G635" r:id="rId566" xr:uid="{D2369495-C800-435E-BFFA-8E9093A0F80C}"/>
    <hyperlink ref="G669" r:id="rId567" xr:uid="{0008102A-7EB8-4F37-BAC1-D6E4CC390730}"/>
    <hyperlink ref="G630" r:id="rId568" xr:uid="{351AB9DA-E3BE-4B59-ACEA-9324F3745699}"/>
    <hyperlink ref="G817" r:id="rId569" xr:uid="{899603D8-6E8D-4C79-924A-93406B78EE6B}"/>
    <hyperlink ref="G605" r:id="rId570" xr:uid="{A9F5798F-300C-4BC1-A1B4-06B6054503B7}"/>
    <hyperlink ref="G801" r:id="rId571" xr:uid="{81401BA5-C27E-4D6E-A3BE-13A3DE7927D3}"/>
    <hyperlink ref="G791" r:id="rId572" xr:uid="{8B0F07D6-AE8A-451D-8D1C-41E66AA0B123}"/>
    <hyperlink ref="G580" r:id="rId573" xr:uid="{F8D24394-978E-485C-8512-376B34C9D206}"/>
    <hyperlink ref="G743" r:id="rId574" xr:uid="{75BDEF6D-E245-4089-9D06-E52A0E0E795D}"/>
    <hyperlink ref="G670" r:id="rId575" xr:uid="{E465F374-DB36-41EF-9408-9AAAF868BAFE}"/>
    <hyperlink ref="G560" r:id="rId576" xr:uid="{3DE33E38-BC69-43E7-A2F4-FF3992FBB1C9}"/>
    <hyperlink ref="G663" r:id="rId577" xr:uid="{FC00D559-9EF1-4F91-AD31-31D9EA911704}"/>
    <hyperlink ref="G659" r:id="rId578" xr:uid="{C7205737-9829-4547-A889-2926DD023738}"/>
    <hyperlink ref="G759" r:id="rId579" xr:uid="{58642315-5AF4-42F7-BEE7-55CBCF1C9245}"/>
    <hyperlink ref="G754" r:id="rId580" xr:uid="{9F8B2670-1D8E-490C-BA83-01C7BEF546C6}"/>
    <hyperlink ref="G611" r:id="rId581" xr:uid="{82C47FF0-C30B-4A63-B16D-8D26943A680A}"/>
    <hyperlink ref="G595" r:id="rId582" xr:uid="{2EDE9429-F341-4878-AB9F-AF725DA96FB3}"/>
    <hyperlink ref="G586" r:id="rId583" xr:uid="{D0A8B0FF-DF89-4F65-839E-1E68205C5FFF}"/>
    <hyperlink ref="G525" r:id="rId584" xr:uid="{2E040C5D-D095-44E3-B108-B706873F4965}"/>
    <hyperlink ref="G666" r:id="rId585" xr:uid="{C380338D-B4EB-403F-8201-FF24A466E0AE}"/>
    <hyperlink ref="G685" r:id="rId586" xr:uid="{898BACA9-0B24-4041-83A0-D0979000C0A0}"/>
    <hyperlink ref="G684" r:id="rId587" xr:uid="{F35FBE87-2C1F-4A44-AB97-02EB30AC6E6E}"/>
    <hyperlink ref="G716" r:id="rId588" xr:uid="{4D737CE6-73A6-4025-8559-A716C852BB95}"/>
    <hyperlink ref="G552" r:id="rId589" xr:uid="{0FC9E311-23DD-4419-B96B-98BEF4FED6F2}"/>
    <hyperlink ref="G534" r:id="rId590" xr:uid="{CD2DBC0B-1260-46CE-84BB-78105AC98D90}"/>
    <hyperlink ref="G810" r:id="rId591" xr:uid="{E3AA322B-9412-406B-8DCF-EA1782F3C537}"/>
    <hyperlink ref="G778" r:id="rId592" xr:uid="{145D5B93-B022-4AA5-BCE0-1F27B283997C}"/>
    <hyperlink ref="G735" r:id="rId593" xr:uid="{EC15FBBC-3DD8-418C-B6A0-2A05877526FA}"/>
    <hyperlink ref="G803" r:id="rId594" xr:uid="{F9FC5F25-4055-4C41-B010-4340642B1532}"/>
    <hyperlink ref="G814" r:id="rId595" xr:uid="{EC00F961-65B6-466B-B885-D48582405F11}"/>
    <hyperlink ref="G797" r:id="rId596" xr:uid="{07F0B742-6CE5-4373-91E8-D4D1692F9DC3}"/>
    <hyperlink ref="G733" r:id="rId597" xr:uid="{7FA0A5F5-AA81-4888-A3D8-56C51C832365}"/>
    <hyperlink ref="G794" r:id="rId598" xr:uid="{AB21B84C-4547-4A3C-BB78-3A25340BB2F7}"/>
    <hyperlink ref="G823" r:id="rId599" xr:uid="{39217EE0-75C0-4402-B10E-A014D4704D80}"/>
    <hyperlink ref="G642" r:id="rId600" xr:uid="{83E41EC9-3241-447D-B3D2-B8BBE514E846}"/>
    <hyperlink ref="G828" r:id="rId601" xr:uid="{9B7CC6C0-DE32-42AF-A032-A7DE6B20A49A}"/>
    <hyperlink ref="G815" r:id="rId602" xr:uid="{0B1560EE-DF6A-4F3C-95E1-15E330022847}"/>
    <hyperlink ref="G546" r:id="rId603" xr:uid="{516D4D8A-BCD6-4BD2-A762-62154B283621}"/>
    <hyperlink ref="G785" r:id="rId604" xr:uid="{8DC45460-FF99-4B45-B29A-DF778ECF6172}"/>
    <hyperlink ref="G745" r:id="rId605" xr:uid="{1BC6803B-76CD-4B8F-B5A4-9C3613CBA4F2}"/>
    <hyperlink ref="G533" r:id="rId606" xr:uid="{A4B53BAE-D44A-4347-A973-54F4E0FF678D}"/>
    <hyperlink ref="G520" r:id="rId607" xr:uid="{9688A2CA-6817-402E-BB11-1FFE0CE3D72A}"/>
    <hyperlink ref="G742" r:id="rId608" xr:uid="{CDAA5689-B753-4C35-9F3B-F46334AA0D28}"/>
    <hyperlink ref="G691" r:id="rId609" xr:uid="{3DAC90A6-8D42-4FEE-AF74-97C01BD7600E}"/>
    <hyperlink ref="G757" r:id="rId610" xr:uid="{E1DB103D-F090-4258-8E3B-055683FCD7B4}"/>
    <hyperlink ref="G756" r:id="rId611" xr:uid="{3D1FAB95-5B8B-4634-B0B4-7DB8CC60FFB8}"/>
    <hyperlink ref="G721" r:id="rId612" xr:uid="{043D990C-2F93-4782-B504-B8CA72F45A43}"/>
    <hyperlink ref="G736" r:id="rId613" xr:uid="{1F54DB39-AE2C-4D07-A41A-12435C3E02CE}"/>
    <hyperlink ref="G686" r:id="rId614" xr:uid="{89D6702A-34CC-4980-B10A-5BA92B354176}"/>
    <hyperlink ref="G582" r:id="rId615" xr:uid="{77330D35-BD0B-4CB7-9F5A-65D536231B32}"/>
    <hyperlink ref="G777" r:id="rId616" xr:uid="{478E4DD9-50AE-4E56-8AAD-BF7B5CB410CD}"/>
    <hyperlink ref="G783" r:id="rId617" xr:uid="{95E8979D-9B42-4992-8BAF-3E4668DFB37A}"/>
    <hyperlink ref="G602" r:id="rId618" xr:uid="{A5A32A1E-3517-41A7-94F5-1E7E58CB0021}"/>
    <hyperlink ref="G758" r:id="rId619" xr:uid="{10324561-F0B5-4F2C-A30E-0CCC67F69554}"/>
    <hyperlink ref="G726" r:id="rId620" xr:uid="{5F8DF6C1-8BAD-4816-B651-79AB4DC08D38}"/>
    <hyperlink ref="G516" r:id="rId621" xr:uid="{B935B8C7-66A1-48FB-97B5-581A072674C9}"/>
    <hyperlink ref="G822" r:id="rId622" xr:uid="{96DD215D-8D77-42B5-87FD-AAD46745E6CE}"/>
    <hyperlink ref="G557" r:id="rId623" xr:uid="{25E3891C-A841-4FAD-8848-83BCDA07B07D}"/>
    <hyperlink ref="G612" r:id="rId624" xr:uid="{6B2453B4-DE64-4299-98A6-04B583A216BE}"/>
    <hyperlink ref="G800" r:id="rId625" xr:uid="{ABB49E0F-D960-4CBD-9512-B12078CCF062}"/>
    <hyperlink ref="G643" r:id="rId626" xr:uid="{310C0FCD-B925-4842-B943-ECA2DEB634D8}"/>
    <hyperlink ref="G702" r:id="rId627" xr:uid="{DF068475-DB5A-4B55-AC50-4551B49647A5}"/>
    <hyperlink ref="G793" r:id="rId628" xr:uid="{96287227-49F7-4F9C-AB86-3F9606F24C0C}"/>
    <hyperlink ref="G734" r:id="rId629" xr:uid="{56BCDB2C-7703-45F5-A312-C5E893E4471F}"/>
    <hyperlink ref="G694" r:id="rId630" xr:uid="{DB7207BC-37CA-486F-B566-C1D2EEC1D98C}"/>
    <hyperlink ref="G720" r:id="rId631" xr:uid="{EB1DE0E7-525B-41A5-B65D-E4EFDD71FA50}"/>
    <hyperlink ref="G639" r:id="rId632" xr:uid="{9EC01C6F-6C00-4ADD-9130-4C36DFCB9779}"/>
    <hyperlink ref="G723" r:id="rId633" xr:uid="{93F4F107-6055-4000-B994-82766AC2F8B3}"/>
    <hyperlink ref="G678" r:id="rId634" xr:uid="{7CF19AB4-E4D1-4E84-8F6B-D30EEFAB42E5}"/>
    <hyperlink ref="G751" r:id="rId635" xr:uid="{AD2BAD26-D2CD-4C3C-A625-0421ABE6776E}"/>
    <hyperlink ref="G807" r:id="rId636" xr:uid="{AB528683-13E1-43EF-9397-0F1EA0A95500}"/>
    <hyperlink ref="G618" r:id="rId637" xr:uid="{63D05921-89F2-42B2-8802-476070CE7486}"/>
    <hyperlink ref="G690" r:id="rId638" xr:uid="{7511178A-2DAB-45C1-B7D5-E5AB38820A3D}"/>
    <hyperlink ref="G614" r:id="rId639" xr:uid="{3A3EB255-474E-47F0-A53A-051803ED74C0}"/>
    <hyperlink ref="G606" r:id="rId640" xr:uid="{768F261D-495B-41EC-B1C0-677BBCBABEC5}"/>
    <hyperlink ref="G622" r:id="rId641" xr:uid="{CC1D23EA-2FA4-475A-B130-CAFDD977883C}"/>
    <hyperlink ref="G638" r:id="rId642" xr:uid="{4532DF16-2F25-4398-A9D2-C64BCAC2623A}"/>
    <hyperlink ref="G637" r:id="rId643" xr:uid="{DBF3EEA2-E5BA-4578-9529-31D42BC09EE8}"/>
    <hyperlink ref="G579" r:id="rId644" xr:uid="{6DBCD5CC-7915-4AD2-ACB7-9AF638A8D476}"/>
    <hyperlink ref="G530" r:id="rId645" xr:uid="{ABEA59BF-FF44-4925-AA21-B49F73E586F9}"/>
    <hyperlink ref="G665" r:id="rId646" xr:uid="{6ADC597C-C276-4C62-8E82-A4969ACC73EF}"/>
    <hyperlink ref="G646" r:id="rId647" xr:uid="{2FBBADAF-55DB-491E-AD6E-CBCBA567C379}"/>
    <hyperlink ref="G672" r:id="rId648" xr:uid="{FC933634-D1AA-401F-9EC8-E2A2DA5B1806}"/>
    <hyperlink ref="G654" r:id="rId649" xr:uid="{B0C3DC5B-76AF-4980-9ED1-806AF6657A94}"/>
    <hyperlink ref="G585" r:id="rId650" xr:uid="{26A56EE1-DB69-411D-ACCF-185580542394}"/>
    <hyperlink ref="G837" r:id="rId651" xr:uid="{CCE2BD31-28A5-4D0E-89EE-5DB37DEC1506}"/>
    <hyperlink ref="G752" r:id="rId652" xr:uid="{D422ED3F-5E9D-4F5A-A8B1-B5ED221AA5CB}"/>
    <hyperlink ref="G711" r:id="rId653" xr:uid="{1EEB36FB-467C-4173-9337-6930BD20E5BF}"/>
    <hyperlink ref="G771" r:id="rId654" xr:uid="{4A86C2AA-47F9-4BF7-8520-E38A909DD226}"/>
    <hyperlink ref="G632" r:id="rId655" xr:uid="{80485985-F15E-473A-982F-1696C89487EF}"/>
    <hyperlink ref="G808" r:id="rId656" xr:uid="{C011010E-C6E0-4E9F-8C53-F07785B63047}"/>
    <hyperlink ref="G591" r:id="rId657" xr:uid="{083F9CE9-FB70-4A23-968F-174CB60F5F3C}"/>
    <hyperlink ref="G598" r:id="rId658" xr:uid="{5DBEABD7-9276-4526-98A7-F5BD247071FC}"/>
    <hyperlink ref="G550" r:id="rId659" xr:uid="{9152E7DD-8182-4F52-B2D5-9C32E77A51E3}"/>
    <hyperlink ref="G596" r:id="rId660" xr:uid="{01D51050-FBEA-4B59-8B56-73F47A55F718}"/>
    <hyperlink ref="G790" r:id="rId661" xr:uid="{6E0D216D-F35E-408D-A4BA-9CB81B5BDEF6}"/>
    <hyperlink ref="G650" r:id="rId662" xr:uid="{B3851F33-F581-4CD5-B45F-70F07B9370B5}"/>
    <hyperlink ref="G731" r:id="rId663" xr:uid="{C2DA7E70-657B-451F-BE61-5753ED491960}"/>
    <hyperlink ref="G741" r:id="rId664" xr:uid="{E760B65F-D437-4A82-ADB0-CE57C56613BB}"/>
    <hyperlink ref="G747" r:id="rId665" xr:uid="{389D8CFC-6E96-47C9-95C2-6D0DC5FDC47F}"/>
    <hyperlink ref="G625" r:id="rId666" xr:uid="{D2F96A81-C7E3-4D73-A9D6-8A3776AEECF0}"/>
    <hyperlink ref="G789" r:id="rId667" xr:uid="{6A2967DA-72F6-4A66-BEB1-06B967D72FB9}"/>
    <hyperlink ref="G624" r:id="rId668" xr:uid="{F10DFD8F-A4E6-41F4-BE12-01AC9829729E}"/>
    <hyperlink ref="G770" r:id="rId669" xr:uid="{DCEB82AA-5B00-4B67-8A9B-4E25B22FF280}"/>
    <hyperlink ref="G710" r:id="rId670" xr:uid="{BB9AC7A1-5FDB-4793-9AA6-3BB716B0C417}"/>
    <hyperlink ref="G573" r:id="rId671" xr:uid="{4CBA8A86-B0FD-497B-A600-0A4526F783DB}"/>
    <hyperlink ref="G717" r:id="rId672" xr:uid="{D79D5AFE-C6AE-4FA5-A4C4-9789128877A0}"/>
    <hyperlink ref="G693" r:id="rId673" xr:uid="{87D82A19-8903-4915-BAF9-F10A723DAE7D}"/>
    <hyperlink ref="G698" r:id="rId674" xr:uid="{0726CA3F-D1B7-4365-8444-071E08AB4843}"/>
    <hyperlink ref="G806" r:id="rId675" xr:uid="{4DABF424-4C2A-4687-9B10-293A0FA9CC8F}"/>
    <hyperlink ref="G766" r:id="rId676" xr:uid="{708E88D7-B2D1-4C38-9F56-2D3CEA54003B}"/>
    <hyperlink ref="G748" r:id="rId677" xr:uid="{4D1CA8F5-6233-474B-A545-0E94FA4DC8F3}"/>
    <hyperlink ref="G769" r:id="rId678" xr:uid="{14267202-C2D0-4352-8EB8-846DAF2A0233}"/>
    <hyperlink ref="G820" r:id="rId679" xr:uid="{648D6711-B4FB-49BE-91E9-C9B8326515D3}"/>
    <hyperlink ref="G805" r:id="rId680" xr:uid="{A1731FAA-3015-41C5-8D89-A3BC6FF922C1}"/>
    <hyperlink ref="G629" r:id="rId681" xr:uid="{FB514E15-C32B-496E-B7E0-17F9FFE4F17A}"/>
    <hyperlink ref="G619" r:id="rId682" xr:uid="{5808F782-76C6-429E-96A0-A064A37AB21C}"/>
    <hyperlink ref="G835" r:id="rId683" xr:uid="{0959C9E6-7835-43BF-8547-BF481EE80D5F}"/>
    <hyperlink ref="G699" r:id="rId684" xr:uid="{E52DBEBD-5887-4E06-947D-8EBE36982A82}"/>
    <hyperlink ref="G700" r:id="rId685" xr:uid="{BEDB739D-737F-46F1-8D57-3FC8CC982198}"/>
    <hyperlink ref="G567" r:id="rId686" xr:uid="{2C8D7F5E-0E75-41BC-BBB4-A9211236EFFC}"/>
    <hyperlink ref="G581" r:id="rId687" xr:uid="{F99B1E7C-2349-405E-AA64-6967C432A75C}"/>
    <hyperlink ref="G677" r:id="rId688" xr:uid="{7C2A0286-1324-4403-B4DD-361A1DE5D0D9}"/>
    <hyperlink ref="G709" r:id="rId689" xr:uid="{A843F00B-7BAC-4217-9322-AFAA44197BF0}"/>
    <hyperlink ref="G551" r:id="rId690" xr:uid="{7B9D040B-C241-4309-A54F-21F4A2598A78}"/>
    <hyperlink ref="G623" r:id="rId691" xr:uid="{D015F0C9-969C-41A7-B05D-E8B186DD2A94}"/>
    <hyperlink ref="G583" r:id="rId692" xr:uid="{3C13EDDC-696D-4A5F-8A9E-BF272DB24513}"/>
    <hyperlink ref="G714" r:id="rId693" xr:uid="{E34F6C64-B60F-4F48-B4F1-8F9AACEBD075}"/>
    <hyperlink ref="G636" r:id="rId694" xr:uid="{220AA725-B3A5-4243-828D-E1C53155A150}"/>
    <hyperlink ref="G576" r:id="rId695" xr:uid="{BD4E9079-B973-4420-B1FD-4BF6FB1C7BE3}"/>
    <hyperlink ref="G617" r:id="rId696" xr:uid="{9B75B6EB-4972-47F4-A52E-FEF937B469CF}"/>
    <hyperlink ref="G523" r:id="rId697" xr:uid="{B58AB238-8D14-4EBC-B9DB-4A28D670C5DE}"/>
    <hyperlink ref="G838" r:id="rId698" xr:uid="{5173BAAC-F800-464C-B1AE-88F401557E13}"/>
    <hyperlink ref="G526" r:id="rId699" xr:uid="{484C4C1C-5CCC-486B-A82C-68FA2983E0DC}"/>
    <hyperlink ref="G648" r:id="rId700" xr:uid="{103C09BE-ED5D-4747-B5EA-48E902C6140F}"/>
    <hyperlink ref="G634" r:id="rId701" xr:uid="{251288C3-BF64-4860-9A54-41802A975EDB}"/>
    <hyperlink ref="G649" r:id="rId702" xr:uid="{FAF8B960-BFE9-4FB4-9CC7-36E0BE491390}"/>
    <hyperlink ref="G676" r:id="rId703" xr:uid="{6949557C-A40F-49B7-BB27-5E184F540F37}"/>
    <hyperlink ref="G662" r:id="rId704" xr:uid="{BA558B59-A969-4F15-8D2F-64FA1E58F79D}"/>
    <hyperlink ref="G695" r:id="rId705" xr:uid="{6D11B92B-7522-488B-A553-08C77073F8DF}"/>
    <hyperlink ref="G725" r:id="rId706" xr:uid="{A432BF3B-B956-4B79-A609-35525C4FFC9D}"/>
    <hyperlink ref="G545" r:id="rId707" xr:uid="{B09855AE-7B80-4B3A-911C-960610B88F94}"/>
    <hyperlink ref="G740" r:id="rId708" xr:uid="{EB8F3410-4B22-4544-A2C6-9E83C2900923}"/>
    <hyperlink ref="G782" r:id="rId709" xr:uid="{03AA8935-8534-457F-8190-65FC4AD3BB0D}"/>
    <hyperlink ref="G590" r:id="rId710" xr:uid="{F4EFC8AC-0CB9-4AD7-92FA-021D8A8DC863}"/>
    <hyperlink ref="G660" r:id="rId711" xr:uid="{593C82B9-E6E1-4283-9A5A-1601224BACAE}"/>
    <hyperlink ref="G543" r:id="rId712" xr:uid="{A0977BE1-A651-41F4-AE35-711937967CEF}"/>
    <hyperlink ref="G600" r:id="rId713" xr:uid="{F49DB4A0-BC81-4A06-9A32-5C72DB73A3BA}"/>
    <hyperlink ref="G840" r:id="rId714" xr:uid="{1FA4F1A2-C68C-43F7-B1C4-BA99F25F26CE}"/>
    <hyperlink ref="G832" r:id="rId715" xr:uid="{3AAD246B-25BE-4D96-817A-D6CB2F311E44}"/>
    <hyperlink ref="G706" r:id="rId716" xr:uid="{18B2D28D-956E-4BA4-AFA1-1B87456A0A2C}"/>
    <hyperlink ref="G844" r:id="rId717" xr:uid="{B22F530F-E864-4C38-8989-BD6CCCFFE2C2}"/>
    <hyperlink ref="G818" r:id="rId718" xr:uid="{83DE97E8-FA36-495A-88E8-38CAC06F844C}"/>
    <hyperlink ref="G786" r:id="rId719" xr:uid="{5C67D965-A539-410D-A59A-D6AEF2A02C03}"/>
    <hyperlink ref="G658" r:id="rId720" xr:uid="{FC61B223-3866-4716-9F84-568EC3B46547}"/>
    <hyperlink ref="G592" r:id="rId721" xr:uid="{D85F952D-CB1B-44F4-B28A-6C3D09476CF2}"/>
    <hyperlink ref="G628" r:id="rId722" xr:uid="{5568D8F3-F32F-4736-A916-963C9CCB47FA}"/>
    <hyperlink ref="G604" r:id="rId723" xr:uid="{B723EA80-581E-475A-B68D-9A836974DD11}"/>
    <hyperlink ref="G739" r:id="rId724" xr:uid="{0F637775-FD3B-4C08-8D6F-C589BFDB9CC9}"/>
    <hyperlink ref="G608" r:id="rId725" xr:uid="{51B51EB8-64EF-476E-ACD4-48008568D921}"/>
    <hyperlink ref="G713" r:id="rId726" xr:uid="{6939651F-8743-40D7-8248-7C59BC326531}"/>
    <hyperlink ref="G773" r:id="rId727" xr:uid="{AE840088-FA86-44F9-8AEA-7685D8FC1882}"/>
    <hyperlink ref="G692" r:id="rId728" xr:uid="{F06FFB0D-5885-4D14-8AC6-016C02308BD6}"/>
    <hyperlink ref="G724" r:id="rId729" xr:uid="{34E44BC6-0C9A-468D-8837-FC115CC6C91C}"/>
    <hyperlink ref="G707" r:id="rId730" xr:uid="{0ED0DD59-3557-4D96-AA95-5DC7A645AE06}"/>
    <hyperlink ref="G517" r:id="rId731" xr:uid="{A2170097-8EAE-46AC-9251-EF553AB1A9D6}"/>
    <hyperlink ref="G775" r:id="rId732" xr:uid="{F8BF4E85-D8D9-47D4-AB8E-C87937357FA9}"/>
    <hyperlink ref="G541" r:id="rId733" xr:uid="{4CE98016-D7E6-4D5E-912E-DED4D44F20AD}"/>
    <hyperlink ref="G607" r:id="rId734" xr:uid="{9321BFD9-F8A8-4656-8410-61658A528AC5}"/>
    <hyperlink ref="G738" r:id="rId735" xr:uid="{A92F0936-5E6B-42FE-85E7-A4B061C5DAD3}"/>
    <hyperlink ref="G542" r:id="rId736" xr:uid="{6049A51A-F4DF-4E73-8440-DE6F40AEBDD9}"/>
    <hyperlink ref="G755" r:id="rId737" xr:uid="{7928FACB-A4C4-47AE-B295-577B8CBBB398}"/>
    <hyperlink ref="G799" r:id="rId738" xr:uid="{941EBDF1-E734-4E5A-AA48-F30D0B24F93C}"/>
    <hyperlink ref="G763" r:id="rId739" xr:uid="{574AA468-D84B-4155-9894-72B740EF0AB1}"/>
    <hyperlink ref="G760" r:id="rId740" xr:uid="{E57FF12C-76E0-4A86-99D4-5E1538E38ACD}"/>
    <hyperlink ref="G795" r:id="rId741" xr:uid="{7E75644F-64CB-4F63-924E-F8365E75C71A}"/>
    <hyperlink ref="G796" r:id="rId742" xr:uid="{973F95B8-C132-4D72-96F7-C5CD97AB7E19}"/>
    <hyperlink ref="G559" r:id="rId743" xr:uid="{4511E0E2-3308-42B9-8AB9-1E3204BB4AB9}"/>
    <hyperlink ref="G544" r:id="rId744" xr:uid="{5805C3DE-57A9-46D6-9F19-1050F00D1E46}"/>
    <hyperlink ref="G521" r:id="rId745" xr:uid="{DAF3293A-AB51-4EAB-94D6-99379936EE9A}"/>
    <hyperlink ref="G829" r:id="rId746" xr:uid="{0D2FAD1A-6FB7-42BC-ACD4-2ED17239737A}"/>
    <hyperlink ref="G842" r:id="rId747" xr:uid="{C97D0CF5-D880-48AA-976A-46B72F6366E2}"/>
    <hyperlink ref="G772" r:id="rId748" xr:uid="{5B139B7F-C169-4457-832F-2CDEE69FD825}"/>
    <hyperlink ref="G668" r:id="rId749" xr:uid="{03CEA0C4-C067-4D36-8EC4-BD674608B5EC}"/>
    <hyperlink ref="G768" r:id="rId750" xr:uid="{7F799986-DE7E-4CB4-9450-D1751467B184}"/>
    <hyperlink ref="G821" r:id="rId751" xr:uid="{2FEEE5DD-8A0F-48EB-80CD-BE2AF1317FD9}"/>
    <hyperlink ref="G712" r:id="rId752" xr:uid="{95504083-0ADC-4023-97B7-A22841E41A0A}"/>
    <hyperlink ref="G839" r:id="rId753" xr:uid="{B3527575-B430-444E-9B0B-A3C05BCAB247}"/>
    <hyperlink ref="G744" r:id="rId754" xr:uid="{6A58F34B-5E83-417C-AE7D-F5176857093F}"/>
    <hyperlink ref="G575" r:id="rId755" xr:uid="{A65CEF8A-32E1-43C3-A6EE-B0328385DBFC}"/>
    <hyperlink ref="G846" r:id="rId756" xr:uid="{2C6873D5-430D-4DDD-932E-93E40910B97B}"/>
    <hyperlink ref="G664" r:id="rId757" xr:uid="{FCD32162-3212-4E63-83FF-A086C4015E85}"/>
    <hyperlink ref="G601" r:id="rId758" xr:uid="{43EDAC8C-154F-4594-876F-3F9377E4C0C1}"/>
    <hyperlink ref="G679" r:id="rId759" xr:uid="{8D3EABC5-7EEB-4300-9EC6-7B98D5F8E029}"/>
    <hyperlink ref="G704" r:id="rId760" xr:uid="{E0BA6773-6967-4D97-A6D9-16414C9EBA75}"/>
    <hyperlink ref="G652" r:id="rId761" xr:uid="{373A757C-29EC-4205-A1DA-27EEA898D2E7}"/>
    <hyperlink ref="G655" r:id="rId762" xr:uid="{E74A0A93-7E76-4BC0-99FA-7A5BB8BD7138}"/>
    <hyperlink ref="G599" r:id="rId763" xr:uid="{F37985B0-E9F1-438A-82A1-42D19BFF8F90}"/>
    <hyperlink ref="G671" r:id="rId764" xr:uid="{DCE67A40-B91D-42D6-B85F-800E2487CF07}"/>
    <hyperlink ref="G661" r:id="rId765" xr:uid="{23CA3DFE-A440-4845-ADDC-E00CDDC2FAB8}"/>
    <hyperlink ref="G703" r:id="rId766" xr:uid="{DC114D74-FDA1-4A5B-99B3-1F704C9F9E88}"/>
    <hyperlink ref="G597" r:id="rId767" xr:uid="{5FB200BE-8F49-4D2F-AF1F-5BDC0C88CA57}"/>
    <hyperlink ref="G701" r:id="rId768" xr:uid="{E9488F98-417D-45F0-AF31-42083D111195}"/>
    <hyperlink ref="G588" r:id="rId769" xr:uid="{F330EFD7-79BD-46D0-80F4-426AC08554CF}"/>
    <hyperlink ref="G589" r:id="rId770" xr:uid="{11491747-2133-49D4-A272-44F6FF53D9C6}"/>
    <hyperlink ref="G641" r:id="rId771" xr:uid="{93FCF700-48E1-4AAB-8495-FC2999DF82EF}"/>
    <hyperlink ref="G813" r:id="rId772" xr:uid="{254E9E40-B563-406B-8450-9FF9E949AC8C}"/>
    <hyperlink ref="G553" r:id="rId773" xr:uid="{8C7050E5-1548-47AD-9816-9F8590927730}"/>
    <hyperlink ref="G527" r:id="rId774" xr:uid="{298E54A3-9DBF-4CA6-8BA6-31974C23228C}"/>
    <hyperlink ref="G561" r:id="rId775" xr:uid="{1562B673-8C26-4B21-ACFD-266C8A1777FD}"/>
    <hyperlink ref="G729" r:id="rId776" xr:uid="{ED1DD83C-6022-4BD4-8146-1AD33BD7F5AA}"/>
    <hyperlink ref="G587" r:id="rId777" xr:uid="{8DEB09DF-90D5-4C0F-84ED-2C9E5F524D87}"/>
    <hyperlink ref="G574" r:id="rId778" xr:uid="{FA5FD159-9EBA-4548-9418-76FA3AEF3C15}"/>
    <hyperlink ref="G853" r:id="rId779" xr:uid="{77FF1940-85B2-4158-80F6-DBA00A0D3F48}"/>
    <hyperlink ref="G831" r:id="rId780" xr:uid="{59EF7A79-E073-4066-A0E3-4FBC18F26DDD}"/>
    <hyperlink ref="G537" r:id="rId781" xr:uid="{754E2135-D332-4D17-85A1-DC7CD58911BE}"/>
    <hyperlink ref="G696" r:id="rId782" xr:uid="{88F06494-6D83-4A92-B776-4B6746B0CDAD}"/>
    <hyperlink ref="G603" r:id="rId783" xr:uid="{DFC68BEC-B39F-4AC2-9D00-AF674412F4D1}"/>
    <hyperlink ref="G531" r:id="rId784" xr:uid="{D39377EB-7E62-4F41-B32C-DD7C8FD9FD9A}"/>
    <hyperlink ref="G722" r:id="rId785" xr:uid="{9929740E-87D0-46BF-BF92-B7A6F0F75EB5}"/>
    <hyperlink ref="G535" r:id="rId786" xr:uid="{E123B967-6F80-47D3-AA99-5D00D58C1C7B}"/>
    <hyperlink ref="G719" r:id="rId787" xr:uid="{BD1736A6-FDDE-4E2B-AEC4-56B7A59A4D9B}"/>
    <hyperlink ref="G558" r:id="rId788" xr:uid="{2C5F8736-DD9A-4211-A2E6-04D793B952E2}"/>
    <hyperlink ref="G667" r:id="rId789" xr:uid="{CAA0EEB7-98AD-4175-978B-3481CD4B09A2}"/>
    <hyperlink ref="G781" r:id="rId790" xr:uid="{B994F345-9D6F-49FE-936F-A1FF870DA159}"/>
    <hyperlink ref="G657" r:id="rId791" xr:uid="{4E7BD72F-64F1-4161-94B3-40F3EAD4DF8D}"/>
    <hyperlink ref="G536" r:id="rId792" xr:uid="{42CE2B8A-4445-4D38-A19B-27E617E5355F}"/>
    <hyperlink ref="G572" r:id="rId793" xr:uid="{77672107-1074-4CC5-B773-C90D586B98DC}"/>
    <hyperlink ref="G519" r:id="rId794" xr:uid="{B8BBF23F-600D-4EA8-8F9E-4C020A484596}"/>
    <hyperlink ref="G762" r:id="rId795" xr:uid="{DF5118FE-DD0A-43D5-A04A-F1BB5EC966CB}"/>
    <hyperlink ref="G616" r:id="rId796" xr:uid="{80154DBC-66DF-4433-A9D0-087580B052BE}"/>
    <hyperlink ref="G613" r:id="rId797" xr:uid="{DA9F6E43-F97B-474A-85EE-108BF5C95D67}"/>
    <hyperlink ref="G683" r:id="rId798" xr:uid="{AD697AE6-4666-4389-B2B4-38726DB31C7C}"/>
    <hyperlink ref="G848" r:id="rId799" xr:uid="{436AFDD6-523C-43FE-9A08-ED579E166D7F}"/>
    <hyperlink ref="G615" r:id="rId800" xr:uid="{D71CB4A7-6A12-475B-B09C-97A19E5BF7E7}"/>
    <hyperlink ref="G554" r:id="rId801" xr:uid="{86BB9DC2-49BD-4EA6-88AF-16451F0EF0F2}"/>
    <hyperlink ref="G621" r:id="rId802" xr:uid="{FF4ED1A0-310A-4193-BF64-B647931B2430}"/>
    <hyperlink ref="G788" r:id="rId803" xr:uid="{5C6636C1-94D3-4505-AC39-65A67FE4CB32}"/>
    <hyperlink ref="G780" r:id="rId804" xr:uid="{BB7CE327-230E-48A5-8741-25B18189C503}"/>
    <hyperlink ref="G594" r:id="rId805" xr:uid="{DD89C437-E14C-48AB-B80E-F8AF986B6A7D}"/>
    <hyperlink ref="G728" r:id="rId806" xr:uid="{5E6E094E-D08D-41A9-9AD4-AB96C0D2D0E5}"/>
    <hyperlink ref="G571" r:id="rId807" xr:uid="{738BBA94-39E1-4EAD-85E3-D6FD30B5D2A2}"/>
    <hyperlink ref="G514" r:id="rId808" xr:uid="{366A0727-3127-49A7-8A3D-1CF9FEDBA2C5}"/>
    <hyperlink ref="G688" r:id="rId809" xr:uid="{36071FA3-ED9D-4C49-BBE1-80EA68977EF9}"/>
    <hyperlink ref="G705" r:id="rId810" xr:uid="{6E08855B-C243-4269-AE79-8EAC47FB9816}"/>
    <hyperlink ref="G565" r:id="rId811" xr:uid="{3F757C3A-AABB-46B0-A376-7F8782AED0B7}"/>
    <hyperlink ref="G749" r:id="rId812" xr:uid="{E6EBA1DA-3AD1-419D-8F5E-43BB39D94529}"/>
    <hyperlink ref="G515" r:id="rId813" xr:uid="{713D8C42-321D-4476-9086-F7A96074829F}"/>
    <hyperlink ref="G851" r:id="rId814" xr:uid="{C7E0C9F1-1B82-42AF-BD02-CB6701562797}"/>
    <hyperlink ref="G827" r:id="rId815" xr:uid="{C0FAEEAC-68E5-4E84-8EFB-8E0C90520D3D}"/>
    <hyperlink ref="G847" r:id="rId816" xr:uid="{F5EC6EE1-E791-4255-A36A-ED2CB561FB90}"/>
    <hyperlink ref="G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2025-09-25T13:45:41Z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