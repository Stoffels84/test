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803" documentId="13_ncr:1_{10FCACA5-8197-478D-90D3-5F83063FB753}" xr6:coauthVersionLast="47" xr6:coauthVersionMax="47" xr10:uidLastSave="{4560D4F1-1381-42B6-9408-3BAC6C300458}"/>
  <bookViews>
    <workbookView xWindow="-108" yWindow="-108" windowWidth="30456" windowHeight="17628" tabRatio="656" firstSheet="1" activeTab="5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r:id="rId6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OorspronkelijkeTijdlijn_Datum1">#N/A</definedName>
  </definedNames>
  <calcPr calcId="191029"/>
  <pivotCaches>
    <pivotCache cacheId="0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76" i="1" l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sharedStrings.xml><?xml version="1.0" encoding="utf-8"?>
<sst xmlns="http://schemas.openxmlformats.org/spreadsheetml/2006/main" count="8998" uniqueCount="3847">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</sst>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</cellXfs>
  <cellStyles count="2">
    <cellStyle name="Hyperlink" xfId="1" builtinId="8"/>
    <cellStyle name="Standaard" xfId="0" builtinId="0"/>
  </cellStyles>
  <dxfs count="19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7"/>
    <tableColumn id="5" xr3:uid="{DF37AD45-FC5C-478A-989D-9143E744CEEA}" name="voornaam" dataDxfId="16">
      <calculatedColumnFormula>VLOOKUP(Tabel2[[#This Row],[nr]],'data hastus'!A:C,3,FALSE)</calculatedColumnFormula>
    </tableColumn>
    <tableColumn id="6" xr3:uid="{4098FAFB-9B09-4A81-8B22-18CC90B5F979}" name="achternaam" dataDxfId="1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1">
  <autoFilter ref="A1:AB984" xr:uid="{2FDE3AF6-1CE1-4F38-BD72-1F03CD30F4FC}"/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1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9"/>
    <tableColumn id="11" xr3:uid="{97ECF1D5-48DC-4487-B3C2-17232CC8E19E}" name="Januari" dataDxfId="8"/>
    <tableColumn id="12" xr3:uid="{7B2FF520-A575-45C0-BB5A-19B87DDB4EA0}" name="Februari" dataDxfId="7"/>
    <tableColumn id="13" xr3:uid="{4E6C30D1-FB72-4AB2-900F-14A3D53F34DE}" name="Maart" dataDxfId="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5">
      <calculatedColumnFormula>SUM(bron[[#This Row],[Januari]:[December]])</calculatedColumnFormula>
    </tableColumn>
    <tableColumn id="10" xr3:uid="{8D9646BD-38B6-4F4D-9859-B3933369346B}" name="Datum" dataDxfId="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table" Target="../tables/table2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drawing" Target="../drawings/drawing1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printerSettings" Target="../printerSettings/printerSettings1.bin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2" activePane="bottomLeft" state="frozen"/>
      <selection activeCell="F1" sqref="F1"/>
      <selection pane="bottomLeft" activeCell="AE7" sqref="AE7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23</v>
      </c>
    </row>
    <row r="54" spans="1:28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3</v>
      </c>
    </row>
    <row r="61" spans="1:28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23</v>
      </c>
    </row>
    <row r="67" spans="1:28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23</v>
      </c>
    </row>
    <row r="72" spans="1:28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23</v>
      </c>
    </row>
    <row r="118" spans="1:28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3</v>
      </c>
    </row>
    <row r="138" spans="1:28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23</v>
      </c>
    </row>
    <row r="181" spans="1:28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2</v>
      </c>
    </row>
    <row r="243" spans="1:28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3</v>
      </c>
    </row>
    <row r="257" spans="1:28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23</v>
      </c>
    </row>
    <row r="279" spans="1:28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2</v>
      </c>
    </row>
    <row r="295" spans="1:28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3</v>
      </c>
    </row>
    <row r="297" spans="1:28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23</v>
      </c>
    </row>
    <row r="332" spans="1:28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3</v>
      </c>
    </row>
    <row r="354" spans="1:28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23</v>
      </c>
    </row>
    <row r="407" spans="1:28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23</v>
      </c>
    </row>
    <row r="478" spans="1:28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23</v>
      </c>
    </row>
    <row r="536" spans="1:28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23</v>
      </c>
    </row>
    <row r="566" spans="1:28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23</v>
      </c>
    </row>
    <row r="595" spans="1:28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23</v>
      </c>
    </row>
    <row r="601" spans="1:28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3</v>
      </c>
    </row>
    <row r="634" spans="1:28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23</v>
      </c>
    </row>
    <row r="651" spans="1:28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23</v>
      </c>
    </row>
    <row r="674" spans="1:28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23</v>
      </c>
    </row>
    <row r="685" spans="1:28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23</v>
      </c>
    </row>
    <row r="750" spans="1:28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23</v>
      </c>
    </row>
    <row r="780" spans="1:28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3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3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3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3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28"/>
      <c r="H980" s="28"/>
      <c r="I980" s="28"/>
      <c r="S980" s="25">
        <f>SUM(bron[[#This Row],[Januari]:[December]])</f>
        <v>0</v>
      </c>
      <c r="V980" s="26"/>
      <c r="W980" s="26"/>
      <c r="AB980">
        <f>COUNTIF(B:B,bron[[#This Row],[volledige naam]])</f>
        <v>23</v>
      </c>
    </row>
    <row r="981" spans="1:28" x14ac:dyDescent="0.3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28"/>
      <c r="H981" s="28"/>
      <c r="I981" s="28"/>
      <c r="S981" s="25">
        <f>SUM(bron[[#This Row],[Januari]:[December]])</f>
        <v>0</v>
      </c>
      <c r="V981" s="26"/>
      <c r="W981" s="26"/>
      <c r="AB981">
        <f>COUNTIF(B:B,bron[[#This Row],[volledige naam]])</f>
        <v>23</v>
      </c>
    </row>
    <row r="982" spans="1:28" x14ac:dyDescent="0.3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28"/>
      <c r="H982" s="28"/>
      <c r="I982" s="28"/>
      <c r="S982" s="25">
        <f>SUM(bron[[#This Row],[Januari]:[December]])</f>
        <v>0</v>
      </c>
      <c r="V982" s="26"/>
      <c r="W982" s="26"/>
      <c r="AB982">
        <f>COUNTIF(B:B,bron[[#This Row],[volledige naam]])</f>
        <v>23</v>
      </c>
    </row>
    <row r="983" spans="1:28" x14ac:dyDescent="0.3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23</v>
      </c>
    </row>
    <row r="984" spans="1:28" x14ac:dyDescent="0.3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23</v>
      </c>
    </row>
  </sheetData>
  <sheetProtection sort="0" autoFilter="0"/>
  <phoneticPr fontId="1" type="noConversion"/>
  <conditionalFormatting sqref="F2:F984">
    <cfRule type="cellIs" dxfId="14" priority="5" operator="equal">
      <formula>0</formula>
    </cfRule>
    <cfRule type="cellIs" dxfId="13" priority="7" operator="between">
      <formula>1</formula>
      <formula>4</formula>
    </cfRule>
    <cfRule type="cellIs" dxfId="1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</hyperlinks>
  <pageMargins left="0.7" right="0.7" top="0.75" bottom="0.75" header="0.3" footer="0.3"/>
  <pageSetup paperSize="9" orientation="portrait" r:id="rId822"/>
  <drawing r:id="rId823"/>
  <tableParts count="1">
    <tablePart r:id="rId82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F17" sqref="F17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9.6640625" style="33" bestFit="1" customWidth="1"/>
    <col min="10" max="10" width="16.6640625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</row>
    <row r="33" spans="3:7" x14ac:dyDescent="0.3">
      <c r="C33" s="2" t="s">
        <v>328</v>
      </c>
      <c r="D33">
        <v>2</v>
      </c>
      <c r="F33" s="2" t="s">
        <v>14</v>
      </c>
      <c r="G33">
        <v>7</v>
      </c>
    </row>
    <row r="34" spans="3:7" x14ac:dyDescent="0.3">
      <c r="C34" s="2" t="s">
        <v>86</v>
      </c>
      <c r="D34">
        <v>2</v>
      </c>
      <c r="F34" s="2" t="s">
        <v>34</v>
      </c>
      <c r="G34">
        <v>7</v>
      </c>
    </row>
    <row r="35" spans="3:7" x14ac:dyDescent="0.3">
      <c r="C35" s="2" t="s">
        <v>63</v>
      </c>
      <c r="D35">
        <v>2</v>
      </c>
      <c r="F35" s="2" t="s">
        <v>30</v>
      </c>
      <c r="G35">
        <v>7</v>
      </c>
    </row>
    <row r="36" spans="3:7" x14ac:dyDescent="0.3">
      <c r="C36" s="2" t="s">
        <v>233</v>
      </c>
      <c r="D36">
        <v>2</v>
      </c>
      <c r="F36" s="2" t="s">
        <v>67</v>
      </c>
      <c r="G36">
        <v>6</v>
      </c>
    </row>
    <row r="37" spans="3:7" x14ac:dyDescent="0.3">
      <c r="C37" s="2" t="s">
        <v>101</v>
      </c>
      <c r="D37">
        <v>2</v>
      </c>
      <c r="F37" s="2" t="s">
        <v>81</v>
      </c>
      <c r="G37">
        <v>6</v>
      </c>
    </row>
    <row r="38" spans="3:7" x14ac:dyDescent="0.3">
      <c r="C38" s="2" t="s">
        <v>295</v>
      </c>
      <c r="D38">
        <v>2</v>
      </c>
      <c r="F38" s="2" t="s">
        <v>55</v>
      </c>
      <c r="G38">
        <v>6</v>
      </c>
    </row>
    <row r="39" spans="3:7" x14ac:dyDescent="0.3">
      <c r="C39" s="2" t="s">
        <v>173</v>
      </c>
      <c r="D39">
        <v>2</v>
      </c>
      <c r="F39" s="2" t="s">
        <v>58</v>
      </c>
      <c r="G39">
        <v>5</v>
      </c>
    </row>
    <row r="40" spans="3:7" x14ac:dyDescent="0.3">
      <c r="C40" s="2" t="s">
        <v>91</v>
      </c>
      <c r="D40">
        <v>2</v>
      </c>
      <c r="F40" s="2" t="s">
        <v>37</v>
      </c>
      <c r="G40">
        <v>5</v>
      </c>
    </row>
    <row r="41" spans="3:7" x14ac:dyDescent="0.3">
      <c r="C41" s="2" t="s">
        <v>220</v>
      </c>
      <c r="D41">
        <v>2</v>
      </c>
      <c r="F41" s="2" t="s">
        <v>94</v>
      </c>
      <c r="G41">
        <v>5</v>
      </c>
    </row>
    <row r="42" spans="3:7" x14ac:dyDescent="0.3">
      <c r="C42" s="2" t="s">
        <v>95</v>
      </c>
      <c r="D42">
        <v>2</v>
      </c>
      <c r="F42" s="2" t="s">
        <v>28</v>
      </c>
      <c r="G42">
        <v>5</v>
      </c>
    </row>
    <row r="43" spans="3:7" x14ac:dyDescent="0.3">
      <c r="C43" s="2" t="s">
        <v>45</v>
      </c>
      <c r="D43">
        <v>2</v>
      </c>
      <c r="F43" s="2" t="s">
        <v>61</v>
      </c>
      <c r="G43">
        <v>4</v>
      </c>
    </row>
    <row r="44" spans="3:7" x14ac:dyDescent="0.3">
      <c r="C44" s="2" t="s">
        <v>42</v>
      </c>
      <c r="D44">
        <v>2</v>
      </c>
      <c r="F44" s="2" t="s">
        <v>100</v>
      </c>
      <c r="G44">
        <v>4</v>
      </c>
    </row>
    <row r="45" spans="3:7" x14ac:dyDescent="0.3">
      <c r="C45" s="2" t="s">
        <v>68</v>
      </c>
      <c r="D45">
        <v>2</v>
      </c>
      <c r="F45" s="2" t="s">
        <v>87</v>
      </c>
      <c r="G45">
        <v>4</v>
      </c>
    </row>
    <row r="46" spans="3:7" x14ac:dyDescent="0.3">
      <c r="C46" s="2" t="s">
        <v>48</v>
      </c>
      <c r="D46">
        <v>2</v>
      </c>
      <c r="F46" s="2" t="s">
        <v>64</v>
      </c>
      <c r="G46">
        <v>4</v>
      </c>
    </row>
    <row r="47" spans="3:7" x14ac:dyDescent="0.3">
      <c r="C47" s="2" t="s">
        <v>74</v>
      </c>
      <c r="D47">
        <v>2</v>
      </c>
      <c r="F47" s="2" t="s">
        <v>40</v>
      </c>
      <c r="G47">
        <v>3</v>
      </c>
    </row>
    <row r="48" spans="3:7" x14ac:dyDescent="0.3">
      <c r="C48" s="2" t="s">
        <v>119</v>
      </c>
      <c r="D48">
        <v>2</v>
      </c>
      <c r="F48" s="2" t="s">
        <v>246</v>
      </c>
      <c r="G48">
        <v>3</v>
      </c>
    </row>
    <row r="49" spans="3:7" x14ac:dyDescent="0.3">
      <c r="C49" s="2" t="s">
        <v>72</v>
      </c>
      <c r="D49">
        <v>2</v>
      </c>
      <c r="F49" s="2" t="s">
        <v>647</v>
      </c>
      <c r="G49">
        <v>3</v>
      </c>
    </row>
    <row r="50" spans="3:7" x14ac:dyDescent="0.3">
      <c r="C50" s="2" t="s">
        <v>297</v>
      </c>
      <c r="D50">
        <v>2</v>
      </c>
      <c r="F50" s="2" t="s">
        <v>644</v>
      </c>
      <c r="G50">
        <v>3</v>
      </c>
    </row>
    <row r="51" spans="3:7" x14ac:dyDescent="0.3">
      <c r="C51" s="2" t="s">
        <v>82</v>
      </c>
      <c r="D51">
        <v>2</v>
      </c>
      <c r="F51" s="2" t="s">
        <v>71</v>
      </c>
      <c r="G51">
        <v>3</v>
      </c>
    </row>
    <row r="52" spans="3:7" x14ac:dyDescent="0.3">
      <c r="C52" s="2" t="s">
        <v>54</v>
      </c>
      <c r="D52">
        <v>2</v>
      </c>
      <c r="F52" s="2" t="s">
        <v>112</v>
      </c>
      <c r="G52">
        <v>3</v>
      </c>
    </row>
    <row r="53" spans="3:7" x14ac:dyDescent="0.3">
      <c r="C53" s="2" t="s">
        <v>210</v>
      </c>
      <c r="D53">
        <v>2</v>
      </c>
      <c r="F53" s="2" t="s">
        <v>150</v>
      </c>
      <c r="G53">
        <v>3</v>
      </c>
    </row>
    <row r="54" spans="3:7" x14ac:dyDescent="0.3">
      <c r="C54" s="2" t="s">
        <v>103</v>
      </c>
      <c r="D54">
        <v>2</v>
      </c>
      <c r="F54" s="2" t="s">
        <v>729</v>
      </c>
      <c r="G54">
        <v>3</v>
      </c>
    </row>
    <row r="55" spans="3:7" x14ac:dyDescent="0.3">
      <c r="C55" s="2" t="s">
        <v>88</v>
      </c>
      <c r="D55">
        <v>2</v>
      </c>
      <c r="F55" s="2" t="s">
        <v>46</v>
      </c>
      <c r="G55">
        <v>3</v>
      </c>
    </row>
    <row r="56" spans="3:7" x14ac:dyDescent="0.3">
      <c r="C56" s="2" t="s">
        <v>107</v>
      </c>
      <c r="D56">
        <v>2</v>
      </c>
      <c r="F56" s="2" t="s">
        <v>49</v>
      </c>
      <c r="G56">
        <v>3</v>
      </c>
    </row>
    <row r="57" spans="3:7" x14ac:dyDescent="0.3">
      <c r="C57" s="2" t="s">
        <v>93</v>
      </c>
      <c r="D57">
        <v>2</v>
      </c>
      <c r="F57" s="2" t="s">
        <v>3734</v>
      </c>
      <c r="G57">
        <v>3</v>
      </c>
    </row>
    <row r="58" spans="3:7" x14ac:dyDescent="0.3">
      <c r="C58" s="2" t="s">
        <v>329</v>
      </c>
      <c r="D58">
        <v>2</v>
      </c>
      <c r="F58" s="2" t="s">
        <v>98</v>
      </c>
      <c r="G58">
        <v>3</v>
      </c>
    </row>
    <row r="59" spans="3:7" x14ac:dyDescent="0.3">
      <c r="C59" s="2" t="s">
        <v>97</v>
      </c>
      <c r="D59">
        <v>2</v>
      </c>
      <c r="F59" s="2" t="s">
        <v>89</v>
      </c>
      <c r="G59">
        <v>3</v>
      </c>
    </row>
    <row r="60" spans="3:7" x14ac:dyDescent="0.3">
      <c r="C60" s="2" t="s">
        <v>337</v>
      </c>
      <c r="D60">
        <v>2</v>
      </c>
      <c r="F60" s="2" t="s">
        <v>589</v>
      </c>
      <c r="G60">
        <v>3</v>
      </c>
    </row>
    <row r="61" spans="3:7" x14ac:dyDescent="0.3">
      <c r="C61" s="2" t="s">
        <v>292</v>
      </c>
      <c r="D61">
        <v>2</v>
      </c>
      <c r="F61" s="2" t="s">
        <v>43</v>
      </c>
      <c r="G61">
        <v>3</v>
      </c>
    </row>
    <row r="62" spans="3:7" x14ac:dyDescent="0.3">
      <c r="C62" s="2" t="s">
        <v>115</v>
      </c>
      <c r="D62">
        <v>2</v>
      </c>
      <c r="F62" s="2" t="s">
        <v>144</v>
      </c>
      <c r="G62">
        <v>3</v>
      </c>
    </row>
    <row r="63" spans="3:7" x14ac:dyDescent="0.3">
      <c r="C63" s="2" t="s">
        <v>70</v>
      </c>
      <c r="D63">
        <v>2</v>
      </c>
      <c r="F63" s="2" t="s">
        <v>52</v>
      </c>
      <c r="G63">
        <v>3</v>
      </c>
    </row>
    <row r="64" spans="3:7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1321</v>
      </c>
      <c r="B1" t="s">
        <v>1322</v>
      </c>
      <c r="C1" t="s">
        <v>1323</v>
      </c>
    </row>
    <row r="2" spans="1:3" x14ac:dyDescent="0.3">
      <c r="A2">
        <v>29076</v>
      </c>
      <c r="B2" t="s">
        <v>1324</v>
      </c>
      <c r="C2" s="8" t="s">
        <v>1325</v>
      </c>
    </row>
    <row r="3" spans="1:3" x14ac:dyDescent="0.3">
      <c r="A3">
        <v>35348</v>
      </c>
      <c r="B3" t="s">
        <v>1326</v>
      </c>
      <c r="C3" s="8" t="s">
        <v>1327</v>
      </c>
    </row>
    <row r="4" spans="1:3" x14ac:dyDescent="0.3">
      <c r="A4">
        <v>10170</v>
      </c>
      <c r="B4" t="s">
        <v>1328</v>
      </c>
      <c r="C4" s="8" t="s">
        <v>1329</v>
      </c>
    </row>
    <row r="5" spans="1:3" x14ac:dyDescent="0.3">
      <c r="A5">
        <v>5579</v>
      </c>
      <c r="B5" t="s">
        <v>1330</v>
      </c>
      <c r="C5" s="8" t="s">
        <v>1331</v>
      </c>
    </row>
    <row r="6" spans="1:3" x14ac:dyDescent="0.3">
      <c r="A6">
        <v>4597</v>
      </c>
      <c r="B6" t="s">
        <v>1332</v>
      </c>
      <c r="C6" s="8" t="s">
        <v>1333</v>
      </c>
    </row>
    <row r="7" spans="1:3" x14ac:dyDescent="0.3">
      <c r="A7">
        <v>26268</v>
      </c>
      <c r="B7" t="s">
        <v>1334</v>
      </c>
      <c r="C7" s="8" t="s">
        <v>1335</v>
      </c>
    </row>
    <row r="8" spans="1:3" x14ac:dyDescent="0.3">
      <c r="A8">
        <v>23897</v>
      </c>
      <c r="B8" t="s">
        <v>1336</v>
      </c>
      <c r="C8" s="8" t="s">
        <v>1337</v>
      </c>
    </row>
    <row r="9" spans="1:3" x14ac:dyDescent="0.3">
      <c r="A9">
        <v>30456</v>
      </c>
      <c r="B9" t="s">
        <v>1338</v>
      </c>
      <c r="C9" s="8" t="s">
        <v>1339</v>
      </c>
    </row>
    <row r="10" spans="1:3" x14ac:dyDescent="0.3">
      <c r="A10">
        <v>7839</v>
      </c>
      <c r="B10" t="s">
        <v>1330</v>
      </c>
      <c r="C10" s="8" t="s">
        <v>1340</v>
      </c>
    </row>
    <row r="11" spans="1:3" x14ac:dyDescent="0.3">
      <c r="A11">
        <v>28740</v>
      </c>
      <c r="B11" t="s">
        <v>1341</v>
      </c>
      <c r="C11" s="8" t="s">
        <v>1342</v>
      </c>
    </row>
    <row r="12" spans="1:3" x14ac:dyDescent="0.3">
      <c r="A12">
        <v>32219</v>
      </c>
      <c r="B12" t="s">
        <v>1343</v>
      </c>
      <c r="C12" s="8" t="s">
        <v>1344</v>
      </c>
    </row>
    <row r="13" spans="1:3" x14ac:dyDescent="0.3">
      <c r="A13">
        <v>33531</v>
      </c>
      <c r="B13" t="s">
        <v>1345</v>
      </c>
      <c r="C13" s="8" t="s">
        <v>1346</v>
      </c>
    </row>
    <row r="14" spans="1:3" x14ac:dyDescent="0.3">
      <c r="A14">
        <v>10072</v>
      </c>
      <c r="B14" t="s">
        <v>1347</v>
      </c>
      <c r="C14" s="8" t="s">
        <v>1348</v>
      </c>
    </row>
    <row r="15" spans="1:3" x14ac:dyDescent="0.3">
      <c r="A15">
        <v>33429</v>
      </c>
      <c r="B15" t="s">
        <v>1349</v>
      </c>
      <c r="C15" s="8" t="s">
        <v>1350</v>
      </c>
    </row>
    <row r="16" spans="1:3" x14ac:dyDescent="0.3">
      <c r="A16">
        <v>15673</v>
      </c>
      <c r="B16" t="s">
        <v>1351</v>
      </c>
      <c r="C16" s="8" t="s">
        <v>1352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tabSelected="1"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naar word</vt:lpstr>
      <vt:lpstr>BRON</vt:lpstr>
      <vt:lpstr>Dashboard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2025-11-30T09:42:51Z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