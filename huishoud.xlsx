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ijn-my.sharepoint.com/personal/29076_delijn_be/Documents/Persoonlijk/"/>
    </mc:Choice>
  </mc:AlternateContent>
  <xr:revisionPtr revIDLastSave="652" documentId="13_ncr:1_{3A2B3CF9-4435-43AD-9B05-271A7477CF3C}" xr6:coauthVersionLast="47" xr6:coauthVersionMax="47" xr10:uidLastSave="{AC1769B4-4633-4597-9508-908303A0C46F}"/>
  <bookViews>
    <workbookView xWindow="-108" yWindow="-108" windowWidth="30936" windowHeight="18816" activeTab="1" xr2:uid="{934B98DF-2487-42D4-9E77-EF8D4316E92D}"/>
  </bookViews>
  <sheets>
    <sheet name="Data" sheetId="2" r:id="rId1"/>
    <sheet name="Dashboard" sheetId="4" r:id="rId2"/>
    <sheet name="Budgetten" sheetId="8" r:id="rId3"/>
    <sheet name="Score" sheetId="9" r:id="rId4"/>
    <sheet name="Kredietscore" sheetId="10" r:id="rId5"/>
    <sheet name="Nutsvoorziening" sheetId="11" r:id="rId6"/>
    <sheet name="Lijst" sheetId="3" r:id="rId7"/>
    <sheet name="Trefwoorden" sheetId="5" r:id="rId8"/>
  </sheets>
  <definedNames>
    <definedName name="_xlnm._FilterDatabase" localSheetId="6" hidden="1">Lijst!$A$1:$C$1</definedName>
    <definedName name="zoeklijst">Trefwoorden!$A$2:$B$6</definedName>
  </definedNames>
  <calcPr calcId="191029"/>
  <pivotCaches>
    <pivotCache cacheId="0" r:id="rId9"/>
    <pivotCache cacheId="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58" i="2" l="1"/>
  <c r="H2255" i="2"/>
  <c r="H2252" i="2"/>
  <c r="H2250" i="2"/>
  <c r="H2245" i="2"/>
  <c r="H2241" i="2"/>
  <c r="H2240" i="2"/>
  <c r="H2239" i="2"/>
  <c r="H2238" i="2"/>
  <c r="H2236" i="2"/>
  <c r="H2235" i="2"/>
  <c r="H2229" i="2"/>
  <c r="H2221" i="2"/>
  <c r="H2217" i="2"/>
  <c r="H2204" i="2"/>
  <c r="H2203" i="2"/>
  <c r="H2196" i="2"/>
  <c r="H2195" i="2"/>
  <c r="H2194" i="2"/>
  <c r="H2192" i="2"/>
  <c r="H2191" i="2"/>
  <c r="H2189" i="2"/>
  <c r="H2187" i="2"/>
  <c r="H2186" i="2"/>
  <c r="H2185" i="2"/>
  <c r="H2184" i="2"/>
  <c r="H2178" i="2"/>
  <c r="H2171" i="2"/>
  <c r="H2170" i="2"/>
  <c r="H2167" i="2"/>
  <c r="H2166" i="2"/>
  <c r="H2164" i="2"/>
  <c r="H2163" i="2"/>
  <c r="H2161" i="2"/>
  <c r="H2157" i="2"/>
  <c r="H2156" i="2"/>
  <c r="H2154" i="2"/>
  <c r="H2145" i="2"/>
  <c r="H2142" i="2"/>
  <c r="H2141" i="2"/>
  <c r="H2139" i="2"/>
  <c r="H2133" i="2"/>
  <c r="H2132" i="2"/>
  <c r="H2130" i="2"/>
  <c r="H2126" i="2"/>
  <c r="H2125" i="2"/>
  <c r="H2124" i="2"/>
  <c r="H2122" i="2"/>
  <c r="H2114" i="2"/>
  <c r="H2113" i="2"/>
  <c r="H2101" i="2"/>
  <c r="H2097" i="2"/>
  <c r="F2101" i="2"/>
  <c r="F2113" i="2"/>
  <c r="F2130" i="2"/>
  <c r="F2132" i="2"/>
  <c r="F2142" i="2"/>
  <c r="F2145" i="2"/>
  <c r="F2156" i="2"/>
  <c r="F2161" i="2"/>
  <c r="F2163" i="2"/>
  <c r="F2164" i="2"/>
  <c r="F2166" i="2"/>
  <c r="F2184" i="2"/>
  <c r="F2185" i="2"/>
  <c r="F2186" i="2"/>
  <c r="F2187" i="2"/>
  <c r="F2191" i="2"/>
  <c r="F2195" i="2"/>
  <c r="F2204" i="2"/>
  <c r="F2217" i="2"/>
  <c r="F2229" i="2"/>
  <c r="F2236" i="2"/>
  <c r="F2245" i="2"/>
  <c r="F2255" i="2"/>
  <c r="F2258" i="2"/>
  <c r="D2257" i="2" a="1"/>
  <c r="D2257" i="2" s="1"/>
  <c r="D2256" i="2" a="1"/>
  <c r="D2256" i="2" s="1"/>
  <c r="D2254" i="2" a="1"/>
  <c r="D2254" i="2" s="1"/>
  <c r="D2253" i="2" a="1"/>
  <c r="D2253" i="2" s="1"/>
  <c r="D2251" i="2" a="1"/>
  <c r="D2251" i="2" s="1"/>
  <c r="D2249" i="2" a="1"/>
  <c r="D2249" i="2" s="1"/>
  <c r="D2248" i="2" a="1"/>
  <c r="D2248" i="2" s="1"/>
  <c r="D2247" i="2" a="1"/>
  <c r="D2247" i="2" s="1"/>
  <c r="D2246" i="2" a="1"/>
  <c r="D2246" i="2" s="1"/>
  <c r="D2244" i="2" a="1"/>
  <c r="D2244" i="2" s="1"/>
  <c r="D2243" i="2" a="1"/>
  <c r="D2243" i="2" s="1"/>
  <c r="D2242" i="2" a="1"/>
  <c r="D2242" i="2" s="1"/>
  <c r="D2237" i="2" a="1"/>
  <c r="D2237" i="2" s="1"/>
  <c r="D2234" i="2" a="1"/>
  <c r="D2234" i="2" s="1"/>
  <c r="D2233" i="2" a="1"/>
  <c r="D2233" i="2" s="1"/>
  <c r="D2232" i="2" a="1"/>
  <c r="D2232" i="2" s="1"/>
  <c r="D2231" i="2" a="1"/>
  <c r="D2231" i="2" s="1"/>
  <c r="D2230" i="2" a="1"/>
  <c r="D2230" i="2" s="1"/>
  <c r="D2228" i="2" a="1"/>
  <c r="D2228" i="2" s="1"/>
  <c r="D2227" i="2" a="1"/>
  <c r="D2227" i="2" s="1"/>
  <c r="D2226" i="2" a="1"/>
  <c r="D2226" i="2" s="1"/>
  <c r="D2225" i="2" a="1"/>
  <c r="D2225" i="2" s="1"/>
  <c r="D2224" i="2" a="1"/>
  <c r="D2224" i="2" s="1"/>
  <c r="D2223" i="2" a="1"/>
  <c r="D2223" i="2" s="1"/>
  <c r="D2222" i="2" a="1"/>
  <c r="D2222" i="2" s="1"/>
  <c r="D2220" i="2" a="1"/>
  <c r="D2220" i="2" s="1"/>
  <c r="D2219" i="2" a="1"/>
  <c r="D2219" i="2" s="1"/>
  <c r="D2218" i="2" a="1"/>
  <c r="D2218" i="2" s="1"/>
  <c r="D2216" i="2" a="1"/>
  <c r="D2216" i="2" s="1"/>
  <c r="D2215" i="2" a="1"/>
  <c r="D2215" i="2" s="1"/>
  <c r="D2214" i="2" a="1"/>
  <c r="D2214" i="2" s="1"/>
  <c r="D2213" i="2" a="1"/>
  <c r="D2213" i="2" s="1"/>
  <c r="D2212" i="2" a="1"/>
  <c r="D2212" i="2" s="1"/>
  <c r="D2211" i="2" a="1"/>
  <c r="D2211" i="2" s="1"/>
  <c r="D2210" i="2" a="1"/>
  <c r="D2210" i="2" s="1"/>
  <c r="D2209" i="2" a="1"/>
  <c r="D2209" i="2" s="1"/>
  <c r="D2208" i="2" a="1"/>
  <c r="D2208" i="2" s="1"/>
  <c r="D2207" i="2" a="1"/>
  <c r="D2207" i="2" s="1"/>
  <c r="D2206" i="2" a="1"/>
  <c r="D2206" i="2" s="1"/>
  <c r="D2205" i="2" a="1"/>
  <c r="D2205" i="2" s="1"/>
  <c r="D2202" i="2" a="1"/>
  <c r="D2202" i="2" s="1"/>
  <c r="D2201" i="2" a="1"/>
  <c r="D2201" i="2" s="1"/>
  <c r="D2200" i="2" a="1"/>
  <c r="D2200" i="2" s="1"/>
  <c r="D2199" i="2" a="1"/>
  <c r="D2199" i="2" s="1"/>
  <c r="D2198" i="2" a="1"/>
  <c r="D2198" i="2" s="1"/>
  <c r="D2197" i="2" a="1"/>
  <c r="D2197" i="2" s="1"/>
  <c r="D2193" i="2" a="1"/>
  <c r="D2193" i="2" s="1"/>
  <c r="D2190" i="2" a="1"/>
  <c r="D2190" i="2" s="1"/>
  <c r="D2188" i="2" a="1"/>
  <c r="D2188" i="2" s="1"/>
  <c r="D2183" i="2" a="1"/>
  <c r="D2183" i="2" s="1"/>
  <c r="D2182" i="2" a="1"/>
  <c r="D2182" i="2" s="1"/>
  <c r="D2181" i="2" a="1"/>
  <c r="D2181" i="2" s="1"/>
  <c r="D2180" i="2" a="1"/>
  <c r="D2180" i="2" s="1"/>
  <c r="D2179" i="2" a="1"/>
  <c r="D2179" i="2" s="1"/>
  <c r="D2177" i="2" a="1"/>
  <c r="D2177" i="2" s="1"/>
  <c r="D2176" i="2" a="1"/>
  <c r="D2176" i="2" s="1"/>
  <c r="D2175" i="2" a="1"/>
  <c r="D2175" i="2" s="1"/>
  <c r="D2174" i="2" a="1"/>
  <c r="D2174" i="2" s="1"/>
  <c r="D2173" i="2" a="1"/>
  <c r="D2173" i="2" s="1"/>
  <c r="D2172" i="2" a="1"/>
  <c r="D2172" i="2" s="1"/>
  <c r="D2169" i="2" a="1"/>
  <c r="D2169" i="2" s="1"/>
  <c r="D2168" i="2" a="1"/>
  <c r="D2168" i="2" s="1"/>
  <c r="D2165" i="2" a="1"/>
  <c r="D2165" i="2" s="1"/>
  <c r="D2162" i="2" a="1"/>
  <c r="D2162" i="2" s="1"/>
  <c r="D2160" i="2" a="1"/>
  <c r="D2160" i="2" s="1"/>
  <c r="D2159" i="2" a="1"/>
  <c r="D2159" i="2" s="1"/>
  <c r="D2158" i="2" a="1"/>
  <c r="D2158" i="2" s="1"/>
  <c r="D2155" i="2" a="1"/>
  <c r="D2155" i="2" s="1"/>
  <c r="D2153" i="2" a="1"/>
  <c r="D2153" i="2" s="1"/>
  <c r="D2152" i="2" a="1"/>
  <c r="D2152" i="2" s="1"/>
  <c r="D2151" i="2" a="1"/>
  <c r="D2151" i="2" s="1"/>
  <c r="D2150" i="2" a="1"/>
  <c r="D2150" i="2" s="1"/>
  <c r="D2149" i="2" a="1"/>
  <c r="D2149" i="2" s="1"/>
  <c r="D2148" i="2" a="1"/>
  <c r="D2148" i="2" s="1"/>
  <c r="D2147" i="2" a="1"/>
  <c r="D2147" i="2" s="1"/>
  <c r="D2146" i="2" a="1"/>
  <c r="D2146" i="2" s="1"/>
  <c r="D2144" i="2" a="1"/>
  <c r="D2144" i="2" s="1"/>
  <c r="D2143" i="2" a="1"/>
  <c r="D2143" i="2" s="1"/>
  <c r="D2140" i="2" a="1"/>
  <c r="D2140" i="2" s="1"/>
  <c r="D2138" i="2" a="1"/>
  <c r="D2138" i="2" s="1"/>
  <c r="D2137" i="2" a="1"/>
  <c r="D2137" i="2" s="1"/>
  <c r="D2136" i="2" a="1"/>
  <c r="D2136" i="2" s="1"/>
  <c r="D2135" i="2" a="1"/>
  <c r="D2135" i="2" s="1"/>
  <c r="D2134" i="2" a="1"/>
  <c r="D2134" i="2" s="1"/>
  <c r="D2131" i="2" a="1"/>
  <c r="D2131" i="2" s="1"/>
  <c r="D2129" i="2" a="1"/>
  <c r="D2129" i="2" s="1"/>
  <c r="D2128" i="2" a="1"/>
  <c r="D2128" i="2" s="1"/>
  <c r="D2127" i="2" a="1"/>
  <c r="D2127" i="2" s="1"/>
  <c r="D2123" i="2" a="1"/>
  <c r="D2123" i="2" s="1"/>
  <c r="D2121" i="2" a="1"/>
  <c r="D2121" i="2" s="1"/>
  <c r="D2120" i="2" a="1"/>
  <c r="D2120" i="2" s="1"/>
  <c r="D2119" i="2" a="1"/>
  <c r="D2119" i="2" s="1"/>
  <c r="D2118" i="2" a="1"/>
  <c r="D2118" i="2" s="1"/>
  <c r="D2117" i="2" a="1"/>
  <c r="D2117" i="2" s="1"/>
  <c r="D2116" i="2" a="1"/>
  <c r="D2116" i="2" s="1"/>
  <c r="D2115" i="2" a="1"/>
  <c r="D2115" i="2" s="1"/>
  <c r="D2112" i="2" a="1"/>
  <c r="D2112" i="2" s="1"/>
  <c r="D2111" i="2" a="1"/>
  <c r="D2111" i="2" s="1"/>
  <c r="D2110" i="2" a="1"/>
  <c r="D2110" i="2" s="1"/>
  <c r="D2109" i="2" a="1"/>
  <c r="D2109" i="2" s="1"/>
  <c r="D2108" i="2" a="1"/>
  <c r="D2108" i="2" s="1"/>
  <c r="D2107" i="2" a="1"/>
  <c r="D2107" i="2" s="1"/>
  <c r="D2106" i="2" a="1"/>
  <c r="D2106" i="2" s="1"/>
  <c r="D2105" i="2" a="1"/>
  <c r="D2105" i="2" s="1"/>
  <c r="D2104" i="2" a="1"/>
  <c r="D2104" i="2" s="1"/>
  <c r="D2103" i="2" a="1"/>
  <c r="D2103" i="2" s="1"/>
  <c r="D2102" i="2" a="1"/>
  <c r="D2102" i="2" s="1"/>
  <c r="D2100" i="2" a="1"/>
  <c r="D2100" i="2" s="1"/>
  <c r="D2099" i="2" a="1"/>
  <c r="D2099" i="2" s="1"/>
  <c r="D2098" i="2" a="1"/>
  <c r="D2098" i="2" s="1"/>
  <c r="D2096" i="2" a="1"/>
  <c r="D2096" i="2" s="1"/>
  <c r="D2095" i="2" a="1"/>
  <c r="D2095" i="2" s="1"/>
  <c r="D2094" i="2" a="1"/>
  <c r="D2094" i="2" s="1"/>
  <c r="D2093" i="2" a="1"/>
  <c r="D2093" i="2" s="1"/>
  <c r="D2092" i="2" a="1"/>
  <c r="D2092" i="2" s="1"/>
  <c r="D2091" i="2" a="1"/>
  <c r="D2091" i="2" s="1"/>
  <c r="D2090" i="2" a="1"/>
  <c r="D2090" i="2" s="1"/>
  <c r="D2089" i="2" a="1"/>
  <c r="D2089" i="2" s="1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G2097" i="2"/>
  <c r="G2101" i="2"/>
  <c r="G2113" i="2"/>
  <c r="G2114" i="2"/>
  <c r="G2122" i="2"/>
  <c r="G2124" i="2"/>
  <c r="G2125" i="2"/>
  <c r="G2126" i="2"/>
  <c r="G2130" i="2"/>
  <c r="G2132" i="2"/>
  <c r="G2133" i="2"/>
  <c r="G2139" i="2"/>
  <c r="G2141" i="2"/>
  <c r="G2142" i="2"/>
  <c r="G2145" i="2"/>
  <c r="G2154" i="2"/>
  <c r="G2156" i="2"/>
  <c r="G2157" i="2"/>
  <c r="G2161" i="2"/>
  <c r="G2163" i="2"/>
  <c r="G2164" i="2"/>
  <c r="G2166" i="2"/>
  <c r="G2167" i="2"/>
  <c r="G2170" i="2"/>
  <c r="G2171" i="2"/>
  <c r="G2178" i="2"/>
  <c r="G2184" i="2"/>
  <c r="G2185" i="2"/>
  <c r="G2186" i="2"/>
  <c r="G2187" i="2"/>
  <c r="G2189" i="2"/>
  <c r="G2191" i="2"/>
  <c r="G2192" i="2"/>
  <c r="G2194" i="2"/>
  <c r="G2195" i="2"/>
  <c r="G2196" i="2"/>
  <c r="G2203" i="2"/>
  <c r="G2204" i="2"/>
  <c r="G2217" i="2"/>
  <c r="G2221" i="2"/>
  <c r="G2229" i="2"/>
  <c r="G2235" i="2"/>
  <c r="G2236" i="2"/>
  <c r="G2238" i="2"/>
  <c r="G2239" i="2"/>
  <c r="G2240" i="2"/>
  <c r="G2241" i="2"/>
  <c r="G2245" i="2"/>
  <c r="G2250" i="2"/>
  <c r="G2252" i="2"/>
  <c r="G2255" i="2"/>
  <c r="G2258" i="2"/>
  <c r="I2097" i="2"/>
  <c r="I2101" i="2"/>
  <c r="I2113" i="2"/>
  <c r="I2114" i="2"/>
  <c r="I2122" i="2"/>
  <c r="I2124" i="2"/>
  <c r="I2125" i="2"/>
  <c r="I2126" i="2"/>
  <c r="I2130" i="2"/>
  <c r="I2132" i="2"/>
  <c r="I2133" i="2"/>
  <c r="I2139" i="2"/>
  <c r="I2141" i="2"/>
  <c r="I2142" i="2"/>
  <c r="I2145" i="2"/>
  <c r="I2154" i="2"/>
  <c r="I2156" i="2"/>
  <c r="I2157" i="2"/>
  <c r="I2161" i="2"/>
  <c r="I2163" i="2"/>
  <c r="I2164" i="2"/>
  <c r="I2166" i="2"/>
  <c r="I2167" i="2"/>
  <c r="I2170" i="2"/>
  <c r="I2171" i="2"/>
  <c r="I2178" i="2"/>
  <c r="I2184" i="2"/>
  <c r="I2185" i="2"/>
  <c r="I2186" i="2"/>
  <c r="I2187" i="2"/>
  <c r="I2189" i="2"/>
  <c r="I2191" i="2"/>
  <c r="I2192" i="2"/>
  <c r="I2194" i="2"/>
  <c r="I2195" i="2"/>
  <c r="I2196" i="2"/>
  <c r="I2203" i="2"/>
  <c r="I2204" i="2"/>
  <c r="I2217" i="2"/>
  <c r="I2221" i="2"/>
  <c r="I2229" i="2"/>
  <c r="I2235" i="2"/>
  <c r="I2236" i="2"/>
  <c r="I2238" i="2"/>
  <c r="I2239" i="2"/>
  <c r="I2240" i="2"/>
  <c r="I2241" i="2"/>
  <c r="I2245" i="2"/>
  <c r="I2250" i="2"/>
  <c r="I2252" i="2"/>
  <c r="I2255" i="2"/>
  <c r="I2258" i="2"/>
  <c r="B2089" i="2"/>
  <c r="B2015" i="2"/>
  <c r="D2015" i="2" a="1"/>
  <c r="D2015" i="2"/>
  <c r="F2015" i="2"/>
  <c r="G2015" i="2"/>
  <c r="H2015" i="2"/>
  <c r="I2015" i="2"/>
  <c r="B2016" i="2"/>
  <c r="D2016" i="2" a="1"/>
  <c r="D2016" i="2"/>
  <c r="F2016" i="2"/>
  <c r="G2016" i="2"/>
  <c r="H2016" i="2"/>
  <c r="I2016" i="2"/>
  <c r="B2017" i="2"/>
  <c r="F2017" i="2"/>
  <c r="G2017" i="2"/>
  <c r="H2017" i="2"/>
  <c r="I2017" i="2"/>
  <c r="B2018" i="2"/>
  <c r="D2018" i="2" a="1"/>
  <c r="D2018" i="2"/>
  <c r="F2018" i="2"/>
  <c r="G2018" i="2"/>
  <c r="H2018" i="2"/>
  <c r="I2018" i="2"/>
  <c r="B2019" i="2"/>
  <c r="D2019" i="2" a="1"/>
  <c r="D2019" i="2"/>
  <c r="F2019" i="2"/>
  <c r="G2019" i="2"/>
  <c r="H2019" i="2"/>
  <c r="I2019" i="2"/>
  <c r="D2081" i="2" a="1"/>
  <c r="D2081" i="2"/>
  <c r="D2084" i="2" a="1"/>
  <c r="D2084" i="2"/>
  <c r="D2087" i="2" a="1"/>
  <c r="D2087" i="2"/>
  <c r="D2072" i="2" a="1"/>
  <c r="D2072" i="2"/>
  <c r="D2062" i="2" a="1"/>
  <c r="D2062" i="2"/>
  <c r="D2063" i="2" a="1"/>
  <c r="D2063" i="2"/>
  <c r="D2064" i="2" a="1"/>
  <c r="D2064" i="2"/>
  <c r="D2075" i="2" a="1"/>
  <c r="D2075" i="2"/>
  <c r="D2076" i="2" a="1"/>
  <c r="D2076" i="2"/>
  <c r="D2077" i="2" a="1"/>
  <c r="D2077" i="2"/>
  <c r="D2078" i="2" a="1"/>
  <c r="D2078" i="2"/>
  <c r="D2055" i="2" a="1"/>
  <c r="D2055" i="2"/>
  <c r="D2056" i="2" a="1"/>
  <c r="D2056" i="2"/>
  <c r="D2057" i="2" a="1"/>
  <c r="D2057" i="2"/>
  <c r="D2065" i="2" a="1"/>
  <c r="D2065" i="2"/>
  <c r="D2047" i="2" a="1"/>
  <c r="D2047" i="2"/>
  <c r="D2048" i="2" a="1"/>
  <c r="D2048" i="2"/>
  <c r="D2049" i="2" a="1"/>
  <c r="D2049" i="2"/>
  <c r="D2052" i="2" a="1"/>
  <c r="D2052" i="2"/>
  <c r="D2039" i="2" a="1"/>
  <c r="D2039" i="2"/>
  <c r="D2040" i="2" a="1"/>
  <c r="D2040" i="2"/>
  <c r="D2041" i="2" a="1"/>
  <c r="D2041" i="2"/>
  <c r="D2042" i="2" a="1"/>
  <c r="D2042" i="2"/>
  <c r="D2043" i="2" a="1"/>
  <c r="D2043" i="2"/>
  <c r="B2080" i="2"/>
  <c r="B2066" i="2"/>
  <c r="B2067" i="2"/>
  <c r="B2068" i="2"/>
  <c r="B2081" i="2"/>
  <c r="B2082" i="2"/>
  <c r="B2069" i="2"/>
  <c r="B2083" i="2"/>
  <c r="B2070" i="2"/>
  <c r="B2084" i="2"/>
  <c r="B2085" i="2"/>
  <c r="B2086" i="2"/>
  <c r="B2087" i="2"/>
  <c r="B2088" i="2"/>
  <c r="B2071" i="2"/>
  <c r="B2072" i="2"/>
  <c r="B2062" i="2"/>
  <c r="B2063" i="2"/>
  <c r="B2073" i="2"/>
  <c r="B2064" i="2"/>
  <c r="B2074" i="2"/>
  <c r="B2075" i="2"/>
  <c r="B2076" i="2"/>
  <c r="B2077" i="2"/>
  <c r="B2078" i="2"/>
  <c r="B2055" i="2"/>
  <c r="B2056" i="2"/>
  <c r="B2057" i="2"/>
  <c r="B2058" i="2"/>
  <c r="B2065" i="2"/>
  <c r="B2059" i="2"/>
  <c r="B2060" i="2"/>
  <c r="B2061" i="2"/>
  <c r="B2044" i="2"/>
  <c r="B2045" i="2"/>
  <c r="B2046" i="2"/>
  <c r="B2047" i="2"/>
  <c r="B2048" i="2"/>
  <c r="B2049" i="2"/>
  <c r="B2050" i="2"/>
  <c r="B2051" i="2"/>
  <c r="B2052" i="2"/>
  <c r="B2039" i="2"/>
  <c r="B2040" i="2"/>
  <c r="B2041" i="2"/>
  <c r="B2042" i="2"/>
  <c r="B2043" i="2"/>
  <c r="B2053" i="2"/>
  <c r="B2054" i="2"/>
  <c r="B2079" i="2"/>
  <c r="B1982" i="2"/>
  <c r="G1982" i="2"/>
  <c r="H1982" i="2"/>
  <c r="I1982" i="2"/>
  <c r="H1980" i="2"/>
  <c r="F1980" i="2"/>
  <c r="H1992" i="2"/>
  <c r="H1991" i="2"/>
  <c r="H1989" i="2"/>
  <c r="F1989" i="2"/>
  <c r="H1988" i="2"/>
  <c r="F1988" i="2"/>
  <c r="H2001" i="2"/>
  <c r="F2001" i="2"/>
  <c r="H2000" i="2"/>
  <c r="F2000" i="2"/>
  <c r="H2013" i="2"/>
  <c r="H1997" i="2"/>
  <c r="F1997" i="2"/>
  <c r="H2010" i="2"/>
  <c r="F2010" i="2"/>
  <c r="H2008" i="2"/>
  <c r="F2008" i="2"/>
  <c r="H1983" i="2"/>
  <c r="F1983" i="2"/>
  <c r="H2020" i="2"/>
  <c r="H2037" i="2"/>
  <c r="F2037" i="2"/>
  <c r="H2028" i="2"/>
  <c r="F2028" i="2"/>
  <c r="H2027" i="2"/>
  <c r="D1880" i="2" a="1"/>
  <c r="D1880" i="2" s="1"/>
  <c r="D1877" i="2" a="1"/>
  <c r="D1877" i="2" s="1"/>
  <c r="D1875" i="2" a="1"/>
  <c r="D1875" i="2" s="1"/>
  <c r="D1870" i="2" a="1"/>
  <c r="D1870" i="2" s="1"/>
  <c r="D1868" i="2" a="1"/>
  <c r="D1868" i="2" s="1"/>
  <c r="D1867" i="2" a="1"/>
  <c r="D1867" i="2" s="1"/>
  <c r="D1888" i="2" a="1"/>
  <c r="D1888" i="2" s="1"/>
  <c r="D1866" i="2" a="1"/>
  <c r="D1866" i="2" s="1"/>
  <c r="D1886" i="2" a="1"/>
  <c r="D1886" i="2" s="1"/>
  <c r="D1885" i="2" a="1"/>
  <c r="D1885" i="2" s="1"/>
  <c r="D1874" i="2" a="1"/>
  <c r="D1874" i="2" s="1"/>
  <c r="D1873" i="2" a="1"/>
  <c r="D1873" i="2" s="1"/>
  <c r="D1884" i="2" a="1"/>
  <c r="D1884" i="2" s="1"/>
  <c r="D1898" i="2" a="1"/>
  <c r="D1898" i="2" s="1"/>
  <c r="D1897" i="2" a="1"/>
  <c r="D1897" i="2" s="1"/>
  <c r="D1896" i="2" a="1"/>
  <c r="D1896" i="2" s="1"/>
  <c r="D1895" i="2" a="1"/>
  <c r="D1895" i="2" s="1"/>
  <c r="D1918" i="2" a="1"/>
  <c r="D1918" i="2" s="1"/>
  <c r="D1916" i="2" a="1"/>
  <c r="D1916" i="2" s="1"/>
  <c r="D1914" i="2" a="1"/>
  <c r="D1914" i="2" s="1"/>
  <c r="D1907" i="2" a="1"/>
  <c r="D1907" i="2" s="1"/>
  <c r="D1906" i="2" a="1"/>
  <c r="D1906" i="2" s="1"/>
  <c r="D1902" i="2" a="1"/>
  <c r="D1902" i="2" s="1"/>
  <c r="D1892" i="2" a="1"/>
  <c r="D1892" i="2" s="1"/>
  <c r="D1891" i="2" a="1"/>
  <c r="D1891" i="2" s="1"/>
  <c r="D1900" i="2" a="1"/>
  <c r="D1900" i="2" s="1"/>
  <c r="D1923" i="2" a="1"/>
  <c r="D1923" i="2" s="1"/>
  <c r="D1922" i="2" a="1"/>
  <c r="D1922" i="2" s="1"/>
  <c r="D1921" i="2" a="1"/>
  <c r="D1921" i="2" s="1"/>
  <c r="D1883" i="2" a="1"/>
  <c r="D1883" i="2" s="1"/>
  <c r="D1882" i="2" a="1"/>
  <c r="D1882" i="2" s="1"/>
  <c r="D1908" i="2" a="1"/>
  <c r="D1908" i="2" s="1"/>
  <c r="D1910" i="2" a="1"/>
  <c r="D1910" i="2" s="1"/>
  <c r="D1926" i="2" a="1"/>
  <c r="D1926" i="2" s="1"/>
  <c r="D1933" i="2" a="1"/>
  <c r="D1933" i="2" s="1"/>
  <c r="D1924" i="2" a="1"/>
  <c r="D1924" i="2" s="1"/>
  <c r="D1931" i="2" a="1"/>
  <c r="D1931" i="2" s="1"/>
  <c r="D1938" i="2" a="1"/>
  <c r="D1938" i="2" s="1"/>
  <c r="D1937" i="2" a="1"/>
  <c r="D1937" i="2" s="1"/>
  <c r="D1936" i="2" a="1"/>
  <c r="D1936" i="2" s="1"/>
  <c r="D1930" i="2" a="1"/>
  <c r="D1930" i="2" s="1"/>
  <c r="D1929" i="2" a="1"/>
  <c r="D1929" i="2" s="1"/>
  <c r="D1935" i="2" a="1"/>
  <c r="D1935" i="2" s="1"/>
  <c r="D1942" i="2" a="1"/>
  <c r="D1942" i="2" s="1"/>
  <c r="D1941" i="2" a="1"/>
  <c r="D1941" i="2" s="1"/>
  <c r="D1940" i="2" a="1"/>
  <c r="D1940" i="2" s="1"/>
  <c r="D1956" i="2" a="1"/>
  <c r="D1956" i="2" s="1"/>
  <c r="D1955" i="2" a="1"/>
  <c r="D1955" i="2" s="1"/>
  <c r="D1954" i="2" a="1"/>
  <c r="D1954" i="2" s="1"/>
  <c r="D1953" i="2" a="1"/>
  <c r="D1953" i="2" s="1"/>
  <c r="D1952" i="2" a="1"/>
  <c r="D1952" i="2" s="1"/>
  <c r="D1951" i="2" a="1"/>
  <c r="D1951" i="2" s="1"/>
  <c r="D1950" i="2" a="1"/>
  <c r="D1950" i="2" s="1"/>
  <c r="D1944" i="2" a="1"/>
  <c r="D1944" i="2" s="1"/>
  <c r="D1939" i="2" a="1"/>
  <c r="D1939" i="2" s="1"/>
  <c r="D1966" i="2" a="1"/>
  <c r="D1966" i="2" s="1"/>
  <c r="D1962" i="2" a="1"/>
  <c r="D1962" i="2" s="1"/>
  <c r="D1945" i="2" a="1"/>
  <c r="D1945" i="2" s="1"/>
  <c r="D1961" i="2" a="1"/>
  <c r="D1961" i="2" s="1"/>
  <c r="D1960" i="2" a="1"/>
  <c r="D1960" i="2" s="1"/>
  <c r="D1959" i="2" a="1"/>
  <c r="D1959" i="2" s="1"/>
  <c r="D1979" i="2" a="1"/>
  <c r="D1979" i="2" s="1"/>
  <c r="D1978" i="2" a="1"/>
  <c r="D1978" i="2" s="1"/>
  <c r="D1968" i="2" a="1"/>
  <c r="D1968" i="2" s="1"/>
  <c r="D1958" i="2" a="1"/>
  <c r="D1958" i="2" s="1"/>
  <c r="D1977" i="2" a="1"/>
  <c r="D1977" i="2" s="1"/>
  <c r="D1976" i="2" a="1"/>
  <c r="D1976" i="2" s="1"/>
  <c r="D1967" i="2" a="1"/>
  <c r="D1967" i="2" s="1"/>
  <c r="D1981" i="2" a="1"/>
  <c r="D1981" i="2" s="1"/>
  <c r="D1975" i="2" a="1"/>
  <c r="D1975" i="2" s="1"/>
  <c r="D1974" i="2" a="1"/>
  <c r="D1974" i="2" s="1"/>
  <c r="D1973" i="2" a="1"/>
  <c r="D1973" i="2" s="1"/>
  <c r="D1990" i="2" a="1"/>
  <c r="D1990" i="2" s="1"/>
  <c r="D1987" i="2" a="1"/>
  <c r="D1987" i="2" s="1"/>
  <c r="D1986" i="2" a="1"/>
  <c r="D1986" i="2" s="1"/>
  <c r="D1985" i="2" a="1"/>
  <c r="D1985" i="2" s="1"/>
  <c r="D1984" i="2" a="1"/>
  <c r="D1984" i="2" s="1"/>
  <c r="D1994" i="2" a="1"/>
  <c r="D1994" i="2" s="1"/>
  <c r="D2005" i="2" a="1"/>
  <c r="D2005" i="2" s="1"/>
  <c r="D2004" i="2" a="1"/>
  <c r="D2004" i="2" s="1"/>
  <c r="D2003" i="2" a="1"/>
  <c r="D2003" i="2" s="1"/>
  <c r="D2002" i="2" a="1"/>
  <c r="D2002" i="2" s="1"/>
  <c r="D1993" i="2" a="1"/>
  <c r="D1993" i="2" s="1"/>
  <c r="D1999" i="2" a="1"/>
  <c r="D1999" i="2" s="1"/>
  <c r="D2014" i="2" a="1"/>
  <c r="D2014" i="2" s="1"/>
  <c r="D2012" i="2" a="1"/>
  <c r="D2012" i="2" s="1"/>
  <c r="D2011" i="2" a="1"/>
  <c r="D2011" i="2" s="1"/>
  <c r="D1998" i="2" a="1"/>
  <c r="D1998" i="2" s="1"/>
  <c r="D1996" i="2" a="1"/>
  <c r="D1996" i="2" s="1"/>
  <c r="D1995" i="2" a="1"/>
  <c r="D1995" i="2" s="1"/>
  <c r="D2009" i="2" a="1"/>
  <c r="D2009" i="2" s="1"/>
  <c r="D2024" i="2" a="1"/>
  <c r="D2024" i="2" s="1"/>
  <c r="D2023" i="2" a="1"/>
  <c r="D2023" i="2" s="1"/>
  <c r="D2022" i="2" a="1"/>
  <c r="D2022" i="2" s="1"/>
  <c r="D2021" i="2" a="1"/>
  <c r="D2021" i="2" s="1"/>
  <c r="D2007" i="2" a="1"/>
  <c r="D2007" i="2" s="1"/>
  <c r="D2006" i="2" a="1"/>
  <c r="D2006" i="2" s="1"/>
  <c r="D2036" i="2" a="1"/>
  <c r="D2036" i="2" s="1"/>
  <c r="D2035" i="2" a="1"/>
  <c r="D2035" i="2" s="1"/>
  <c r="D2034" i="2" a="1"/>
  <c r="D2034" i="2" s="1"/>
  <c r="D2033" i="2" a="1"/>
  <c r="D2033" i="2" s="1"/>
  <c r="D2032" i="2" a="1"/>
  <c r="D2032" i="2" s="1"/>
  <c r="D2031" i="2" a="1"/>
  <c r="D2031" i="2" s="1"/>
  <c r="D2030" i="2" a="1"/>
  <c r="D2030" i="2" s="1"/>
  <c r="D2025" i="2" a="1"/>
  <c r="D2025" i="2" s="1"/>
  <c r="D1872" i="2" a="1"/>
  <c r="D1872" i="2" s="1"/>
  <c r="B1881" i="2"/>
  <c r="B1880" i="2"/>
  <c r="B1879" i="2"/>
  <c r="B1878" i="2"/>
  <c r="B1877" i="2"/>
  <c r="B1876" i="2"/>
  <c r="B1875" i="2"/>
  <c r="B1890" i="2"/>
  <c r="B1889" i="2"/>
  <c r="B1870" i="2"/>
  <c r="B1869" i="2"/>
  <c r="B1868" i="2"/>
  <c r="B1867" i="2"/>
  <c r="B1888" i="2"/>
  <c r="B1866" i="2"/>
  <c r="B1865" i="2"/>
  <c r="B1887" i="2"/>
  <c r="B1886" i="2"/>
  <c r="B1885" i="2"/>
  <c r="B1874" i="2"/>
  <c r="B1873" i="2"/>
  <c r="B1884" i="2"/>
  <c r="B1898" i="2"/>
  <c r="B1897" i="2"/>
  <c r="B1896" i="2"/>
  <c r="B1895" i="2"/>
  <c r="B1894" i="2"/>
  <c r="B1893" i="2"/>
  <c r="B1919" i="2"/>
  <c r="B1918" i="2"/>
  <c r="B1917" i="2"/>
  <c r="B1916" i="2"/>
  <c r="B1915" i="2"/>
  <c r="B1914" i="2"/>
  <c r="B1913" i="2"/>
  <c r="B1912" i="2"/>
  <c r="B1911" i="2"/>
  <c r="B1907" i="2"/>
  <c r="B1906" i="2"/>
  <c r="B1905" i="2"/>
  <c r="B1904" i="2"/>
  <c r="B1903" i="2"/>
  <c r="B1902" i="2"/>
  <c r="B1892" i="2"/>
  <c r="B1891" i="2"/>
  <c r="B1901" i="2"/>
  <c r="B1900" i="2"/>
  <c r="B1899" i="2"/>
  <c r="B1923" i="2"/>
  <c r="B1922" i="2"/>
  <c r="B1921" i="2"/>
  <c r="B1920" i="2"/>
  <c r="B1909" i="2"/>
  <c r="B1883" i="2"/>
  <c r="B1882" i="2"/>
  <c r="B1908" i="2"/>
  <c r="B1910" i="2"/>
  <c r="B1928" i="2"/>
  <c r="B1927" i="2"/>
  <c r="B1926" i="2"/>
  <c r="B1933" i="2"/>
  <c r="B1925" i="2"/>
  <c r="B1932" i="2"/>
  <c r="B1924" i="2"/>
  <c r="B1931" i="2"/>
  <c r="B1938" i="2"/>
  <c r="B1937" i="2"/>
  <c r="B1936" i="2"/>
  <c r="B1930" i="2"/>
  <c r="B1929" i="2"/>
  <c r="B1935" i="2"/>
  <c r="B1934" i="2"/>
  <c r="B1943" i="2"/>
  <c r="B1942" i="2"/>
  <c r="B1941" i="2"/>
  <c r="B1940" i="2"/>
  <c r="B1956" i="2"/>
  <c r="B1955" i="2"/>
  <c r="B1954" i="2"/>
  <c r="B1953" i="2"/>
  <c r="B1952" i="2"/>
  <c r="B1951" i="2"/>
  <c r="B1950" i="2"/>
  <c r="B1944" i="2"/>
  <c r="B1939" i="2"/>
  <c r="B1966" i="2"/>
  <c r="B1963" i="2"/>
  <c r="B1962" i="2"/>
  <c r="B1945" i="2"/>
  <c r="B1972" i="2"/>
  <c r="B1961" i="2"/>
  <c r="B1960" i="2"/>
  <c r="B1959" i="2"/>
  <c r="B1971" i="2"/>
  <c r="B1970" i="2"/>
  <c r="B1969" i="2"/>
  <c r="B1979" i="2"/>
  <c r="B1978" i="2"/>
  <c r="B1968" i="2"/>
  <c r="B1958" i="2"/>
  <c r="B1977" i="2"/>
  <c r="B1976" i="2"/>
  <c r="B1967" i="2"/>
  <c r="B1957" i="2"/>
  <c r="B1981" i="2"/>
  <c r="B1980" i="2"/>
  <c r="B1975" i="2"/>
  <c r="B1974" i="2"/>
  <c r="B1973" i="2"/>
  <c r="B1992" i="2"/>
  <c r="B1991" i="2"/>
  <c r="B1990" i="2"/>
  <c r="B1989" i="2"/>
  <c r="B1988" i="2"/>
  <c r="B1987" i="2"/>
  <c r="B1986" i="2"/>
  <c r="B1985" i="2"/>
  <c r="B1984" i="2"/>
  <c r="B1994" i="2"/>
  <c r="B2005" i="2"/>
  <c r="B2004" i="2"/>
  <c r="B2003" i="2"/>
  <c r="B2002" i="2"/>
  <c r="B2001" i="2"/>
  <c r="B2000" i="2"/>
  <c r="B1993" i="2"/>
  <c r="B1999" i="2"/>
  <c r="B2014" i="2"/>
  <c r="B2013" i="2"/>
  <c r="B2012" i="2"/>
  <c r="B2011" i="2"/>
  <c r="B1998" i="2"/>
  <c r="B1997" i="2"/>
  <c r="B2010" i="2"/>
  <c r="B1996" i="2"/>
  <c r="B1995" i="2"/>
  <c r="B2009" i="2"/>
  <c r="B2008" i="2"/>
  <c r="B2024" i="2"/>
  <c r="B2023" i="2"/>
  <c r="B2022" i="2"/>
  <c r="B1983" i="2"/>
  <c r="B2021" i="2"/>
  <c r="B2020" i="2"/>
  <c r="B2007" i="2"/>
  <c r="B2006" i="2"/>
  <c r="B2026" i="2"/>
  <c r="B2037" i="2"/>
  <c r="B2036" i="2"/>
  <c r="B2035" i="2"/>
  <c r="B2034" i="2"/>
  <c r="B2033" i="2"/>
  <c r="B2032" i="2"/>
  <c r="B2031" i="2"/>
  <c r="B2030" i="2"/>
  <c r="B2025" i="2"/>
  <c r="B2028" i="2"/>
  <c r="D1947" i="2" a="1"/>
  <c r="D1947" i="2" s="1"/>
  <c r="D1946" i="2" a="1"/>
  <c r="D1946" i="2" s="1"/>
  <c r="D1965" i="2" a="1"/>
  <c r="D1965" i="2" s="1"/>
  <c r="B1964" i="2"/>
  <c r="B1965" i="2"/>
  <c r="B1946" i="2"/>
  <c r="B1947" i="2"/>
  <c r="B1948" i="2"/>
  <c r="B1949" i="2"/>
  <c r="D1861" i="2" a="1"/>
  <c r="D1861" i="2"/>
  <c r="D1857" i="2" a="1"/>
  <c r="D1857" i="2"/>
  <c r="D1858" i="2" a="1"/>
  <c r="D1858" i="2"/>
  <c r="D1862" i="2" a="1"/>
  <c r="D1862" i="2"/>
  <c r="D1863" i="2" a="1"/>
  <c r="D1863" i="2"/>
  <c r="D1864" i="2" a="1"/>
  <c r="D1864" i="2"/>
  <c r="D2029" i="2" a="1"/>
  <c r="D2029" i="2"/>
  <c r="D2038" i="2" a="1"/>
  <c r="D2038" i="2"/>
  <c r="D1859" i="2" a="1"/>
  <c r="D1859" i="2"/>
  <c r="D1860" i="2" a="1"/>
  <c r="D1860" i="2"/>
  <c r="D1788" i="2" a="1"/>
  <c r="D1788" i="2"/>
  <c r="D1789" i="2" a="1"/>
  <c r="D1789" i="2"/>
  <c r="D1709" i="2" a="1"/>
  <c r="D1709" i="2"/>
  <c r="D1710" i="2" a="1"/>
  <c r="D1710" i="2"/>
  <c r="D1711" i="2" a="1"/>
  <c r="D1711" i="2"/>
  <c r="D1712" i="2" a="1"/>
  <c r="D1712" i="2"/>
  <c r="D1713" i="2" a="1"/>
  <c r="D1713" i="2"/>
  <c r="D1705" i="2" a="1"/>
  <c r="D1705" i="2"/>
  <c r="D1704" i="2" a="1"/>
  <c r="D1704" i="2"/>
  <c r="D1706" i="2" a="1"/>
  <c r="D1706" i="2"/>
  <c r="D1714" i="2" a="1"/>
  <c r="D1714" i="2"/>
  <c r="D1716" i="2" a="1"/>
  <c r="D1716" i="2"/>
  <c r="D1717" i="2" a="1"/>
  <c r="D1717" i="2"/>
  <c r="D1718" i="2" a="1"/>
  <c r="D1718" i="2"/>
  <c r="D1719" i="2" a="1"/>
  <c r="D1719" i="2"/>
  <c r="D1720" i="2" a="1"/>
  <c r="D1720" i="2"/>
  <c r="D1721" i="2" a="1"/>
  <c r="D1721" i="2"/>
  <c r="D1724" i="2" a="1"/>
  <c r="D1724" i="2"/>
  <c r="D1725" i="2" a="1"/>
  <c r="D1725" i="2"/>
  <c r="D1726" i="2" a="1"/>
  <c r="D1726" i="2"/>
  <c r="B1857" i="2"/>
  <c r="B1858" i="2"/>
  <c r="B1862" i="2"/>
  <c r="B1863" i="2"/>
  <c r="B1864" i="2"/>
  <c r="B1871" i="2"/>
  <c r="B1872" i="2"/>
  <c r="B2029" i="2"/>
  <c r="B2038" i="2"/>
  <c r="B1859" i="2"/>
  <c r="B1860" i="2"/>
  <c r="B1788" i="2"/>
  <c r="B1789" i="2"/>
  <c r="B1709" i="2"/>
  <c r="B1710" i="2"/>
  <c r="B1711" i="2"/>
  <c r="B1712" i="2"/>
  <c r="B1713" i="2"/>
  <c r="B1705" i="2"/>
  <c r="B1704" i="2"/>
  <c r="B1706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861" i="2"/>
  <c r="B1843" i="2"/>
  <c r="G1843" i="2"/>
  <c r="H1843" i="2"/>
  <c r="I1843" i="2"/>
  <c r="D1848" i="2" a="1"/>
  <c r="D1848" i="2"/>
  <c r="D1849" i="2" a="1"/>
  <c r="D1849" i="2"/>
  <c r="D1856" i="2" a="1"/>
  <c r="D1856" i="2"/>
  <c r="D1844" i="2" a="1"/>
  <c r="D1844" i="2"/>
  <c r="D1845" i="2" a="1"/>
  <c r="D1845" i="2"/>
  <c r="D1846" i="2" a="1"/>
  <c r="D1846" i="2"/>
  <c r="D1852" i="2" a="1"/>
  <c r="D1852" i="2"/>
  <c r="D1847" i="2" a="1"/>
  <c r="D1847" i="2"/>
  <c r="D1853" i="2" a="1"/>
  <c r="D1853" i="2"/>
  <c r="D1841" i="2" a="1"/>
  <c r="D1841" i="2"/>
  <c r="D1842" i="2" a="1"/>
  <c r="D1842" i="2"/>
  <c r="D1825" i="2" a="1"/>
  <c r="D1825" i="2"/>
  <c r="D1826" i="2" a="1"/>
  <c r="D1826" i="2"/>
  <c r="D1839" i="2" a="1"/>
  <c r="D1839" i="2"/>
  <c r="D1840" i="2" a="1"/>
  <c r="D1840" i="2"/>
  <c r="D1822" i="2" a="1"/>
  <c r="D1822" i="2"/>
  <c r="D1823" i="2" a="1"/>
  <c r="D1823" i="2"/>
  <c r="D1824" i="2" a="1"/>
  <c r="D1824" i="2"/>
  <c r="D1827" i="2" a="1"/>
  <c r="D1827" i="2"/>
  <c r="D1828" i="2" a="1"/>
  <c r="D1828" i="2"/>
  <c r="D1830" i="2" a="1"/>
  <c r="D1830" i="2"/>
  <c r="D1831" i="2" a="1"/>
  <c r="D1831" i="2"/>
  <c r="D1832" i="2" a="1"/>
  <c r="D1832" i="2"/>
  <c r="D1833" i="2" a="1"/>
  <c r="D1833" i="2"/>
  <c r="D1834" i="2" a="1"/>
  <c r="D1834" i="2"/>
  <c r="D1835" i="2" a="1"/>
  <c r="D1835" i="2"/>
  <c r="D1836" i="2" a="1"/>
  <c r="D1836" i="2"/>
  <c r="B1849" i="2"/>
  <c r="B1854" i="2"/>
  <c r="B1855" i="2"/>
  <c r="B1856" i="2"/>
  <c r="B1850" i="2"/>
  <c r="B1844" i="2"/>
  <c r="B1845" i="2"/>
  <c r="B1851" i="2"/>
  <c r="B1846" i="2"/>
  <c r="B1852" i="2"/>
  <c r="B1847" i="2"/>
  <c r="B1853" i="2"/>
  <c r="B1841" i="2"/>
  <c r="B1837" i="2"/>
  <c r="B1842" i="2"/>
  <c r="B1838" i="2"/>
  <c r="B1825" i="2"/>
  <c r="B1826" i="2"/>
  <c r="B1839" i="2"/>
  <c r="B1840" i="2"/>
  <c r="B1822" i="2"/>
  <c r="B1823" i="2"/>
  <c r="B1824" i="2"/>
  <c r="B1827" i="2"/>
  <c r="B1828" i="2"/>
  <c r="B1829" i="2"/>
  <c r="B1830" i="2"/>
  <c r="B1831" i="2"/>
  <c r="B1832" i="2"/>
  <c r="B1833" i="2"/>
  <c r="B1834" i="2"/>
  <c r="B1835" i="2"/>
  <c r="B1836" i="2"/>
  <c r="B1848" i="2"/>
  <c r="D1801" i="2" a="1"/>
  <c r="D1801" i="2" s="1"/>
  <c r="D1800" i="2" a="1"/>
  <c r="D1800" i="2" s="1"/>
  <c r="D1799" i="2" a="1"/>
  <c r="D1799" i="2" s="1"/>
  <c r="D1798" i="2" a="1"/>
  <c r="D1798" i="2" s="1"/>
  <c r="D1794" i="2" a="1"/>
  <c r="D1794" i="2" s="1"/>
  <c r="D1796" i="2" a="1"/>
  <c r="D1796" i="2" s="1"/>
  <c r="D1809" i="2" a="1"/>
  <c r="D1809" i="2" s="1"/>
  <c r="D1808" i="2" a="1"/>
  <c r="D1808" i="2" s="1"/>
  <c r="D1807" i="2" a="1"/>
  <c r="D1807" i="2" s="1"/>
  <c r="D1806" i="2" a="1"/>
  <c r="D1806" i="2" s="1"/>
  <c r="D1805" i="2" a="1"/>
  <c r="D1805" i="2" s="1"/>
  <c r="D1795" i="2" a="1"/>
  <c r="D1795" i="2" s="1"/>
  <c r="D1813" i="2" a="1"/>
  <c r="D1813" i="2" s="1"/>
  <c r="D1812" i="2" a="1"/>
  <c r="D1812" i="2" s="1"/>
  <c r="D1804" i="2" a="1"/>
  <c r="D1804" i="2" s="1"/>
  <c r="D1803" i="2" a="1"/>
  <c r="D1803" i="2" s="1"/>
  <c r="D1817" i="2" a="1"/>
  <c r="D1817" i="2" s="1"/>
  <c r="D1811" i="2" a="1"/>
  <c r="D1811" i="2" s="1"/>
  <c r="D1810" i="2" a="1"/>
  <c r="D1810" i="2" s="1"/>
  <c r="D1819" i="2" a="1"/>
  <c r="D1819" i="2" s="1"/>
  <c r="D1818" i="2" a="1"/>
  <c r="D1818" i="2" s="1"/>
  <c r="B1818" i="2"/>
  <c r="B1819" i="2"/>
  <c r="B1820" i="2"/>
  <c r="B1814" i="2"/>
  <c r="B1821" i="2"/>
  <c r="B1815" i="2"/>
  <c r="B1810" i="2"/>
  <c r="B1811" i="2"/>
  <c r="B1816" i="2"/>
  <c r="B1817" i="2"/>
  <c r="B1803" i="2"/>
  <c r="B1804" i="2"/>
  <c r="B1812" i="2"/>
  <c r="B1813" i="2"/>
  <c r="B1795" i="2"/>
  <c r="B1805" i="2"/>
  <c r="B1806" i="2"/>
  <c r="B1807" i="2"/>
  <c r="B1808" i="2"/>
  <c r="B1809" i="2"/>
  <c r="B1796" i="2"/>
  <c r="B1797" i="2"/>
  <c r="B1794" i="2"/>
  <c r="B1798" i="2"/>
  <c r="B1799" i="2"/>
  <c r="B1800" i="2"/>
  <c r="B1801" i="2"/>
  <c r="B1802" i="2"/>
  <c r="B1731" i="2"/>
  <c r="D1728" i="2" a="1"/>
  <c r="D1728" i="2"/>
  <c r="D1729" i="2" a="1"/>
  <c r="D1729" i="2"/>
  <c r="D1730" i="2" a="1"/>
  <c r="D1730" i="2"/>
  <c r="D1733" i="2" a="1"/>
  <c r="D1733" i="2"/>
  <c r="D1735" i="2" a="1"/>
  <c r="D1735" i="2"/>
  <c r="D1736" i="2" a="1"/>
  <c r="D1736" i="2"/>
  <c r="D1737" i="2" a="1"/>
  <c r="D1737" i="2"/>
  <c r="D1738" i="2" a="1"/>
  <c r="D1738" i="2"/>
  <c r="D1739" i="2" a="1"/>
  <c r="D1739" i="2"/>
  <c r="D1740" i="2" a="1"/>
  <c r="D1740" i="2"/>
  <c r="D1741" i="2" a="1"/>
  <c r="D1741" i="2"/>
  <c r="D1742" i="2" a="1"/>
  <c r="D1742" i="2"/>
  <c r="D1743" i="2" a="1"/>
  <c r="D1743" i="2"/>
  <c r="D1744" i="2" a="1"/>
  <c r="D1744" i="2"/>
  <c r="D1746" i="2" a="1"/>
  <c r="D1746" i="2"/>
  <c r="D1747" i="2" a="1"/>
  <c r="D1747" i="2"/>
  <c r="D1749" i="2" a="1"/>
  <c r="D1749" i="2"/>
  <c r="D1751" i="2" a="1"/>
  <c r="D1751" i="2"/>
  <c r="D1753" i="2" a="1"/>
  <c r="D1753" i="2"/>
  <c r="D1754" i="2" a="1"/>
  <c r="D1754" i="2"/>
  <c r="D1757" i="2" a="1"/>
  <c r="D1757" i="2"/>
  <c r="D1758" i="2" a="1"/>
  <c r="D1758" i="2"/>
  <c r="D1760" i="2" a="1"/>
  <c r="D1760" i="2"/>
  <c r="D1761" i="2" a="1"/>
  <c r="D1761" i="2"/>
  <c r="D1762" i="2" a="1"/>
  <c r="D1762" i="2"/>
  <c r="D1764" i="2" a="1"/>
  <c r="D1764" i="2"/>
  <c r="D1765" i="2" a="1"/>
  <c r="D1765" i="2"/>
  <c r="D1766" i="2" a="1"/>
  <c r="D1766" i="2"/>
  <c r="D1767" i="2" a="1"/>
  <c r="D1767" i="2"/>
  <c r="D1768" i="2" a="1"/>
  <c r="D1768" i="2"/>
  <c r="D1769" i="2" a="1"/>
  <c r="D1769" i="2"/>
  <c r="D1770" i="2" a="1"/>
  <c r="D1770" i="2"/>
  <c r="D1771" i="2" a="1"/>
  <c r="D1771" i="2"/>
  <c r="D1773" i="2" a="1"/>
  <c r="D1773" i="2"/>
  <c r="D1774" i="2" a="1"/>
  <c r="D1774" i="2"/>
  <c r="D1775" i="2" a="1"/>
  <c r="D1775" i="2"/>
  <c r="D1776" i="2" a="1"/>
  <c r="D1776" i="2"/>
  <c r="D1777" i="2" a="1"/>
  <c r="D1777" i="2"/>
  <c r="D1778" i="2" a="1"/>
  <c r="D1778" i="2"/>
  <c r="D1779" i="2" a="1"/>
  <c r="D1779" i="2"/>
  <c r="D1780" i="2" a="1"/>
  <c r="D1780" i="2"/>
  <c r="D1781" i="2" a="1"/>
  <c r="D1781" i="2"/>
  <c r="D1784" i="2" a="1"/>
  <c r="D1784" i="2"/>
  <c r="D1785" i="2" a="1"/>
  <c r="D1785" i="2"/>
  <c r="D1786" i="2" a="1"/>
  <c r="D1786" i="2"/>
  <c r="D1787" i="2" a="1"/>
  <c r="D1787" i="2"/>
  <c r="D1791" i="2" a="1"/>
  <c r="D1791" i="2"/>
  <c r="D1792" i="2" a="1"/>
  <c r="D1792" i="2"/>
  <c r="D1793" i="2" a="1"/>
  <c r="D1793" i="2"/>
  <c r="D1702" i="2" a="1"/>
  <c r="D1702" i="2"/>
  <c r="D1708" i="2" a="1"/>
  <c r="D1708" i="2" s="1"/>
  <c r="D1707" i="2" a="1"/>
  <c r="D1707" i="2" s="1"/>
  <c r="D1703" i="2" a="1"/>
  <c r="D1703" i="2" s="1"/>
  <c r="B1791" i="2"/>
  <c r="B1792" i="2"/>
  <c r="B1793" i="2"/>
  <c r="B1790" i="2"/>
  <c r="B1781" i="2"/>
  <c r="B1782" i="2"/>
  <c r="B1783" i="2"/>
  <c r="B1775" i="2"/>
  <c r="B1776" i="2"/>
  <c r="B1784" i="2"/>
  <c r="B1785" i="2"/>
  <c r="B1786" i="2"/>
  <c r="B1787" i="2"/>
  <c r="B1769" i="2"/>
  <c r="B1770" i="2"/>
  <c r="B1771" i="2"/>
  <c r="B1777" i="2"/>
  <c r="B1778" i="2"/>
  <c r="B1779" i="2"/>
  <c r="B1772" i="2"/>
  <c r="B1780" i="2"/>
  <c r="B1773" i="2"/>
  <c r="B1774" i="2"/>
  <c r="B1759" i="2"/>
  <c r="B1760" i="2"/>
  <c r="B1761" i="2"/>
  <c r="B1762" i="2"/>
  <c r="B1763" i="2"/>
  <c r="B1768" i="2"/>
  <c r="B1756" i="2"/>
  <c r="B1757" i="2"/>
  <c r="B1758" i="2"/>
  <c r="B1764" i="2"/>
  <c r="B1765" i="2"/>
  <c r="B1766" i="2"/>
  <c r="B1767" i="2"/>
  <c r="B1753" i="2"/>
  <c r="B1754" i="2"/>
  <c r="B1747" i="2"/>
  <c r="B1748" i="2"/>
  <c r="B1755" i="2"/>
  <c r="B1749" i="2"/>
  <c r="B1750" i="2"/>
  <c r="B1739" i="2"/>
  <c r="B1740" i="2"/>
  <c r="B1751" i="2"/>
  <c r="B1752" i="2"/>
  <c r="B1733" i="2"/>
  <c r="B1734" i="2"/>
  <c r="B1741" i="2"/>
  <c r="B1742" i="2"/>
  <c r="B1743" i="2"/>
  <c r="B1744" i="2"/>
  <c r="B1745" i="2"/>
  <c r="B1746" i="2"/>
  <c r="B1735" i="2"/>
  <c r="B1736" i="2"/>
  <c r="B1737" i="2"/>
  <c r="B1738" i="2"/>
  <c r="B1728" i="2"/>
  <c r="B1729" i="2"/>
  <c r="B1730" i="2"/>
  <c r="B1732" i="2"/>
  <c r="B2027" i="2"/>
  <c r="F1687" i="2"/>
  <c r="F1688" i="2"/>
  <c r="F1693" i="2"/>
  <c r="F1694" i="2"/>
  <c r="F1697" i="2"/>
  <c r="D1696" i="2" a="1"/>
  <c r="D1696" i="2"/>
  <c r="F1696" i="2" s="1"/>
  <c r="D1698" i="2" a="1"/>
  <c r="D1698" i="2"/>
  <c r="F1698" i="2" s="1"/>
  <c r="D1699" i="2" a="1"/>
  <c r="D1699" i="2"/>
  <c r="F1699" i="2" s="1"/>
  <c r="D1700" i="2" a="1"/>
  <c r="D1700" i="2"/>
  <c r="F1700" i="2" s="1"/>
  <c r="D1691" i="2" a="1"/>
  <c r="D1691" i="2"/>
  <c r="F1691" i="2" s="1"/>
  <c r="D1692" i="2" a="1"/>
  <c r="D1692" i="2"/>
  <c r="F1692" i="2" s="1"/>
  <c r="F1702" i="2"/>
  <c r="F1707" i="2"/>
  <c r="F1708" i="2"/>
  <c r="F1703" i="2"/>
  <c r="D1683" i="2" a="1"/>
  <c r="D1683" i="2"/>
  <c r="H1696" i="2"/>
  <c r="H1697" i="2"/>
  <c r="H1698" i="2"/>
  <c r="H1699" i="2"/>
  <c r="H1700" i="2"/>
  <c r="H1701" i="2"/>
  <c r="H1691" i="2"/>
  <c r="H1692" i="2"/>
  <c r="H1702" i="2"/>
  <c r="H1693" i="2"/>
  <c r="H1690" i="2"/>
  <c r="H1694" i="2"/>
  <c r="H1707" i="2"/>
  <c r="H1708" i="2"/>
  <c r="H1703" i="2"/>
  <c r="H1695" i="2"/>
  <c r="H1683" i="2"/>
  <c r="H1684" i="2"/>
  <c r="B1696" i="2"/>
  <c r="B1697" i="2"/>
  <c r="B1698" i="2"/>
  <c r="B1699" i="2"/>
  <c r="B1700" i="2"/>
  <c r="B1701" i="2"/>
  <c r="B1691" i="2"/>
  <c r="B1692" i="2"/>
  <c r="B1702" i="2"/>
  <c r="B1693" i="2"/>
  <c r="B1690" i="2"/>
  <c r="B1694" i="2"/>
  <c r="B1707" i="2"/>
  <c r="B1708" i="2"/>
  <c r="B1703" i="2"/>
  <c r="B1695" i="2"/>
  <c r="B1683" i="2"/>
  <c r="B1684" i="2"/>
  <c r="G1696" i="2"/>
  <c r="G1697" i="2"/>
  <c r="G1698" i="2"/>
  <c r="G1699" i="2"/>
  <c r="G1700" i="2"/>
  <c r="G1701" i="2"/>
  <c r="G1691" i="2"/>
  <c r="G1692" i="2"/>
  <c r="G1702" i="2"/>
  <c r="G1693" i="2"/>
  <c r="G1690" i="2"/>
  <c r="G1694" i="2"/>
  <c r="G1707" i="2"/>
  <c r="G1708" i="2"/>
  <c r="G1703" i="2"/>
  <c r="G1695" i="2"/>
  <c r="G1683" i="2"/>
  <c r="G1684" i="2"/>
  <c r="I1696" i="2"/>
  <c r="I1697" i="2"/>
  <c r="I1698" i="2"/>
  <c r="I1699" i="2"/>
  <c r="I1700" i="2"/>
  <c r="I1701" i="2"/>
  <c r="I1691" i="2"/>
  <c r="I1692" i="2"/>
  <c r="I1702" i="2"/>
  <c r="I1693" i="2"/>
  <c r="I1690" i="2"/>
  <c r="I1694" i="2"/>
  <c r="I1707" i="2"/>
  <c r="I1708" i="2"/>
  <c r="I1703" i="2"/>
  <c r="I1695" i="2"/>
  <c r="I1683" i="2"/>
  <c r="I1684" i="2"/>
  <c r="F1677" i="2"/>
  <c r="F1686" i="2"/>
  <c r="H1677" i="2"/>
  <c r="H1680" i="2"/>
  <c r="H1685" i="2"/>
  <c r="H1686" i="2"/>
  <c r="H1687" i="2"/>
  <c r="H1688" i="2"/>
  <c r="D1676" i="2" a="1"/>
  <c r="D1676" i="2"/>
  <c r="D1678" i="2" a="1"/>
  <c r="D1678" i="2"/>
  <c r="D1679" i="2" a="1"/>
  <c r="D1679" i="2"/>
  <c r="D1681" i="2" a="1"/>
  <c r="D1681" i="2"/>
  <c r="D1682" i="2" a="1"/>
  <c r="D1682" i="2"/>
  <c r="D1689" i="2" a="1"/>
  <c r="D1689" i="2"/>
  <c r="B1686" i="2"/>
  <c r="B1687" i="2"/>
  <c r="B1688" i="2"/>
  <c r="B1689" i="2"/>
  <c r="B1678" i="2"/>
  <c r="B1679" i="2"/>
  <c r="B1680" i="2"/>
  <c r="B1676" i="2"/>
  <c r="B1677" i="2"/>
  <c r="B1681" i="2"/>
  <c r="B1682" i="2"/>
  <c r="G1686" i="2"/>
  <c r="G1687" i="2"/>
  <c r="G1688" i="2"/>
  <c r="G1680" i="2"/>
  <c r="G1677" i="2"/>
  <c r="I1686" i="2"/>
  <c r="I1687" i="2"/>
  <c r="I1688" i="2"/>
  <c r="I1680" i="2"/>
  <c r="I1677" i="2"/>
  <c r="B1685" i="2"/>
  <c r="G1685" i="2"/>
  <c r="I1685" i="2"/>
  <c r="F1530" i="2"/>
  <c r="F1534" i="2"/>
  <c r="F1537" i="2"/>
  <c r="F1543" i="2"/>
  <c r="F1549" i="2"/>
  <c r="F1550" i="2"/>
  <c r="F1551" i="2"/>
  <c r="F1557" i="2"/>
  <c r="F1558" i="2"/>
  <c r="F1559" i="2"/>
  <c r="F1565" i="2"/>
  <c r="F1568" i="2"/>
  <c r="F1576" i="2"/>
  <c r="F1584" i="2"/>
  <c r="F1586" i="2"/>
  <c r="F1588" i="2"/>
  <c r="F1590" i="2"/>
  <c r="F1591" i="2"/>
  <c r="F1597" i="2"/>
  <c r="F1599" i="2"/>
  <c r="F1602" i="2"/>
  <c r="F1606" i="2"/>
  <c r="F1609" i="2"/>
  <c r="F1612" i="2"/>
  <c r="F1615" i="2"/>
  <c r="F1624" i="2"/>
  <c r="F1626" i="2"/>
  <c r="F1628" i="2"/>
  <c r="F1643" i="2"/>
  <c r="F1646" i="2"/>
  <c r="F1656" i="2"/>
  <c r="F1664" i="2"/>
  <c r="F1666" i="2"/>
  <c r="D1670" i="2" a="1"/>
  <c r="D1670" i="2"/>
  <c r="H1666" i="2"/>
  <c r="D1671" i="2" a="1"/>
  <c r="D1671" i="2"/>
  <c r="D1672" i="2" a="1"/>
  <c r="D1672" i="2"/>
  <c r="D1673" i="2" a="1"/>
  <c r="D1673" i="2"/>
  <c r="D1674" i="2" a="1"/>
  <c r="D1674" i="2"/>
  <c r="D1675" i="2" a="1"/>
  <c r="D1675" i="2"/>
  <c r="H1667" i="2"/>
  <c r="D1668" i="2" a="1"/>
  <c r="D1668" i="2"/>
  <c r="H1669" i="2"/>
  <c r="D1662" i="2" a="1"/>
  <c r="D1662" i="2"/>
  <c r="D1663" i="2" a="1"/>
  <c r="D1663" i="2"/>
  <c r="H1664" i="2"/>
  <c r="D1665" i="2" a="1"/>
  <c r="D1665" i="2"/>
  <c r="D1655" i="2" a="1"/>
  <c r="D1655" i="2"/>
  <c r="D1658" i="2" a="1"/>
  <c r="D1658" i="2"/>
  <c r="D1659" i="2" a="1"/>
  <c r="D1659" i="2"/>
  <c r="H1660" i="2"/>
  <c r="H1661" i="2"/>
  <c r="H1656" i="2"/>
  <c r="D1650" i="2" a="1"/>
  <c r="D1650" i="2"/>
  <c r="D1651" i="2" a="1"/>
  <c r="D1651" i="2"/>
  <c r="D1657" i="2" a="1"/>
  <c r="D1657" i="2"/>
  <c r="D1652" i="2" a="1"/>
  <c r="D1652" i="2"/>
  <c r="D1653" i="2" a="1"/>
  <c r="D1653" i="2"/>
  <c r="D1654" i="2" a="1"/>
  <c r="D1654" i="2"/>
  <c r="D1640" i="2" a="1"/>
  <c r="D1640" i="2"/>
  <c r="D1641" i="2" a="1"/>
  <c r="D1641" i="2"/>
  <c r="D1637" i="2" a="1"/>
  <c r="D1637" i="2"/>
  <c r="D1635" i="2" a="1"/>
  <c r="D1635" i="2"/>
  <c r="D1632" i="2" a="1"/>
  <c r="D1632" i="2"/>
  <c r="H1642" i="2"/>
  <c r="H1643" i="2"/>
  <c r="D1644" i="2" a="1"/>
  <c r="D1644" i="2"/>
  <c r="D1645" i="2" a="1"/>
  <c r="D1645" i="2"/>
  <c r="H1646" i="2"/>
  <c r="D1647" i="2" a="1"/>
  <c r="D1647" i="2"/>
  <c r="D1648" i="2" a="1"/>
  <c r="D1648" i="2"/>
  <c r="D1649" i="2" a="1"/>
  <c r="D1649" i="2"/>
  <c r="H1638" i="2"/>
  <c r="H1639" i="2"/>
  <c r="D1636" i="2" a="1"/>
  <c r="D1636" i="2"/>
  <c r="D1633" i="2" a="1"/>
  <c r="D1633" i="2"/>
  <c r="D1634" i="2" a="1"/>
  <c r="D1634" i="2"/>
  <c r="B1666" i="2"/>
  <c r="B1671" i="2"/>
  <c r="B1672" i="2"/>
  <c r="B1673" i="2"/>
  <c r="B1674" i="2"/>
  <c r="B1675" i="2"/>
  <c r="B1667" i="2"/>
  <c r="B1668" i="2"/>
  <c r="B1669" i="2"/>
  <c r="B1662" i="2"/>
  <c r="B1663" i="2"/>
  <c r="B1664" i="2"/>
  <c r="B1665" i="2"/>
  <c r="B1655" i="2"/>
  <c r="B1658" i="2"/>
  <c r="B1659" i="2"/>
  <c r="B1660" i="2"/>
  <c r="B1661" i="2"/>
  <c r="B1656" i="2"/>
  <c r="B1650" i="2"/>
  <c r="B1651" i="2"/>
  <c r="B1657" i="2"/>
  <c r="B1652" i="2"/>
  <c r="B1653" i="2"/>
  <c r="B1654" i="2"/>
  <c r="B1640" i="2"/>
  <c r="B1641" i="2"/>
  <c r="B1637" i="2"/>
  <c r="B1635" i="2"/>
  <c r="B1632" i="2"/>
  <c r="B1642" i="2"/>
  <c r="B1643" i="2"/>
  <c r="B1644" i="2"/>
  <c r="B1645" i="2"/>
  <c r="B1646" i="2"/>
  <c r="B1647" i="2"/>
  <c r="B1648" i="2"/>
  <c r="B1649" i="2"/>
  <c r="B1638" i="2"/>
  <c r="B1639" i="2"/>
  <c r="B1636" i="2"/>
  <c r="B1633" i="2"/>
  <c r="B1634" i="2"/>
  <c r="G1666" i="2"/>
  <c r="G1667" i="2"/>
  <c r="G1669" i="2"/>
  <c r="G1664" i="2"/>
  <c r="G1660" i="2"/>
  <c r="G1661" i="2"/>
  <c r="G1656" i="2"/>
  <c r="G1642" i="2"/>
  <c r="G1643" i="2"/>
  <c r="G1646" i="2"/>
  <c r="G1638" i="2"/>
  <c r="G1639" i="2"/>
  <c r="I1666" i="2"/>
  <c r="I1667" i="2"/>
  <c r="I1669" i="2"/>
  <c r="I1664" i="2"/>
  <c r="I1660" i="2"/>
  <c r="I1661" i="2"/>
  <c r="I1656" i="2"/>
  <c r="I1642" i="2"/>
  <c r="I1643" i="2"/>
  <c r="I1646" i="2"/>
  <c r="I1638" i="2"/>
  <c r="I1639" i="2"/>
  <c r="B1670" i="2"/>
  <c r="B1551" i="2"/>
  <c r="G1551" i="2"/>
  <c r="I1551" i="2"/>
  <c r="B1550" i="2"/>
  <c r="G1550" i="2"/>
  <c r="I1550" i="2"/>
  <c r="B1549" i="2"/>
  <c r="G1549" i="2"/>
  <c r="I1549" i="2"/>
  <c r="B1548" i="2"/>
  <c r="G1548" i="2"/>
  <c r="H1548" i="2"/>
  <c r="I1548" i="2"/>
  <c r="H1628" i="2"/>
  <c r="D1629" i="2" a="1"/>
  <c r="D1629" i="2"/>
  <c r="D1630" i="2" a="1"/>
  <c r="D1630" i="2"/>
  <c r="D1631" i="2" a="1"/>
  <c r="D1631" i="2"/>
  <c r="H1624" i="2"/>
  <c r="D1625" i="2" a="1"/>
  <c r="D1625" i="2"/>
  <c r="H1626" i="2"/>
  <c r="D1627" i="2" a="1"/>
  <c r="D1627" i="2"/>
  <c r="D1611" i="2" a="1"/>
  <c r="D1611" i="2"/>
  <c r="D1616" i="2" a="1"/>
  <c r="D1616" i="2"/>
  <c r="D1617" i="2" a="1"/>
  <c r="D1617" i="2"/>
  <c r="D1618" i="2" a="1"/>
  <c r="D1618" i="2"/>
  <c r="D1619" i="2" a="1"/>
  <c r="D1619" i="2"/>
  <c r="D1620" i="2" a="1"/>
  <c r="D1620" i="2"/>
  <c r="D1621" i="2" a="1"/>
  <c r="D1621" i="2"/>
  <c r="D1622" i="2" a="1"/>
  <c r="D1622" i="2"/>
  <c r="D1623" i="2" a="1"/>
  <c r="D1623" i="2"/>
  <c r="H1612" i="2"/>
  <c r="H1606" i="2"/>
  <c r="D1613" i="2" a="1"/>
  <c r="D1613" i="2"/>
  <c r="D1614" i="2" a="1"/>
  <c r="D1614" i="2"/>
  <c r="H1615" i="2"/>
  <c r="H1607" i="2"/>
  <c r="H1602" i="2"/>
  <c r="D1603" i="2" a="1"/>
  <c r="D1603" i="2"/>
  <c r="D1604" i="2" a="1"/>
  <c r="D1604" i="2"/>
  <c r="D1605" i="2" a="1"/>
  <c r="D1605" i="2"/>
  <c r="H1608" i="2"/>
  <c r="H1609" i="2"/>
  <c r="D1610" i="2" a="1"/>
  <c r="D1610" i="2"/>
  <c r="D1596" i="2" a="1"/>
  <c r="D1596" i="2"/>
  <c r="H1597" i="2"/>
  <c r="H1598" i="2"/>
  <c r="H1599" i="2"/>
  <c r="D1600" i="2" a="1"/>
  <c r="D1600" i="2"/>
  <c r="D1601" i="2" a="1"/>
  <c r="D1601" i="2"/>
  <c r="D1587" i="2" a="1"/>
  <c r="D1587" i="2"/>
  <c r="D1581" i="2" a="1"/>
  <c r="D1581" i="2"/>
  <c r="H1582" i="2"/>
  <c r="D1583" i="2" a="1"/>
  <c r="D1583" i="2"/>
  <c r="H1588" i="2"/>
  <c r="H1589" i="2"/>
  <c r="H1590" i="2"/>
  <c r="H1591" i="2"/>
  <c r="D1592" i="2" a="1"/>
  <c r="D1592" i="2"/>
  <c r="D1593" i="2" a="1"/>
  <c r="D1593" i="2"/>
  <c r="D1594" i="2" a="1"/>
  <c r="D1594" i="2"/>
  <c r="D1595" i="2" a="1"/>
  <c r="D1595" i="2"/>
  <c r="D1577" i="2" a="1"/>
  <c r="D1577" i="2"/>
  <c r="H1584" i="2"/>
  <c r="D1585" i="2" a="1"/>
  <c r="D1585" i="2"/>
  <c r="H1586" i="2"/>
  <c r="D1561" i="2" a="1"/>
  <c r="D1561" i="2"/>
  <c r="D1562" i="2" a="1"/>
  <c r="D1562" i="2"/>
  <c r="D1563" i="2" a="1"/>
  <c r="D1563" i="2"/>
  <c r="D1564" i="2" a="1"/>
  <c r="D1564" i="2"/>
  <c r="H1565" i="2"/>
  <c r="H1578" i="2"/>
  <c r="D1579" i="2" a="1"/>
  <c r="D1579" i="2"/>
  <c r="H1580" i="2"/>
  <c r="H1566" i="2"/>
  <c r="D1567" i="2" a="1"/>
  <c r="D1567" i="2"/>
  <c r="H1568" i="2"/>
  <c r="D1569" i="2" a="1"/>
  <c r="D1569" i="2"/>
  <c r="D1552" i="2" a="1"/>
  <c r="D1552" i="2"/>
  <c r="D1560" i="2" a="1"/>
  <c r="D1560" i="2"/>
  <c r="D1553" i="2" a="1"/>
  <c r="D1553" i="2"/>
  <c r="D1554" i="2" a="1"/>
  <c r="D1554" i="2"/>
  <c r="H1570" i="2"/>
  <c r="H1571" i="2"/>
  <c r="D1572" i="2" a="1"/>
  <c r="D1572" i="2"/>
  <c r="D1573" i="2" a="1"/>
  <c r="D1573" i="2"/>
  <c r="D1574" i="2" a="1"/>
  <c r="D1574" i="2"/>
  <c r="D1575" i="2" a="1"/>
  <c r="D1575" i="2"/>
  <c r="H1576" i="2"/>
  <c r="D1555" i="2" a="1"/>
  <c r="D1555" i="2"/>
  <c r="H1556" i="2"/>
  <c r="H1557" i="2"/>
  <c r="D1540" i="2" a="1"/>
  <c r="D1540" i="2"/>
  <c r="D1541" i="2" a="1"/>
  <c r="D1541" i="2"/>
  <c r="H1558" i="2"/>
  <c r="H1559" i="2"/>
  <c r="D1542" i="2" a="1"/>
  <c r="D1542" i="2"/>
  <c r="H1543" i="2"/>
  <c r="D1538" i="2" a="1"/>
  <c r="D1538" i="2"/>
  <c r="D1544" i="2" a="1"/>
  <c r="D1544" i="2"/>
  <c r="D1539" i="2" a="1"/>
  <c r="D1539" i="2"/>
  <c r="D1545" i="2" a="1"/>
  <c r="D1545" i="2"/>
  <c r="D1546" i="2" a="1"/>
  <c r="D1546" i="2"/>
  <c r="H1547" i="2"/>
  <c r="B1629" i="2"/>
  <c r="B1630" i="2"/>
  <c r="B1631" i="2"/>
  <c r="B1624" i="2"/>
  <c r="B1625" i="2"/>
  <c r="B1626" i="2"/>
  <c r="B1627" i="2"/>
  <c r="B1611" i="2"/>
  <c r="B1616" i="2"/>
  <c r="B1617" i="2"/>
  <c r="B1618" i="2"/>
  <c r="B1619" i="2"/>
  <c r="B1620" i="2"/>
  <c r="B1621" i="2"/>
  <c r="B1622" i="2"/>
  <c r="B1623" i="2"/>
  <c r="B1612" i="2"/>
  <c r="B1606" i="2"/>
  <c r="B1613" i="2"/>
  <c r="B1614" i="2"/>
  <c r="B1615" i="2"/>
  <c r="B1607" i="2"/>
  <c r="B1602" i="2"/>
  <c r="B1603" i="2"/>
  <c r="B1604" i="2"/>
  <c r="B1605" i="2"/>
  <c r="B1608" i="2"/>
  <c r="B1609" i="2"/>
  <c r="B1610" i="2"/>
  <c r="B1596" i="2"/>
  <c r="B1597" i="2"/>
  <c r="B1598" i="2"/>
  <c r="B1599" i="2"/>
  <c r="B1600" i="2"/>
  <c r="B1601" i="2"/>
  <c r="B1587" i="2"/>
  <c r="B1581" i="2"/>
  <c r="B1582" i="2"/>
  <c r="B1583" i="2"/>
  <c r="B1588" i="2"/>
  <c r="B1589" i="2"/>
  <c r="B1590" i="2"/>
  <c r="B1591" i="2"/>
  <c r="B1592" i="2"/>
  <c r="B1593" i="2"/>
  <c r="B1594" i="2"/>
  <c r="B1595" i="2"/>
  <c r="B1577" i="2"/>
  <c r="B1584" i="2"/>
  <c r="B1585" i="2"/>
  <c r="B1586" i="2"/>
  <c r="B1561" i="2"/>
  <c r="B1562" i="2"/>
  <c r="B1563" i="2"/>
  <c r="B1564" i="2"/>
  <c r="B1565" i="2"/>
  <c r="B1578" i="2"/>
  <c r="B1579" i="2"/>
  <c r="B1580" i="2"/>
  <c r="B1566" i="2"/>
  <c r="B1567" i="2"/>
  <c r="B1568" i="2"/>
  <c r="B1569" i="2"/>
  <c r="B1552" i="2"/>
  <c r="B1560" i="2"/>
  <c r="B1553" i="2"/>
  <c r="B1554" i="2"/>
  <c r="B1570" i="2"/>
  <c r="B1571" i="2"/>
  <c r="B1572" i="2"/>
  <c r="B1573" i="2"/>
  <c r="B1574" i="2"/>
  <c r="B1575" i="2"/>
  <c r="B1576" i="2"/>
  <c r="B1555" i="2"/>
  <c r="B1556" i="2"/>
  <c r="B1557" i="2"/>
  <c r="B1540" i="2"/>
  <c r="B1541" i="2"/>
  <c r="B1558" i="2"/>
  <c r="B1559" i="2"/>
  <c r="B1542" i="2"/>
  <c r="B1543" i="2"/>
  <c r="B1538" i="2"/>
  <c r="B1544" i="2"/>
  <c r="B1539" i="2"/>
  <c r="B1545" i="2"/>
  <c r="B1546" i="2"/>
  <c r="B1547" i="2"/>
  <c r="G1624" i="2"/>
  <c r="G1626" i="2"/>
  <c r="G1612" i="2"/>
  <c r="G1606" i="2"/>
  <c r="G1615" i="2"/>
  <c r="G1607" i="2"/>
  <c r="G1602" i="2"/>
  <c r="G1608" i="2"/>
  <c r="G1609" i="2"/>
  <c r="G1597" i="2"/>
  <c r="G1598" i="2"/>
  <c r="G1599" i="2"/>
  <c r="G1582" i="2"/>
  <c r="G1588" i="2"/>
  <c r="G1589" i="2"/>
  <c r="G1590" i="2"/>
  <c r="G1591" i="2"/>
  <c r="G1584" i="2"/>
  <c r="G1586" i="2"/>
  <c r="G1565" i="2"/>
  <c r="G1578" i="2"/>
  <c r="G1580" i="2"/>
  <c r="G1566" i="2"/>
  <c r="G1568" i="2"/>
  <c r="G1570" i="2"/>
  <c r="G1571" i="2"/>
  <c r="G1576" i="2"/>
  <c r="G1556" i="2"/>
  <c r="G1557" i="2"/>
  <c r="G1558" i="2"/>
  <c r="G1559" i="2"/>
  <c r="G1543" i="2"/>
  <c r="G1547" i="2"/>
  <c r="I1624" i="2"/>
  <c r="I1626" i="2"/>
  <c r="I1612" i="2"/>
  <c r="I1606" i="2"/>
  <c r="I1615" i="2"/>
  <c r="I1607" i="2"/>
  <c r="I1602" i="2"/>
  <c r="I1608" i="2"/>
  <c r="I1609" i="2"/>
  <c r="I1597" i="2"/>
  <c r="I1598" i="2"/>
  <c r="I1599" i="2"/>
  <c r="I1582" i="2"/>
  <c r="I1588" i="2"/>
  <c r="I1589" i="2"/>
  <c r="I1590" i="2"/>
  <c r="I1591" i="2"/>
  <c r="I1584" i="2"/>
  <c r="I1586" i="2"/>
  <c r="I1565" i="2"/>
  <c r="I1578" i="2"/>
  <c r="I1580" i="2"/>
  <c r="I1566" i="2"/>
  <c r="I1568" i="2"/>
  <c r="I1570" i="2"/>
  <c r="I1571" i="2"/>
  <c r="I1576" i="2"/>
  <c r="I1556" i="2"/>
  <c r="I1557" i="2"/>
  <c r="I1558" i="2"/>
  <c r="I1559" i="2"/>
  <c r="I1543" i="2"/>
  <c r="I1547" i="2"/>
  <c r="B1628" i="2"/>
  <c r="G1628" i="2"/>
  <c r="I1628" i="2"/>
  <c r="C5" i="10"/>
  <c r="D1493" i="2" a="1"/>
  <c r="D1493" i="2" s="1"/>
  <c r="H1493" i="2" s="1"/>
  <c r="H1509" i="2"/>
  <c r="D1508" i="2" a="1"/>
  <c r="D1508" i="2" s="1"/>
  <c r="H1508" i="2" s="1"/>
  <c r="D1507" i="2" a="1"/>
  <c r="D1507" i="2" s="1"/>
  <c r="H1507" i="2" s="1"/>
  <c r="D1506" i="2" a="1"/>
  <c r="D1506" i="2" s="1"/>
  <c r="H1506" i="2" s="1"/>
  <c r="D1505" i="2" a="1"/>
  <c r="D1505" i="2" s="1"/>
  <c r="H1505" i="2" s="1"/>
  <c r="H1492" i="2"/>
  <c r="H1537" i="2"/>
  <c r="D1536" i="2" a="1"/>
  <c r="D1536" i="2" s="1"/>
  <c r="F1536" i="2" s="1"/>
  <c r="B1537" i="2"/>
  <c r="B1492" i="2"/>
  <c r="B1505" i="2"/>
  <c r="B1506" i="2"/>
  <c r="B1507" i="2"/>
  <c r="B1508" i="2"/>
  <c r="B1509" i="2"/>
  <c r="B1493" i="2"/>
  <c r="G1537" i="2"/>
  <c r="G1492" i="2"/>
  <c r="G1505" i="2"/>
  <c r="G1506" i="2"/>
  <c r="G1507" i="2"/>
  <c r="G1508" i="2"/>
  <c r="G1509" i="2"/>
  <c r="G1493" i="2"/>
  <c r="I1537" i="2"/>
  <c r="I1492" i="2"/>
  <c r="I1505" i="2"/>
  <c r="I1506" i="2"/>
  <c r="I1507" i="2"/>
  <c r="I1508" i="2"/>
  <c r="I1509" i="2"/>
  <c r="I1493" i="2"/>
  <c r="BL18" i="8"/>
  <c r="D1535" i="2" a="1"/>
  <c r="D1535" i="2" s="1"/>
  <c r="B1535" i="2"/>
  <c r="B1536" i="2"/>
  <c r="G1536" i="2"/>
  <c r="I1536" i="2"/>
  <c r="D1526" i="2" a="1"/>
  <c r="D1526" i="2" s="1"/>
  <c r="F1526" i="2" s="1"/>
  <c r="B1525" i="2"/>
  <c r="B1526" i="2"/>
  <c r="D1515" i="2" a="1"/>
  <c r="D1515" i="2" s="1"/>
  <c r="B1531" i="2"/>
  <c r="B1532" i="2"/>
  <c r="B1533" i="2"/>
  <c r="B1534" i="2"/>
  <c r="B1522" i="2"/>
  <c r="B1523" i="2"/>
  <c r="B1524" i="2"/>
  <c r="B1515" i="2"/>
  <c r="B1414" i="2"/>
  <c r="G1414" i="2"/>
  <c r="H1414" i="2"/>
  <c r="I1414" i="2"/>
  <c r="G20" i="8"/>
  <c r="AM20" i="8"/>
  <c r="L78" i="4"/>
  <c r="AH20" i="8"/>
  <c r="E20" i="8"/>
  <c r="AK20" i="8"/>
  <c r="J78" i="4"/>
  <c r="X20" i="8"/>
  <c r="BD20" i="8"/>
  <c r="AP20" i="8"/>
  <c r="T20" i="8"/>
  <c r="K20" i="8"/>
  <c r="AQ20" i="8"/>
  <c r="F78" i="4"/>
  <c r="AL20" i="8"/>
  <c r="I20" i="8"/>
  <c r="AO20" i="8"/>
  <c r="D78" i="4"/>
  <c r="AB20" i="8"/>
  <c r="BH20" i="8"/>
  <c r="BJ20" i="8"/>
  <c r="AS20" i="8"/>
  <c r="AF20" i="8"/>
  <c r="BL20" i="8"/>
  <c r="AZ20" i="8"/>
  <c r="O20" i="8"/>
  <c r="AU20" i="8"/>
  <c r="M78" i="4"/>
  <c r="AT20" i="8"/>
  <c r="M20" i="8"/>
  <c r="E78" i="4"/>
  <c r="I78" i="4"/>
  <c r="Z20" i="8"/>
  <c r="S20" i="8"/>
  <c r="AY20" i="8"/>
  <c r="F20" i="8"/>
  <c r="AX20" i="8"/>
  <c r="Q20" i="8"/>
  <c r="AW20" i="8"/>
  <c r="D20" i="8"/>
  <c r="AJ20" i="8"/>
  <c r="C78" i="4"/>
  <c r="G78" i="4"/>
  <c r="U20" i="8"/>
  <c r="K78" i="4"/>
  <c r="W20" i="8"/>
  <c r="BC20" i="8"/>
  <c r="N20" i="8"/>
  <c r="BB20" i="8"/>
  <c r="BA20" i="8"/>
  <c r="H20" i="8"/>
  <c r="AN20" i="8"/>
  <c r="AG20" i="8"/>
  <c r="AA20" i="8"/>
  <c r="BG20" i="8"/>
  <c r="R20" i="8"/>
  <c r="BF20" i="8"/>
  <c r="Y20" i="8"/>
  <c r="BE20" i="8"/>
  <c r="L20" i="8"/>
  <c r="AR20" i="8"/>
  <c r="H78" i="4"/>
  <c r="C20" i="8"/>
  <c r="BM20" i="8"/>
  <c r="AE20" i="8"/>
  <c r="BK20" i="8"/>
  <c r="V20" i="8"/>
  <c r="BN20" i="8"/>
  <c r="AC20" i="8"/>
  <c r="BI20" i="8"/>
  <c r="P20" i="8"/>
  <c r="AV20" i="8"/>
  <c r="J20" i="8"/>
  <c r="AI20" i="8"/>
  <c r="AD20" i="8"/>
  <c r="N78" i="4"/>
  <c r="H2084" i="2" l="1"/>
  <c r="F2084" i="2"/>
  <c r="H2089" i="2"/>
  <c r="F2089" i="2"/>
  <c r="H2090" i="2"/>
  <c r="F2090" i="2"/>
  <c r="H2091" i="2"/>
  <c r="H2092" i="2"/>
  <c r="F2092" i="2"/>
  <c r="H2093" i="2"/>
  <c r="F2093" i="2"/>
  <c r="H2094" i="2"/>
  <c r="F2094" i="2"/>
  <c r="H2095" i="2"/>
  <c r="H2096" i="2"/>
  <c r="F2096" i="2"/>
  <c r="H2098" i="2"/>
  <c r="F2098" i="2"/>
  <c r="H2099" i="2"/>
  <c r="F2099" i="2"/>
  <c r="H2100" i="2"/>
  <c r="F2100" i="2"/>
  <c r="H2102" i="2"/>
  <c r="F2102" i="2"/>
  <c r="H2103" i="2"/>
  <c r="F2103" i="2"/>
  <c r="H2104" i="2"/>
  <c r="F2104" i="2"/>
  <c r="H2105" i="2"/>
  <c r="F2105" i="2"/>
  <c r="H2106" i="2"/>
  <c r="F2106" i="2"/>
  <c r="H2107" i="2"/>
  <c r="F2107" i="2"/>
  <c r="H2108" i="2"/>
  <c r="F2108" i="2"/>
  <c r="H2109" i="2"/>
  <c r="F2109" i="2"/>
  <c r="H2110" i="2"/>
  <c r="F2110" i="2"/>
  <c r="H2111" i="2"/>
  <c r="H2112" i="2"/>
  <c r="F2112" i="2"/>
  <c r="H2115" i="2"/>
  <c r="F2115" i="2"/>
  <c r="H2116" i="2"/>
  <c r="F2116" i="2"/>
  <c r="H2117" i="2"/>
  <c r="F2117" i="2"/>
  <c r="H2118" i="2"/>
  <c r="F2118" i="2"/>
  <c r="H2119" i="2"/>
  <c r="F2119" i="2"/>
  <c r="H2120" i="2"/>
  <c r="F2120" i="2"/>
  <c r="H2121" i="2"/>
  <c r="F2121" i="2"/>
  <c r="H2123" i="2"/>
  <c r="F2123" i="2"/>
  <c r="H2127" i="2"/>
  <c r="F2127" i="2"/>
  <c r="H2128" i="2"/>
  <c r="F2128" i="2"/>
  <c r="H2129" i="2"/>
  <c r="F2129" i="2"/>
  <c r="H2131" i="2"/>
  <c r="F2131" i="2"/>
  <c r="H2134" i="2"/>
  <c r="F2134" i="2"/>
  <c r="H2135" i="2"/>
  <c r="F2135" i="2"/>
  <c r="H2136" i="2"/>
  <c r="F2136" i="2"/>
  <c r="H2137" i="2"/>
  <c r="F2137" i="2"/>
  <c r="H2138" i="2"/>
  <c r="F2138" i="2"/>
  <c r="H2140" i="2"/>
  <c r="F2140" i="2"/>
  <c r="H2143" i="2"/>
  <c r="F2143" i="2"/>
  <c r="H2144" i="2"/>
  <c r="F2144" i="2"/>
  <c r="H2146" i="2"/>
  <c r="F2146" i="2"/>
  <c r="H2147" i="2"/>
  <c r="F2147" i="2"/>
  <c r="H2148" i="2"/>
  <c r="F2148" i="2"/>
  <c r="H2149" i="2"/>
  <c r="F2149" i="2"/>
  <c r="H2150" i="2"/>
  <c r="F2150" i="2"/>
  <c r="H2151" i="2"/>
  <c r="F2151" i="2"/>
  <c r="H2152" i="2"/>
  <c r="F2152" i="2"/>
  <c r="H2153" i="2"/>
  <c r="F2153" i="2"/>
  <c r="H2155" i="2"/>
  <c r="F2155" i="2"/>
  <c r="H2158" i="2"/>
  <c r="F2158" i="2"/>
  <c r="H2159" i="2"/>
  <c r="F2159" i="2"/>
  <c r="H2160" i="2"/>
  <c r="H2162" i="2"/>
  <c r="F2162" i="2"/>
  <c r="H2165" i="2"/>
  <c r="F2165" i="2"/>
  <c r="H2168" i="2"/>
  <c r="F2168" i="2"/>
  <c r="H2169" i="2"/>
  <c r="F2169" i="2"/>
  <c r="H2172" i="2"/>
  <c r="F2172" i="2"/>
  <c r="H2173" i="2"/>
  <c r="F2173" i="2"/>
  <c r="H2174" i="2"/>
  <c r="F2174" i="2"/>
  <c r="H2175" i="2"/>
  <c r="F2175" i="2"/>
  <c r="H2176" i="2"/>
  <c r="F2176" i="2"/>
  <c r="H2177" i="2"/>
  <c r="H2179" i="2"/>
  <c r="F2179" i="2"/>
  <c r="H2180" i="2"/>
  <c r="F2180" i="2"/>
  <c r="H2181" i="2"/>
  <c r="F2181" i="2"/>
  <c r="H2182" i="2"/>
  <c r="F2182" i="2"/>
  <c r="H2183" i="2"/>
  <c r="F2183" i="2"/>
  <c r="H2188" i="2"/>
  <c r="F2188" i="2"/>
  <c r="H2190" i="2"/>
  <c r="F2190" i="2"/>
  <c r="H2193" i="2"/>
  <c r="F2193" i="2"/>
  <c r="H2197" i="2"/>
  <c r="F2197" i="2"/>
  <c r="H2198" i="2"/>
  <c r="F2198" i="2"/>
  <c r="H2199" i="2"/>
  <c r="F2199" i="2"/>
  <c r="H2200" i="2"/>
  <c r="F2200" i="2"/>
  <c r="H2201" i="2"/>
  <c r="F2201" i="2"/>
  <c r="H2202" i="2"/>
  <c r="F2202" i="2"/>
  <c r="H2205" i="2"/>
  <c r="F2205" i="2"/>
  <c r="H2206" i="2"/>
  <c r="F2206" i="2"/>
  <c r="H2207" i="2"/>
  <c r="F2207" i="2"/>
  <c r="H2208" i="2"/>
  <c r="F2208" i="2"/>
  <c r="H2209" i="2"/>
  <c r="H2210" i="2"/>
  <c r="F2210" i="2"/>
  <c r="H2211" i="2"/>
  <c r="F2211" i="2"/>
  <c r="H2212" i="2"/>
  <c r="F2212" i="2"/>
  <c r="H2213" i="2"/>
  <c r="F2213" i="2"/>
  <c r="H2214" i="2"/>
  <c r="F2214" i="2"/>
  <c r="H2215" i="2"/>
  <c r="F2215" i="2"/>
  <c r="H2216" i="2"/>
  <c r="F2216" i="2"/>
  <c r="H2218" i="2"/>
  <c r="F2218" i="2"/>
  <c r="H2219" i="2"/>
  <c r="F2219" i="2"/>
  <c r="H2220" i="2"/>
  <c r="F2220" i="2"/>
  <c r="H2222" i="2"/>
  <c r="F2222" i="2"/>
  <c r="H2223" i="2"/>
  <c r="F2223" i="2"/>
  <c r="H2224" i="2"/>
  <c r="F2224" i="2"/>
  <c r="H2225" i="2"/>
  <c r="F2225" i="2"/>
  <c r="H2226" i="2"/>
  <c r="F2226" i="2"/>
  <c r="H2227" i="2"/>
  <c r="F2227" i="2"/>
  <c r="H2228" i="2"/>
  <c r="F2228" i="2"/>
  <c r="H2230" i="2"/>
  <c r="H2231" i="2"/>
  <c r="F2231" i="2"/>
  <c r="H2232" i="2"/>
  <c r="F2232" i="2"/>
  <c r="H2233" i="2"/>
  <c r="F2233" i="2"/>
  <c r="H2234" i="2"/>
  <c r="F2234" i="2"/>
  <c r="H2237" i="2"/>
  <c r="H2242" i="2"/>
  <c r="F2242" i="2"/>
  <c r="H2243" i="2"/>
  <c r="H2244" i="2"/>
  <c r="F2244" i="2"/>
  <c r="H2246" i="2"/>
  <c r="F2246" i="2"/>
  <c r="H2247" i="2"/>
  <c r="F2247" i="2"/>
  <c r="H2248" i="2"/>
  <c r="F2248" i="2"/>
  <c r="H2249" i="2"/>
  <c r="F2249" i="2"/>
  <c r="H2251" i="2"/>
  <c r="H2253" i="2"/>
  <c r="F2253" i="2"/>
  <c r="H2254" i="2"/>
  <c r="F2254" i="2"/>
  <c r="H2256" i="2"/>
  <c r="F2256" i="2"/>
  <c r="H2257" i="2"/>
  <c r="F2257" i="2"/>
  <c r="H2054" i="2"/>
  <c r="F2054" i="2"/>
  <c r="H2053" i="2"/>
  <c r="F2053" i="2"/>
  <c r="H2043" i="2"/>
  <c r="F2043" i="2"/>
  <c r="H2042" i="2"/>
  <c r="F2042" i="2"/>
  <c r="H2041" i="2"/>
  <c r="F2041" i="2"/>
  <c r="H2040" i="2"/>
  <c r="F2040" i="2"/>
  <c r="H2039" i="2"/>
  <c r="F2039" i="2"/>
  <c r="H2052" i="2"/>
  <c r="F2052" i="2"/>
  <c r="H2051" i="2"/>
  <c r="F2051" i="2"/>
  <c r="H2050" i="2"/>
  <c r="H2049" i="2"/>
  <c r="F2049" i="2"/>
  <c r="H2048" i="2"/>
  <c r="F2048" i="2"/>
  <c r="H2047" i="2"/>
  <c r="F2047" i="2"/>
  <c r="H2046" i="2"/>
  <c r="H2045" i="2"/>
  <c r="F2045" i="2"/>
  <c r="H2044" i="2"/>
  <c r="F2044" i="2"/>
  <c r="H2061" i="2"/>
  <c r="H2060" i="2"/>
  <c r="H2059" i="2"/>
  <c r="F2059" i="2"/>
  <c r="H2065" i="2"/>
  <c r="F2065" i="2"/>
  <c r="H2058" i="2"/>
  <c r="F2058" i="2"/>
  <c r="H2057" i="2"/>
  <c r="F2057" i="2"/>
  <c r="H2056" i="2"/>
  <c r="F2056" i="2"/>
  <c r="H2055" i="2"/>
  <c r="F2055" i="2"/>
  <c r="H2078" i="2"/>
  <c r="F2078" i="2"/>
  <c r="H2077" i="2"/>
  <c r="F2077" i="2"/>
  <c r="H2076" i="2"/>
  <c r="F2076" i="2"/>
  <c r="H2075" i="2"/>
  <c r="F2075" i="2"/>
  <c r="H2074" i="2"/>
  <c r="F2074" i="2"/>
  <c r="H2064" i="2"/>
  <c r="F2064" i="2"/>
  <c r="H2073" i="2"/>
  <c r="H2063" i="2"/>
  <c r="F2063" i="2"/>
  <c r="H2062" i="2"/>
  <c r="F2062" i="2"/>
  <c r="H2072" i="2"/>
  <c r="F2072" i="2"/>
  <c r="H2071" i="2"/>
  <c r="H2088" i="2"/>
  <c r="H2087" i="2"/>
  <c r="F2087" i="2"/>
  <c r="H2086" i="2"/>
  <c r="H2085" i="2"/>
  <c r="F2085" i="2"/>
  <c r="H2070" i="2"/>
  <c r="H2083" i="2"/>
  <c r="H2069" i="2"/>
  <c r="H2082" i="2"/>
  <c r="H2081" i="2"/>
  <c r="H2068" i="2"/>
  <c r="F2068" i="2"/>
  <c r="H2067" i="2"/>
  <c r="F2067" i="2"/>
  <c r="H2066" i="2"/>
  <c r="H2080" i="2"/>
  <c r="H2079" i="2"/>
  <c r="F2079" i="2"/>
  <c r="H1872" i="2"/>
  <c r="F1872" i="2"/>
  <c r="H2025" i="2"/>
  <c r="F2025" i="2"/>
  <c r="H2030" i="2"/>
  <c r="F2030" i="2"/>
  <c r="H2031" i="2"/>
  <c r="F2031" i="2"/>
  <c r="H2032" i="2"/>
  <c r="F2032" i="2"/>
  <c r="H2033" i="2"/>
  <c r="F2033" i="2"/>
  <c r="H2034" i="2"/>
  <c r="F2034" i="2"/>
  <c r="H2035" i="2"/>
  <c r="F2035" i="2"/>
  <c r="H2036" i="2"/>
  <c r="F2036" i="2"/>
  <c r="H2026" i="2"/>
  <c r="H2006" i="2"/>
  <c r="F2006" i="2"/>
  <c r="H2007" i="2"/>
  <c r="F2007" i="2"/>
  <c r="H2021" i="2"/>
  <c r="H2022" i="2"/>
  <c r="F2022" i="2"/>
  <c r="H2023" i="2"/>
  <c r="F2023" i="2"/>
  <c r="H2024" i="2"/>
  <c r="F2024" i="2"/>
  <c r="H2009" i="2"/>
  <c r="F2009" i="2"/>
  <c r="H1995" i="2"/>
  <c r="F1995" i="2"/>
  <c r="H1996" i="2"/>
  <c r="F1996" i="2"/>
  <c r="H1998" i="2"/>
  <c r="F1998" i="2"/>
  <c r="H2011" i="2"/>
  <c r="F2011" i="2"/>
  <c r="H2012" i="2"/>
  <c r="F2012" i="2"/>
  <c r="H2014" i="2"/>
  <c r="H1999" i="2"/>
  <c r="F1999" i="2"/>
  <c r="H1993" i="2"/>
  <c r="F1993" i="2"/>
  <c r="H2002" i="2"/>
  <c r="F2002" i="2"/>
  <c r="H2003" i="2"/>
  <c r="F2003" i="2"/>
  <c r="H2004" i="2"/>
  <c r="F2004" i="2"/>
  <c r="H2005" i="2"/>
  <c r="F2005" i="2"/>
  <c r="H1994" i="2"/>
  <c r="F1994" i="2"/>
  <c r="H1984" i="2"/>
  <c r="F1984" i="2"/>
  <c r="H1985" i="2"/>
  <c r="F1985" i="2"/>
  <c r="H1986" i="2"/>
  <c r="F1986" i="2"/>
  <c r="H1987" i="2"/>
  <c r="H1990" i="2"/>
  <c r="F1990" i="2"/>
  <c r="H1973" i="2"/>
  <c r="F1973" i="2"/>
  <c r="H1974" i="2"/>
  <c r="F1974" i="2"/>
  <c r="H1975" i="2"/>
  <c r="F1975" i="2"/>
  <c r="H1981" i="2"/>
  <c r="F1981" i="2"/>
  <c r="H1957" i="2"/>
  <c r="F1957" i="2"/>
  <c r="H1967" i="2"/>
  <c r="F1967" i="2"/>
  <c r="H1976" i="2"/>
  <c r="F1976" i="2"/>
  <c r="H1977" i="2"/>
  <c r="F1977" i="2"/>
  <c r="H1958" i="2"/>
  <c r="F1958" i="2"/>
  <c r="H1968" i="2"/>
  <c r="F1968" i="2"/>
  <c r="H1978" i="2"/>
  <c r="F1978" i="2"/>
  <c r="H1979" i="2"/>
  <c r="F1979" i="2"/>
  <c r="H1969" i="2"/>
  <c r="F1969" i="2"/>
  <c r="H1970" i="2"/>
  <c r="F1970" i="2"/>
  <c r="H1971" i="2"/>
  <c r="F1971" i="2"/>
  <c r="H1959" i="2"/>
  <c r="F1959" i="2"/>
  <c r="H1960" i="2"/>
  <c r="F1960" i="2"/>
  <c r="H1961" i="2"/>
  <c r="F1961" i="2"/>
  <c r="H1972" i="2"/>
  <c r="F1972" i="2"/>
  <c r="H1945" i="2"/>
  <c r="F1945" i="2"/>
  <c r="H1962" i="2"/>
  <c r="F1962" i="2"/>
  <c r="H1963" i="2"/>
  <c r="H1966" i="2"/>
  <c r="F1966" i="2"/>
  <c r="H1939" i="2"/>
  <c r="F1939" i="2"/>
  <c r="H1944" i="2"/>
  <c r="F1944" i="2"/>
  <c r="H1950" i="2"/>
  <c r="F1950" i="2"/>
  <c r="H1951" i="2"/>
  <c r="F1951" i="2"/>
  <c r="H1952" i="2"/>
  <c r="F1952" i="2"/>
  <c r="H1953" i="2"/>
  <c r="F1953" i="2"/>
  <c r="H1954" i="2"/>
  <c r="F1954" i="2"/>
  <c r="H1955" i="2"/>
  <c r="F1955" i="2"/>
  <c r="H1956" i="2"/>
  <c r="F1956" i="2"/>
  <c r="H1940" i="2"/>
  <c r="F1940" i="2"/>
  <c r="H1941" i="2"/>
  <c r="F1941" i="2"/>
  <c r="H1942" i="2"/>
  <c r="F1942" i="2"/>
  <c r="H1943" i="2"/>
  <c r="F1943" i="2"/>
  <c r="H1934" i="2"/>
  <c r="H1935" i="2"/>
  <c r="H1929" i="2"/>
  <c r="F1929" i="2"/>
  <c r="H1930" i="2"/>
  <c r="F1930" i="2"/>
  <c r="H1936" i="2"/>
  <c r="F1936" i="2"/>
  <c r="H1937" i="2"/>
  <c r="F1937" i="2"/>
  <c r="H1938" i="2"/>
  <c r="F1938" i="2"/>
  <c r="H1931" i="2"/>
  <c r="H1924" i="2"/>
  <c r="F1924" i="2"/>
  <c r="H1932" i="2"/>
  <c r="H1925" i="2"/>
  <c r="H1933" i="2"/>
  <c r="H1926" i="2"/>
  <c r="F1926" i="2"/>
  <c r="H1927" i="2"/>
  <c r="F1927" i="2"/>
  <c r="H1928" i="2"/>
  <c r="F1928" i="2"/>
  <c r="H1910" i="2"/>
  <c r="F1910" i="2"/>
  <c r="H1908" i="2"/>
  <c r="F1908" i="2"/>
  <c r="H1882" i="2"/>
  <c r="F1882" i="2"/>
  <c r="H1883" i="2"/>
  <c r="F1883" i="2"/>
  <c r="H1909" i="2"/>
  <c r="F1909" i="2"/>
  <c r="H1920" i="2"/>
  <c r="H1921" i="2"/>
  <c r="F1921" i="2"/>
  <c r="H1922" i="2"/>
  <c r="F1922" i="2"/>
  <c r="H1923" i="2"/>
  <c r="F1923" i="2"/>
  <c r="H1899" i="2"/>
  <c r="F1899" i="2"/>
  <c r="H1900" i="2"/>
  <c r="F1900" i="2"/>
  <c r="H1901" i="2"/>
  <c r="H1891" i="2"/>
  <c r="F1891" i="2"/>
  <c r="H1892" i="2"/>
  <c r="F1892" i="2"/>
  <c r="H1902" i="2"/>
  <c r="F1902" i="2"/>
  <c r="H1903" i="2"/>
  <c r="H1904" i="2"/>
  <c r="H1905" i="2"/>
  <c r="H1906" i="2"/>
  <c r="F1906" i="2"/>
  <c r="H1907" i="2"/>
  <c r="F1907" i="2"/>
  <c r="H1911" i="2"/>
  <c r="F1911" i="2"/>
  <c r="H1912" i="2"/>
  <c r="H1913" i="2"/>
  <c r="H1914" i="2"/>
  <c r="H1915" i="2"/>
  <c r="H1916" i="2"/>
  <c r="F1916" i="2"/>
  <c r="H1917" i="2"/>
  <c r="H1918" i="2"/>
  <c r="F1918" i="2"/>
  <c r="H1919" i="2"/>
  <c r="F1919" i="2"/>
  <c r="H1893" i="2"/>
  <c r="F1893" i="2"/>
  <c r="H1894" i="2"/>
  <c r="H1895" i="2"/>
  <c r="F1895" i="2"/>
  <c r="H1896" i="2"/>
  <c r="F1896" i="2"/>
  <c r="H1897" i="2"/>
  <c r="F1897" i="2"/>
  <c r="H1898" i="2"/>
  <c r="H1884" i="2"/>
  <c r="F1884" i="2"/>
  <c r="H1873" i="2"/>
  <c r="F1873" i="2"/>
  <c r="H1874" i="2"/>
  <c r="F1874" i="2"/>
  <c r="H1885" i="2"/>
  <c r="H1886" i="2"/>
  <c r="F1886" i="2"/>
  <c r="H1887" i="2"/>
  <c r="F1887" i="2"/>
  <c r="H1865" i="2"/>
  <c r="F1865" i="2"/>
  <c r="H1866" i="2"/>
  <c r="F1866" i="2"/>
  <c r="H1888" i="2"/>
  <c r="F1888" i="2"/>
  <c r="H1867" i="2"/>
  <c r="F1867" i="2"/>
  <c r="H1868" i="2"/>
  <c r="F1868" i="2"/>
  <c r="H1869" i="2"/>
  <c r="F1869" i="2"/>
  <c r="H1870" i="2"/>
  <c r="F1870" i="2"/>
  <c r="H1889" i="2"/>
  <c r="H1890" i="2"/>
  <c r="F1890" i="2"/>
  <c r="H1875" i="2"/>
  <c r="F1875" i="2"/>
  <c r="H1876" i="2"/>
  <c r="F1876" i="2"/>
  <c r="H1877" i="2"/>
  <c r="F1877" i="2"/>
  <c r="H1878" i="2"/>
  <c r="H1879" i="2"/>
  <c r="H1880" i="2"/>
  <c r="F1880" i="2"/>
  <c r="H1881" i="2"/>
  <c r="F1881" i="2"/>
  <c r="I1939" i="2"/>
  <c r="G1939" i="2"/>
  <c r="I1944" i="2"/>
  <c r="G1944" i="2"/>
  <c r="I1950" i="2"/>
  <c r="G1950" i="2"/>
  <c r="I1951" i="2"/>
  <c r="G1951" i="2"/>
  <c r="I1952" i="2"/>
  <c r="G1952" i="2"/>
  <c r="I1953" i="2"/>
  <c r="G1953" i="2"/>
  <c r="I1954" i="2"/>
  <c r="G1954" i="2"/>
  <c r="I1955" i="2"/>
  <c r="G1955" i="2"/>
  <c r="I1956" i="2"/>
  <c r="G1956" i="2"/>
  <c r="I1940" i="2"/>
  <c r="G1940" i="2"/>
  <c r="I1941" i="2"/>
  <c r="G1941" i="2"/>
  <c r="I1942" i="2"/>
  <c r="G1942" i="2"/>
  <c r="I1943" i="2"/>
  <c r="G1943" i="2"/>
  <c r="I1934" i="2"/>
  <c r="G1934" i="2"/>
  <c r="I1935" i="2"/>
  <c r="G1935" i="2"/>
  <c r="I1929" i="2"/>
  <c r="G1929" i="2"/>
  <c r="I1930" i="2"/>
  <c r="G1930" i="2"/>
  <c r="I1936" i="2"/>
  <c r="G1936" i="2"/>
  <c r="I1937" i="2"/>
  <c r="G1937" i="2"/>
  <c r="I1938" i="2"/>
  <c r="G1938" i="2"/>
  <c r="I1931" i="2"/>
  <c r="G1931" i="2"/>
  <c r="I1924" i="2"/>
  <c r="G1924" i="2"/>
  <c r="I1932" i="2"/>
  <c r="G1932" i="2"/>
  <c r="I1925" i="2"/>
  <c r="G1925" i="2"/>
  <c r="I1933" i="2"/>
  <c r="G1933" i="2"/>
  <c r="I1926" i="2"/>
  <c r="G1926" i="2"/>
  <c r="I1927" i="2"/>
  <c r="G1927" i="2"/>
  <c r="I1928" i="2"/>
  <c r="G1928" i="2"/>
  <c r="I1910" i="2"/>
  <c r="G1910" i="2"/>
  <c r="I1908" i="2"/>
  <c r="G1908" i="2"/>
  <c r="I1882" i="2"/>
  <c r="G1882" i="2"/>
  <c r="I1883" i="2"/>
  <c r="G1883" i="2"/>
  <c r="I1909" i="2"/>
  <c r="G1909" i="2"/>
  <c r="I1920" i="2"/>
  <c r="G1920" i="2"/>
  <c r="I1921" i="2"/>
  <c r="G1921" i="2"/>
  <c r="I1922" i="2"/>
  <c r="G1922" i="2"/>
  <c r="I1923" i="2"/>
  <c r="G1923" i="2"/>
  <c r="I1899" i="2"/>
  <c r="G1899" i="2"/>
  <c r="I1900" i="2"/>
  <c r="G1900" i="2"/>
  <c r="I1901" i="2"/>
  <c r="G1901" i="2"/>
  <c r="I1891" i="2"/>
  <c r="G1891" i="2"/>
  <c r="I1892" i="2"/>
  <c r="G1892" i="2"/>
  <c r="I1902" i="2"/>
  <c r="G1902" i="2"/>
  <c r="I1903" i="2"/>
  <c r="G1903" i="2"/>
  <c r="I1904" i="2"/>
  <c r="G1904" i="2"/>
  <c r="I1905" i="2"/>
  <c r="G1905" i="2"/>
  <c r="I1906" i="2"/>
  <c r="G1906" i="2"/>
  <c r="I1907" i="2"/>
  <c r="G1907" i="2"/>
  <c r="I1911" i="2"/>
  <c r="G1911" i="2"/>
  <c r="I1912" i="2"/>
  <c r="G1912" i="2"/>
  <c r="I1913" i="2"/>
  <c r="G1913" i="2"/>
  <c r="I1914" i="2"/>
  <c r="G1914" i="2"/>
  <c r="I1915" i="2"/>
  <c r="G1915" i="2"/>
  <c r="I1916" i="2"/>
  <c r="G1916" i="2"/>
  <c r="I1917" i="2"/>
  <c r="G1917" i="2"/>
  <c r="I1918" i="2"/>
  <c r="G1918" i="2"/>
  <c r="I1919" i="2"/>
  <c r="G1919" i="2"/>
  <c r="I1893" i="2"/>
  <c r="G1893" i="2"/>
  <c r="I1894" i="2"/>
  <c r="G1894" i="2"/>
  <c r="I1895" i="2"/>
  <c r="G1895" i="2"/>
  <c r="I1896" i="2"/>
  <c r="G1896" i="2"/>
  <c r="I1897" i="2"/>
  <c r="G1897" i="2"/>
  <c r="I1898" i="2"/>
  <c r="G1898" i="2"/>
  <c r="I1884" i="2"/>
  <c r="G1884" i="2"/>
  <c r="I1873" i="2"/>
  <c r="G1873" i="2"/>
  <c r="I1874" i="2"/>
  <c r="G1874" i="2"/>
  <c r="I1885" i="2"/>
  <c r="G1885" i="2"/>
  <c r="I1886" i="2"/>
  <c r="G1886" i="2"/>
  <c r="I1887" i="2"/>
  <c r="G1887" i="2"/>
  <c r="I1865" i="2"/>
  <c r="G1865" i="2"/>
  <c r="I1866" i="2"/>
  <c r="G1866" i="2"/>
  <c r="I1888" i="2"/>
  <c r="G1888" i="2"/>
  <c r="I1867" i="2"/>
  <c r="G1867" i="2"/>
  <c r="I1868" i="2"/>
  <c r="G1868" i="2"/>
  <c r="I1869" i="2"/>
  <c r="G1869" i="2"/>
  <c r="I1870" i="2"/>
  <c r="G1870" i="2"/>
  <c r="I1889" i="2"/>
  <c r="G1889" i="2"/>
  <c r="I1890" i="2"/>
  <c r="G1890" i="2"/>
  <c r="I1875" i="2"/>
  <c r="G1875" i="2"/>
  <c r="I1876" i="2"/>
  <c r="G1876" i="2"/>
  <c r="I1877" i="2"/>
  <c r="G1877" i="2"/>
  <c r="I1878" i="2"/>
  <c r="G1878" i="2"/>
  <c r="I1879" i="2"/>
  <c r="G1879" i="2"/>
  <c r="I1880" i="2"/>
  <c r="G1880" i="2"/>
  <c r="I1881" i="2"/>
  <c r="G1881" i="2"/>
  <c r="I1966" i="2"/>
  <c r="G1966" i="2"/>
  <c r="I2025" i="2"/>
  <c r="G2025" i="2"/>
  <c r="I2030" i="2"/>
  <c r="G2030" i="2"/>
  <c r="I2031" i="2"/>
  <c r="G2031" i="2"/>
  <c r="I2032" i="2"/>
  <c r="G2032" i="2"/>
  <c r="I2033" i="2"/>
  <c r="G2033" i="2"/>
  <c r="I2034" i="2"/>
  <c r="G2034" i="2"/>
  <c r="I2035" i="2"/>
  <c r="G2035" i="2"/>
  <c r="I2036" i="2"/>
  <c r="G2036" i="2"/>
  <c r="I2037" i="2"/>
  <c r="G2037" i="2"/>
  <c r="I2026" i="2"/>
  <c r="G2026" i="2"/>
  <c r="I2006" i="2"/>
  <c r="G2006" i="2"/>
  <c r="I2007" i="2"/>
  <c r="G2007" i="2"/>
  <c r="I2020" i="2"/>
  <c r="G2020" i="2"/>
  <c r="I2021" i="2"/>
  <c r="G2021" i="2"/>
  <c r="I1983" i="2"/>
  <c r="G1983" i="2"/>
  <c r="I2022" i="2"/>
  <c r="G2022" i="2"/>
  <c r="I2023" i="2"/>
  <c r="G2023" i="2"/>
  <c r="I2024" i="2"/>
  <c r="G2024" i="2"/>
  <c r="I2008" i="2"/>
  <c r="G2008" i="2"/>
  <c r="I2009" i="2"/>
  <c r="G2009" i="2"/>
  <c r="I1995" i="2"/>
  <c r="G1995" i="2"/>
  <c r="I1996" i="2"/>
  <c r="G1996" i="2"/>
  <c r="I2010" i="2"/>
  <c r="G2010" i="2"/>
  <c r="I1997" i="2"/>
  <c r="G1997" i="2"/>
  <c r="I1998" i="2"/>
  <c r="G1998" i="2"/>
  <c r="I2011" i="2"/>
  <c r="G2011" i="2"/>
  <c r="I2012" i="2"/>
  <c r="G2012" i="2"/>
  <c r="I2013" i="2"/>
  <c r="G2013" i="2"/>
  <c r="I2014" i="2"/>
  <c r="G2014" i="2"/>
  <c r="I1999" i="2"/>
  <c r="G1999" i="2"/>
  <c r="I1993" i="2"/>
  <c r="G1993" i="2"/>
  <c r="I2000" i="2"/>
  <c r="G2000" i="2"/>
  <c r="I2001" i="2"/>
  <c r="G2001" i="2"/>
  <c r="I2002" i="2"/>
  <c r="G2002" i="2"/>
  <c r="I2003" i="2"/>
  <c r="G2003" i="2"/>
  <c r="I2004" i="2"/>
  <c r="G2004" i="2"/>
  <c r="I2005" i="2"/>
  <c r="G2005" i="2"/>
  <c r="I1994" i="2"/>
  <c r="G1994" i="2"/>
  <c r="I1984" i="2"/>
  <c r="G1984" i="2"/>
  <c r="I1985" i="2"/>
  <c r="G1985" i="2"/>
  <c r="I1986" i="2"/>
  <c r="G1986" i="2"/>
  <c r="I1987" i="2"/>
  <c r="G1987" i="2"/>
  <c r="I1988" i="2"/>
  <c r="G1988" i="2"/>
  <c r="I1989" i="2"/>
  <c r="G1989" i="2"/>
  <c r="I1990" i="2"/>
  <c r="G1990" i="2"/>
  <c r="I1991" i="2"/>
  <c r="G1991" i="2"/>
  <c r="I1992" i="2"/>
  <c r="G1992" i="2"/>
  <c r="I1973" i="2"/>
  <c r="G1973" i="2"/>
  <c r="I1974" i="2"/>
  <c r="G1974" i="2"/>
  <c r="I1975" i="2"/>
  <c r="G1975" i="2"/>
  <c r="I1980" i="2"/>
  <c r="G1980" i="2"/>
  <c r="I1981" i="2"/>
  <c r="G1981" i="2"/>
  <c r="I1957" i="2"/>
  <c r="G1957" i="2"/>
  <c r="I1967" i="2"/>
  <c r="G1967" i="2"/>
  <c r="I1976" i="2"/>
  <c r="G1976" i="2"/>
  <c r="I1977" i="2"/>
  <c r="G1977" i="2"/>
  <c r="I1958" i="2"/>
  <c r="G1958" i="2"/>
  <c r="I1968" i="2"/>
  <c r="G1968" i="2"/>
  <c r="I1978" i="2"/>
  <c r="G1978" i="2"/>
  <c r="I1979" i="2"/>
  <c r="G1979" i="2"/>
  <c r="I1969" i="2"/>
  <c r="G1969" i="2"/>
  <c r="I1970" i="2"/>
  <c r="G1970" i="2"/>
  <c r="I1971" i="2"/>
  <c r="G1971" i="2"/>
  <c r="I1959" i="2"/>
  <c r="G1959" i="2"/>
  <c r="I1960" i="2"/>
  <c r="G1960" i="2"/>
  <c r="I1961" i="2"/>
  <c r="G1961" i="2"/>
  <c r="I1972" i="2"/>
  <c r="G1972" i="2"/>
  <c r="I1945" i="2"/>
  <c r="G1945" i="2"/>
  <c r="I1962" i="2"/>
  <c r="G1962" i="2"/>
  <c r="I1963" i="2"/>
  <c r="G1963" i="2"/>
  <c r="I2027" i="2"/>
  <c r="G2027" i="2"/>
  <c r="I2028" i="2"/>
  <c r="G2028" i="2"/>
  <c r="I1872" i="2"/>
  <c r="G1872" i="2"/>
  <c r="H1964" i="2"/>
  <c r="F1965" i="2"/>
  <c r="H1965" i="2"/>
  <c r="F1946" i="2"/>
  <c r="H1946" i="2"/>
  <c r="F1947" i="2"/>
  <c r="H1947" i="2"/>
  <c r="F1948" i="2"/>
  <c r="H1948" i="2"/>
  <c r="F1949" i="2"/>
  <c r="H1949" i="2"/>
  <c r="H1727" i="2"/>
  <c r="F1727" i="2"/>
  <c r="H1726" i="2"/>
  <c r="F1726" i="2"/>
  <c r="H1725" i="2"/>
  <c r="F1725" i="2"/>
  <c r="H1724" i="2"/>
  <c r="F1724" i="2"/>
  <c r="H1723" i="2"/>
  <c r="F1723" i="2"/>
  <c r="H1722" i="2"/>
  <c r="F1722" i="2"/>
  <c r="H1721" i="2"/>
  <c r="F1721" i="2"/>
  <c r="H1720" i="2"/>
  <c r="F1720" i="2"/>
  <c r="H1719" i="2"/>
  <c r="F1719" i="2"/>
  <c r="H1718" i="2"/>
  <c r="F1718" i="2"/>
  <c r="H1717" i="2"/>
  <c r="F1717" i="2"/>
  <c r="H1716" i="2"/>
  <c r="F1716" i="2"/>
  <c r="H1715" i="2"/>
  <c r="F1715" i="2"/>
  <c r="H1714" i="2"/>
  <c r="F1714" i="2"/>
  <c r="H1706" i="2"/>
  <c r="F1706" i="2"/>
  <c r="H1704" i="2"/>
  <c r="F1704" i="2"/>
  <c r="H1705" i="2"/>
  <c r="F1705" i="2"/>
  <c r="H1713" i="2"/>
  <c r="F1713" i="2"/>
  <c r="H1712" i="2"/>
  <c r="F1712" i="2"/>
  <c r="H1711" i="2"/>
  <c r="F1711" i="2"/>
  <c r="H1710" i="2"/>
  <c r="F1710" i="2"/>
  <c r="H1709" i="2"/>
  <c r="F1709" i="2"/>
  <c r="H1789" i="2"/>
  <c r="F1789" i="2"/>
  <c r="H1788" i="2"/>
  <c r="F1788" i="2"/>
  <c r="H1860" i="2"/>
  <c r="F1860" i="2"/>
  <c r="H1859" i="2"/>
  <c r="F1859" i="2"/>
  <c r="H2038" i="2"/>
  <c r="F2038" i="2"/>
  <c r="H2029" i="2"/>
  <c r="F2029" i="2"/>
  <c r="H1871" i="2"/>
  <c r="F1871" i="2"/>
  <c r="H1864" i="2"/>
  <c r="F1864" i="2"/>
  <c r="H1863" i="2"/>
  <c r="F1863" i="2"/>
  <c r="H1862" i="2"/>
  <c r="F1862" i="2"/>
  <c r="H1858" i="2"/>
  <c r="F1858" i="2"/>
  <c r="H1857" i="2"/>
  <c r="F1857" i="2"/>
  <c r="H1861" i="2"/>
  <c r="F1861" i="2"/>
  <c r="H1836" i="2"/>
  <c r="F1836" i="2"/>
  <c r="H1835" i="2"/>
  <c r="F1835" i="2"/>
  <c r="H1834" i="2"/>
  <c r="F1834" i="2"/>
  <c r="H1833" i="2"/>
  <c r="F1833" i="2"/>
  <c r="H1832" i="2"/>
  <c r="F1832" i="2"/>
  <c r="H1831" i="2"/>
  <c r="F1831" i="2"/>
  <c r="H1830" i="2"/>
  <c r="F1830" i="2"/>
  <c r="H1829" i="2"/>
  <c r="F1829" i="2"/>
  <c r="H1828" i="2"/>
  <c r="F1828" i="2"/>
  <c r="H1827" i="2"/>
  <c r="F1827" i="2"/>
  <c r="H1824" i="2"/>
  <c r="F1824" i="2"/>
  <c r="H1823" i="2"/>
  <c r="F1823" i="2"/>
  <c r="H1822" i="2"/>
  <c r="F1822" i="2"/>
  <c r="H1840" i="2"/>
  <c r="F1840" i="2"/>
  <c r="H1839" i="2"/>
  <c r="F1839" i="2"/>
  <c r="H1826" i="2"/>
  <c r="F1826" i="2"/>
  <c r="H1825" i="2"/>
  <c r="F1825" i="2"/>
  <c r="H1838" i="2"/>
  <c r="H1842" i="2"/>
  <c r="F1842" i="2"/>
  <c r="H1837" i="2"/>
  <c r="F1837" i="2"/>
  <c r="H1841" i="2"/>
  <c r="F1841" i="2"/>
  <c r="H1853" i="2"/>
  <c r="F1853" i="2"/>
  <c r="H1847" i="2"/>
  <c r="F1847" i="2"/>
  <c r="H1852" i="2"/>
  <c r="F1852" i="2"/>
  <c r="H1846" i="2"/>
  <c r="F1846" i="2"/>
  <c r="H1851" i="2"/>
  <c r="F1851" i="2"/>
  <c r="H1845" i="2"/>
  <c r="F1845" i="2"/>
  <c r="H1844" i="2"/>
  <c r="F1844" i="2"/>
  <c r="H1850" i="2"/>
  <c r="F1850" i="2"/>
  <c r="H1856" i="2"/>
  <c r="F1856" i="2"/>
  <c r="H1855" i="2"/>
  <c r="F1855" i="2"/>
  <c r="H1854" i="2"/>
  <c r="F1854" i="2"/>
  <c r="H1849" i="2"/>
  <c r="F1849" i="2"/>
  <c r="H1848" i="2"/>
  <c r="F1848" i="2"/>
  <c r="F1818" i="2"/>
  <c r="H1818" i="2"/>
  <c r="F1819" i="2"/>
  <c r="H1819" i="2"/>
  <c r="H1820" i="2"/>
  <c r="H1814" i="2"/>
  <c r="F1821" i="2"/>
  <c r="H1821" i="2"/>
  <c r="H1815" i="2"/>
  <c r="F1810" i="2"/>
  <c r="H1810" i="2"/>
  <c r="F1811" i="2"/>
  <c r="H1811" i="2"/>
  <c r="F1816" i="2"/>
  <c r="H1816" i="2"/>
  <c r="F1817" i="2"/>
  <c r="H1817" i="2"/>
  <c r="F1803" i="2"/>
  <c r="H1803" i="2"/>
  <c r="F1804" i="2"/>
  <c r="H1804" i="2"/>
  <c r="F1812" i="2"/>
  <c r="H1812" i="2"/>
  <c r="F1813" i="2"/>
  <c r="H1813" i="2"/>
  <c r="F1795" i="2"/>
  <c r="H1795" i="2"/>
  <c r="F1805" i="2"/>
  <c r="H1805" i="2"/>
  <c r="F1806" i="2"/>
  <c r="H1806" i="2"/>
  <c r="F1807" i="2"/>
  <c r="H1807" i="2"/>
  <c r="H1808" i="2"/>
  <c r="F1809" i="2"/>
  <c r="H1809" i="2"/>
  <c r="H1796" i="2"/>
  <c r="F1797" i="2"/>
  <c r="H1797" i="2"/>
  <c r="F1794" i="2"/>
  <c r="H1794" i="2"/>
  <c r="F1798" i="2"/>
  <c r="H1798" i="2"/>
  <c r="F1799" i="2"/>
  <c r="H1799" i="2"/>
  <c r="F1800" i="2"/>
  <c r="H1800" i="2"/>
  <c r="F1801" i="2"/>
  <c r="H1801" i="2"/>
  <c r="F1802" i="2"/>
  <c r="H1802" i="2"/>
  <c r="H1793" i="2"/>
  <c r="F1793" i="2"/>
  <c r="H1792" i="2"/>
  <c r="F1792" i="2"/>
  <c r="H1791" i="2"/>
  <c r="F1791" i="2"/>
  <c r="H1790" i="2"/>
  <c r="H1787" i="2"/>
  <c r="F1787" i="2"/>
  <c r="H1786" i="2"/>
  <c r="F1786" i="2"/>
  <c r="H1785" i="2"/>
  <c r="F1785" i="2"/>
  <c r="H1784" i="2"/>
  <c r="F1784" i="2"/>
  <c r="H1783" i="2"/>
  <c r="F1783" i="2"/>
  <c r="H1782" i="2"/>
  <c r="H1781" i="2"/>
  <c r="F1781" i="2"/>
  <c r="H1780" i="2"/>
  <c r="F1780" i="2"/>
  <c r="H1779" i="2"/>
  <c r="F1779" i="2"/>
  <c r="H1778" i="2"/>
  <c r="F1778" i="2"/>
  <c r="H1777" i="2"/>
  <c r="F1777" i="2"/>
  <c r="H1776" i="2"/>
  <c r="F1776" i="2"/>
  <c r="H1775" i="2"/>
  <c r="F1775" i="2"/>
  <c r="H1774" i="2"/>
  <c r="F1774" i="2"/>
  <c r="H1773" i="2"/>
  <c r="H1772" i="2"/>
  <c r="F1772" i="2"/>
  <c r="H1771" i="2"/>
  <c r="F1771" i="2"/>
  <c r="H1770" i="2"/>
  <c r="F1770" i="2"/>
  <c r="H1769" i="2"/>
  <c r="F1769" i="2"/>
  <c r="H1768" i="2"/>
  <c r="F1768" i="2"/>
  <c r="H1767" i="2"/>
  <c r="F1767" i="2"/>
  <c r="H1766" i="2"/>
  <c r="F1766" i="2"/>
  <c r="H1765" i="2"/>
  <c r="F1765" i="2"/>
  <c r="H1764" i="2"/>
  <c r="F1764" i="2"/>
  <c r="H1763" i="2"/>
  <c r="H1762" i="2"/>
  <c r="F1762" i="2"/>
  <c r="H1761" i="2"/>
  <c r="F1761" i="2"/>
  <c r="H1760" i="2"/>
  <c r="F1760" i="2"/>
  <c r="H1759" i="2"/>
  <c r="F1759" i="2"/>
  <c r="H1758" i="2"/>
  <c r="F1758" i="2"/>
  <c r="H1757" i="2"/>
  <c r="F1757" i="2"/>
  <c r="H1756" i="2"/>
  <c r="H1755" i="2"/>
  <c r="F1755" i="2"/>
  <c r="H1754" i="2"/>
  <c r="F1754" i="2"/>
  <c r="H1753" i="2"/>
  <c r="F1753" i="2"/>
  <c r="H1752" i="2"/>
  <c r="F1752" i="2"/>
  <c r="H1751" i="2"/>
  <c r="F1751" i="2"/>
  <c r="H1750" i="2"/>
  <c r="H1749" i="2"/>
  <c r="H1748" i="2"/>
  <c r="F1748" i="2"/>
  <c r="H1747" i="2"/>
  <c r="H1746" i="2"/>
  <c r="F1746" i="2"/>
  <c r="H1745" i="2"/>
  <c r="F1745" i="2"/>
  <c r="H1744" i="2"/>
  <c r="F1744" i="2"/>
  <c r="H1743" i="2"/>
  <c r="F1743" i="2"/>
  <c r="H1742" i="2"/>
  <c r="H1741" i="2"/>
  <c r="F1741" i="2"/>
  <c r="H1740" i="2"/>
  <c r="F1740" i="2"/>
  <c r="H1739" i="2"/>
  <c r="F1739" i="2"/>
  <c r="H1738" i="2"/>
  <c r="H1737" i="2"/>
  <c r="F1737" i="2"/>
  <c r="H1736" i="2"/>
  <c r="F1736" i="2"/>
  <c r="H1735" i="2"/>
  <c r="F1735" i="2"/>
  <c r="H1734" i="2"/>
  <c r="H1733" i="2"/>
  <c r="F1733" i="2"/>
  <c r="H1732" i="2"/>
  <c r="F1732" i="2"/>
  <c r="H1731" i="2"/>
  <c r="F1731" i="2"/>
  <c r="H1730" i="2"/>
  <c r="F1730" i="2"/>
  <c r="H1729" i="2"/>
  <c r="F1729" i="2"/>
  <c r="H1728" i="2"/>
  <c r="H1689" i="2"/>
  <c r="F1682" i="2"/>
  <c r="H1682" i="2"/>
  <c r="H1681" i="2"/>
  <c r="F1679" i="2"/>
  <c r="H1679" i="2"/>
  <c r="F1678" i="2"/>
  <c r="H1678" i="2"/>
  <c r="F1676" i="2"/>
  <c r="H1676" i="2"/>
  <c r="H1535" i="2"/>
  <c r="F1535" i="2"/>
  <c r="H1546" i="2"/>
  <c r="F1546" i="2"/>
  <c r="H1545" i="2"/>
  <c r="F1545" i="2"/>
  <c r="H1539" i="2"/>
  <c r="F1539" i="2"/>
  <c r="H1544" i="2"/>
  <c r="F1544" i="2"/>
  <c r="H1538" i="2"/>
  <c r="F1538" i="2"/>
  <c r="H1542" i="2"/>
  <c r="F1542" i="2"/>
  <c r="H1541" i="2"/>
  <c r="F1541" i="2"/>
  <c r="H1540" i="2"/>
  <c r="F1540" i="2"/>
  <c r="H1555" i="2"/>
  <c r="F1555" i="2"/>
  <c r="H1575" i="2"/>
  <c r="H1574" i="2"/>
  <c r="F1574" i="2"/>
  <c r="H1573" i="2"/>
  <c r="F1573" i="2"/>
  <c r="H1572" i="2"/>
  <c r="F1572" i="2"/>
  <c r="H1554" i="2"/>
  <c r="F1554" i="2"/>
  <c r="H1553" i="2"/>
  <c r="F1553" i="2"/>
  <c r="H1560" i="2"/>
  <c r="F1560" i="2"/>
  <c r="H1552" i="2"/>
  <c r="F1552" i="2"/>
  <c r="H1569" i="2"/>
  <c r="F1569" i="2"/>
  <c r="H1567" i="2"/>
  <c r="H1579" i="2"/>
  <c r="F1579" i="2"/>
  <c r="H1564" i="2"/>
  <c r="F1564" i="2"/>
  <c r="H1563" i="2"/>
  <c r="F1563" i="2"/>
  <c r="H1562" i="2"/>
  <c r="F1562" i="2"/>
  <c r="H1561" i="2"/>
  <c r="F1561" i="2"/>
  <c r="H1585" i="2"/>
  <c r="H1577" i="2"/>
  <c r="H1595" i="2"/>
  <c r="F1595" i="2"/>
  <c r="H1594" i="2"/>
  <c r="F1594" i="2"/>
  <c r="H1593" i="2"/>
  <c r="F1593" i="2"/>
  <c r="H1592" i="2"/>
  <c r="F1592" i="2"/>
  <c r="H1583" i="2"/>
  <c r="F1583" i="2"/>
  <c r="H1581" i="2"/>
  <c r="F1581" i="2"/>
  <c r="H1587" i="2"/>
  <c r="H1601" i="2"/>
  <c r="F1601" i="2"/>
  <c r="H1600" i="2"/>
  <c r="F1600" i="2"/>
  <c r="H1596" i="2"/>
  <c r="F1596" i="2"/>
  <c r="H1610" i="2"/>
  <c r="F1610" i="2"/>
  <c r="H1605" i="2"/>
  <c r="F1605" i="2"/>
  <c r="H1604" i="2"/>
  <c r="F1604" i="2"/>
  <c r="H1603" i="2"/>
  <c r="F1603" i="2"/>
  <c r="H1614" i="2"/>
  <c r="F1614" i="2"/>
  <c r="H1613" i="2"/>
  <c r="F1613" i="2"/>
  <c r="H1623" i="2"/>
  <c r="F1623" i="2"/>
  <c r="H1622" i="2"/>
  <c r="F1622" i="2"/>
  <c r="H1621" i="2"/>
  <c r="F1621" i="2"/>
  <c r="H1620" i="2"/>
  <c r="F1620" i="2"/>
  <c r="H1619" i="2"/>
  <c r="F1619" i="2"/>
  <c r="H1618" i="2"/>
  <c r="F1618" i="2"/>
  <c r="H1617" i="2"/>
  <c r="H1616" i="2"/>
  <c r="H1611" i="2"/>
  <c r="F1611" i="2"/>
  <c r="H1627" i="2"/>
  <c r="F1627" i="2"/>
  <c r="H1625" i="2"/>
  <c r="F1625" i="2"/>
  <c r="H1631" i="2"/>
  <c r="F1631" i="2"/>
  <c r="H1630" i="2"/>
  <c r="F1630" i="2"/>
  <c r="H1629" i="2"/>
  <c r="F1629" i="2"/>
  <c r="H1634" i="2"/>
  <c r="H1633" i="2"/>
  <c r="F1633" i="2"/>
  <c r="H1636" i="2"/>
  <c r="F1636" i="2"/>
  <c r="H1649" i="2"/>
  <c r="F1649" i="2"/>
  <c r="H1648" i="2"/>
  <c r="F1648" i="2"/>
  <c r="H1647" i="2"/>
  <c r="F1647" i="2"/>
  <c r="H1645" i="2"/>
  <c r="F1645" i="2"/>
  <c r="H1644" i="2"/>
  <c r="F1644" i="2"/>
  <c r="H1632" i="2"/>
  <c r="F1632" i="2"/>
  <c r="H1635" i="2"/>
  <c r="F1635" i="2"/>
  <c r="H1637" i="2"/>
  <c r="F1637" i="2"/>
  <c r="H1641" i="2"/>
  <c r="F1641" i="2"/>
  <c r="H1640" i="2"/>
  <c r="F1640" i="2"/>
  <c r="H1654" i="2"/>
  <c r="F1654" i="2"/>
  <c r="H1653" i="2"/>
  <c r="H1652" i="2"/>
  <c r="H1657" i="2"/>
  <c r="F1657" i="2"/>
  <c r="H1651" i="2"/>
  <c r="F1651" i="2"/>
  <c r="H1650" i="2"/>
  <c r="F1650" i="2"/>
  <c r="H1659" i="2"/>
  <c r="F1659" i="2"/>
  <c r="H1658" i="2"/>
  <c r="F1658" i="2"/>
  <c r="H1655" i="2"/>
  <c r="F1655" i="2"/>
  <c r="H1665" i="2"/>
  <c r="F1665" i="2"/>
  <c r="H1663" i="2"/>
  <c r="F1663" i="2"/>
  <c r="H1662" i="2"/>
  <c r="F1662" i="2"/>
  <c r="H1668" i="2"/>
  <c r="F1668" i="2"/>
  <c r="H1675" i="2"/>
  <c r="F1675" i="2"/>
  <c r="H1674" i="2"/>
  <c r="F1674" i="2"/>
  <c r="H1673" i="2"/>
  <c r="F1673" i="2"/>
  <c r="H1672" i="2"/>
  <c r="F1672" i="2"/>
  <c r="H1671" i="2"/>
  <c r="F1671" i="2"/>
  <c r="H1670" i="2"/>
  <c r="F1670" i="2"/>
  <c r="I1526" i="2"/>
  <c r="H1526" i="2"/>
  <c r="H1515" i="2"/>
  <c r="F1515" i="2"/>
  <c r="H1523" i="2"/>
  <c r="H1534" i="2"/>
  <c r="H1531" i="2"/>
  <c r="H1530" i="2"/>
  <c r="G1530" i="2"/>
  <c r="D1529" i="2" a="1"/>
  <c r="D1529" i="2" s="1"/>
  <c r="B1528" i="2"/>
  <c r="B1529" i="2"/>
  <c r="B1530" i="2"/>
  <c r="B1517" i="2"/>
  <c r="B1518" i="2"/>
  <c r="B1519" i="2"/>
  <c r="B1520" i="2"/>
  <c r="B1521" i="2"/>
  <c r="B1527" i="2"/>
  <c r="D1499" i="2" a="1"/>
  <c r="D1499" i="2" s="1"/>
  <c r="H1499" i="2" s="1"/>
  <c r="D1511" i="2" a="1"/>
  <c r="D1511" i="2" s="1"/>
  <c r="F1511" i="2" s="1"/>
  <c r="H1504" i="2"/>
  <c r="H1514" i="2"/>
  <c r="B1514" i="2"/>
  <c r="B1498" i="2"/>
  <c r="B1499" i="2"/>
  <c r="B1500" i="2"/>
  <c r="B1501" i="2"/>
  <c r="B1510" i="2"/>
  <c r="B1511" i="2"/>
  <c r="B1512" i="2"/>
  <c r="B1502" i="2"/>
  <c r="B1503" i="2"/>
  <c r="B1504" i="2"/>
  <c r="B1513" i="2"/>
  <c r="B1491" i="2"/>
  <c r="B1516" i="2"/>
  <c r="B1497" i="2"/>
  <c r="B1496" i="2"/>
  <c r="C4" i="9"/>
  <c r="B4" i="9" s="1"/>
  <c r="B1" i="9"/>
  <c r="E1" i="9" s="1"/>
  <c r="C2" i="10"/>
  <c r="B2" i="10" s="1"/>
  <c r="B1" i="10"/>
  <c r="H936" i="2"/>
  <c r="H1483" i="2"/>
  <c r="H1484" i="2"/>
  <c r="H1485" i="2"/>
  <c r="H1486" i="2"/>
  <c r="H1487" i="2"/>
  <c r="H1488" i="2"/>
  <c r="F936" i="2"/>
  <c r="G936" i="2" s="1"/>
  <c r="F1483" i="2"/>
  <c r="I1483" i="2" s="1"/>
  <c r="F1484" i="2"/>
  <c r="G1484" i="2" s="1"/>
  <c r="B1453" i="2"/>
  <c r="F1453" i="2"/>
  <c r="G1453" i="2" s="1"/>
  <c r="H1453" i="2"/>
  <c r="D1494" i="2" a="1"/>
  <c r="D1494" i="2" s="1"/>
  <c r="D1482" i="2" a="1"/>
  <c r="D1482" i="2" s="1"/>
  <c r="D1490" i="2" a="1"/>
  <c r="D1490" i="2" s="1"/>
  <c r="B1482" i="2"/>
  <c r="B1483" i="2"/>
  <c r="B1484" i="2"/>
  <c r="B1485" i="2"/>
  <c r="B1495" i="2"/>
  <c r="B1480" i="2"/>
  <c r="B1481" i="2"/>
  <c r="B1486" i="2"/>
  <c r="B1487" i="2"/>
  <c r="B1488" i="2"/>
  <c r="B1489" i="2"/>
  <c r="B1490" i="2"/>
  <c r="G1485" i="2"/>
  <c r="G1486" i="2"/>
  <c r="G1487" i="2"/>
  <c r="G1488" i="2"/>
  <c r="G1489" i="2"/>
  <c r="I1485" i="2"/>
  <c r="I1486" i="2"/>
  <c r="I1487" i="2"/>
  <c r="I1488" i="2"/>
  <c r="I1489" i="2"/>
  <c r="B1494" i="2"/>
  <c r="C8" i="11"/>
  <c r="C9" i="11"/>
  <c r="C10" i="11"/>
  <c r="C11" i="11"/>
  <c r="C12" i="11"/>
  <c r="C13" i="11"/>
  <c r="C3" i="11"/>
  <c r="C4" i="11"/>
  <c r="C5" i="11"/>
  <c r="C6" i="11"/>
  <c r="C7" i="11"/>
  <c r="B4" i="10"/>
  <c r="T1" i="4"/>
  <c r="U1" i="4"/>
  <c r="V1" i="4"/>
  <c r="W1" i="4"/>
  <c r="X1" i="4"/>
  <c r="Y1" i="4"/>
  <c r="Z1" i="4"/>
  <c r="AA1" i="4"/>
  <c r="AB1" i="4"/>
  <c r="AC1" i="4"/>
  <c r="B5" i="10"/>
  <c r="B5" i="9"/>
  <c r="E5" i="9"/>
  <c r="B936" i="2"/>
  <c r="BI18" i="8"/>
  <c r="BI19" i="8" s="1"/>
  <c r="BJ18" i="8"/>
  <c r="BJ19" i="8" s="1"/>
  <c r="BK18" i="8"/>
  <c r="BK19" i="8" s="1"/>
  <c r="BL19" i="8"/>
  <c r="BM18" i="8"/>
  <c r="BM19" i="8" s="1"/>
  <c r="BN18" i="8"/>
  <c r="BN19" i="8" s="1"/>
  <c r="BE18" i="8"/>
  <c r="BE19" i="8" s="1"/>
  <c r="BF18" i="8"/>
  <c r="BF19" i="8" s="1"/>
  <c r="BG18" i="8"/>
  <c r="BG19" i="8" s="1"/>
  <c r="BH18" i="8"/>
  <c r="BH19" i="8" s="1"/>
  <c r="BD18" i="8"/>
  <c r="BD19" i="8" s="1"/>
  <c r="BC18" i="8"/>
  <c r="BC19" i="8" s="1"/>
  <c r="BB18" i="8"/>
  <c r="BB19" i="8" s="1"/>
  <c r="BA18" i="8"/>
  <c r="BA19" i="8" s="1"/>
  <c r="AZ18" i="8"/>
  <c r="AZ19" i="8" s="1"/>
  <c r="AY18" i="8"/>
  <c r="AY19" i="8" s="1"/>
  <c r="AX18" i="8"/>
  <c r="AX19" i="8" s="1"/>
  <c r="AW18" i="8"/>
  <c r="AW19" i="8" s="1"/>
  <c r="AV18" i="8"/>
  <c r="AV19" i="8" s="1"/>
  <c r="AU18" i="8"/>
  <c r="AU19" i="8" s="1"/>
  <c r="AT18" i="8"/>
  <c r="AT19" i="8" s="1"/>
  <c r="AS18" i="8"/>
  <c r="AS19" i="8" s="1"/>
  <c r="AR18" i="8"/>
  <c r="AR19" i="8" s="1"/>
  <c r="AQ18" i="8"/>
  <c r="AQ19" i="8" s="1"/>
  <c r="AP18" i="8"/>
  <c r="AP19" i="8" s="1"/>
  <c r="AO18" i="8"/>
  <c r="AO19" i="8" s="1"/>
  <c r="AN18" i="8"/>
  <c r="AN19" i="8" s="1"/>
  <c r="AM18" i="8"/>
  <c r="AM19" i="8" s="1"/>
  <c r="AL18" i="8"/>
  <c r="AL19" i="8" s="1"/>
  <c r="AK18" i="8"/>
  <c r="AK19" i="8" s="1"/>
  <c r="AJ18" i="8"/>
  <c r="AJ19" i="8" s="1"/>
  <c r="AI18" i="8"/>
  <c r="AI19" i="8" s="1"/>
  <c r="AH18" i="8"/>
  <c r="AH19" i="8" s="1"/>
  <c r="AG18" i="8"/>
  <c r="AG19" i="8" s="1"/>
  <c r="AF18" i="8"/>
  <c r="AF19" i="8" s="1"/>
  <c r="AE18" i="8"/>
  <c r="AE19" i="8" s="1"/>
  <c r="AD18" i="8"/>
  <c r="AD19" i="8" s="1"/>
  <c r="AC18" i="8"/>
  <c r="AC19" i="8" s="1"/>
  <c r="AB18" i="8"/>
  <c r="AB19" i="8" s="1"/>
  <c r="AA18" i="8"/>
  <c r="AA19" i="8" s="1"/>
  <c r="Z18" i="8"/>
  <c r="Z19" i="8" s="1"/>
  <c r="Y18" i="8"/>
  <c r="Y19" i="8" s="1"/>
  <c r="X18" i="8"/>
  <c r="X19" i="8" s="1"/>
  <c r="W18" i="8"/>
  <c r="W19" i="8" s="1"/>
  <c r="V18" i="8"/>
  <c r="V19" i="8" s="1"/>
  <c r="U18" i="8"/>
  <c r="U19" i="8" s="1"/>
  <c r="T18" i="8"/>
  <c r="T19" i="8" s="1"/>
  <c r="S18" i="8"/>
  <c r="S19" i="8" s="1"/>
  <c r="R18" i="8"/>
  <c r="R19" i="8" s="1"/>
  <c r="Q18" i="8"/>
  <c r="Q19" i="8" s="1"/>
  <c r="P18" i="8"/>
  <c r="P19" i="8" s="1"/>
  <c r="O18" i="8"/>
  <c r="O19" i="8" s="1"/>
  <c r="N18" i="8"/>
  <c r="N19" i="8" s="1"/>
  <c r="M18" i="8"/>
  <c r="M19" i="8" s="1"/>
  <c r="L18" i="8"/>
  <c r="L19" i="8" s="1"/>
  <c r="K18" i="8"/>
  <c r="K19" i="8" s="1"/>
  <c r="J18" i="8"/>
  <c r="J19" i="8" s="1"/>
  <c r="I18" i="8"/>
  <c r="I19" i="8" s="1"/>
  <c r="H18" i="8"/>
  <c r="H19" i="8" s="1"/>
  <c r="G18" i="8"/>
  <c r="G19" i="8" s="1"/>
  <c r="F18" i="8"/>
  <c r="F19" i="8" s="1"/>
  <c r="E18" i="8"/>
  <c r="E19" i="8" s="1"/>
  <c r="D18" i="8"/>
  <c r="D19" i="8" s="1"/>
  <c r="C18" i="8"/>
  <c r="C19" i="8" s="1"/>
  <c r="B18" i="8"/>
  <c r="B19" i="8" s="1"/>
  <c r="D1469" i="2" a="1"/>
  <c r="D1469" i="2" s="1"/>
  <c r="D1467" i="2" a="1"/>
  <c r="D1467" i="2" s="1"/>
  <c r="H1460" i="2"/>
  <c r="D1464" i="2" a="1"/>
  <c r="D1464" i="2" s="1"/>
  <c r="D1475" i="2" a="1"/>
  <c r="D1475" i="2" s="1"/>
  <c r="B1470" i="2"/>
  <c r="B1475" i="2"/>
  <c r="B1476" i="2"/>
  <c r="B1471" i="2"/>
  <c r="B1472" i="2"/>
  <c r="B1477" i="2"/>
  <c r="B1478" i="2"/>
  <c r="B1479" i="2"/>
  <c r="B1473" i="2"/>
  <c r="B1474" i="2"/>
  <c r="B1464" i="2"/>
  <c r="B1465" i="2"/>
  <c r="B1459" i="2"/>
  <c r="B1460" i="2"/>
  <c r="B1461" i="2"/>
  <c r="B1462" i="2"/>
  <c r="B1466" i="2"/>
  <c r="B1467" i="2"/>
  <c r="B1468" i="2"/>
  <c r="B1469" i="2"/>
  <c r="B1457" i="2"/>
  <c r="B1454" i="2"/>
  <c r="B1455" i="2"/>
  <c r="B1463" i="2"/>
  <c r="B1458" i="2"/>
  <c r="B1456" i="2"/>
  <c r="G1460" i="2"/>
  <c r="I1460" i="2"/>
  <c r="B21" i="8"/>
  <c r="B1443" i="2"/>
  <c r="B1444" i="2"/>
  <c r="B1445" i="2"/>
  <c r="B1446" i="2"/>
  <c r="B1447" i="2"/>
  <c r="B1448" i="2"/>
  <c r="B1449" i="2"/>
  <c r="B1450" i="2"/>
  <c r="B1451" i="2"/>
  <c r="B1452" i="2"/>
  <c r="B1434" i="2"/>
  <c r="B1435" i="2"/>
  <c r="B1436" i="2"/>
  <c r="B1437" i="2"/>
  <c r="B1438" i="2"/>
  <c r="B1439" i="2"/>
  <c r="B1423" i="2"/>
  <c r="B1424" i="2"/>
  <c r="B1425" i="2"/>
  <c r="B1426" i="2"/>
  <c r="B1427" i="2"/>
  <c r="B1428" i="2"/>
  <c r="B1429" i="2"/>
  <c r="B1430" i="2"/>
  <c r="B1413" i="2"/>
  <c r="B1415" i="2"/>
  <c r="B1416" i="2"/>
  <c r="B1417" i="2"/>
  <c r="B1418" i="2"/>
  <c r="B1419" i="2"/>
  <c r="B1420" i="2"/>
  <c r="B1421" i="2"/>
  <c r="B1422" i="2"/>
  <c r="B1403" i="2"/>
  <c r="B1404" i="2"/>
  <c r="B1405" i="2"/>
  <c r="B1406" i="2"/>
  <c r="B1407" i="2"/>
  <c r="B1408" i="2"/>
  <c r="B1409" i="2"/>
  <c r="B1410" i="2"/>
  <c r="B1411" i="2"/>
  <c r="B1412" i="2"/>
  <c r="B1401" i="2"/>
  <c r="B1402" i="2"/>
  <c r="B1397" i="2"/>
  <c r="B1398" i="2"/>
  <c r="B1399" i="2"/>
  <c r="B1400" i="2"/>
  <c r="B1388" i="2"/>
  <c r="B1389" i="2"/>
  <c r="B1390" i="2"/>
  <c r="B1391" i="2"/>
  <c r="B1392" i="2"/>
  <c r="B1393" i="2"/>
  <c r="B1394" i="2"/>
  <c r="B1395" i="2"/>
  <c r="B1396" i="2"/>
  <c r="B1382" i="2"/>
  <c r="B1383" i="2"/>
  <c r="B1384" i="2"/>
  <c r="B1385" i="2"/>
  <c r="B1386" i="2"/>
  <c r="B1387" i="2"/>
  <c r="B1375" i="2"/>
  <c r="B1376" i="2"/>
  <c r="B1377" i="2"/>
  <c r="B1378" i="2"/>
  <c r="B1379" i="2"/>
  <c r="B1380" i="2"/>
  <c r="B1381" i="2"/>
  <c r="B1368" i="2"/>
  <c r="B1369" i="2"/>
  <c r="B1370" i="2"/>
  <c r="B1371" i="2"/>
  <c r="B1372" i="2"/>
  <c r="B1373" i="2"/>
  <c r="B1374" i="2"/>
  <c r="B1358" i="2"/>
  <c r="B1359" i="2"/>
  <c r="B1360" i="2"/>
  <c r="B1361" i="2"/>
  <c r="B1362" i="2"/>
  <c r="B1363" i="2"/>
  <c r="B1364" i="2"/>
  <c r="B1365" i="2"/>
  <c r="B1366" i="2"/>
  <c r="B1367" i="2"/>
  <c r="B1356" i="2"/>
  <c r="B1357" i="2"/>
  <c r="B1352" i="2"/>
  <c r="B1353" i="2"/>
  <c r="B1354" i="2"/>
  <c r="B1355" i="2"/>
  <c r="B1343" i="2"/>
  <c r="B1344" i="2"/>
  <c r="B1345" i="2"/>
  <c r="B1346" i="2"/>
  <c r="B1347" i="2"/>
  <c r="B1348" i="2"/>
  <c r="B1349" i="2"/>
  <c r="B1350" i="2"/>
  <c r="B1351" i="2"/>
  <c r="B1337" i="2"/>
  <c r="B1338" i="2"/>
  <c r="B1339" i="2"/>
  <c r="B1340" i="2"/>
  <c r="B1341" i="2"/>
  <c r="B1342" i="2"/>
  <c r="B1333" i="2"/>
  <c r="B1334" i="2"/>
  <c r="B1335" i="2"/>
  <c r="B1336" i="2"/>
  <c r="B1326" i="2"/>
  <c r="B1327" i="2"/>
  <c r="B1328" i="2"/>
  <c r="B1329" i="2"/>
  <c r="B1330" i="2"/>
  <c r="B1331" i="2"/>
  <c r="B1332" i="2"/>
  <c r="B1311" i="2"/>
  <c r="B1312" i="2"/>
  <c r="B1324" i="2"/>
  <c r="B1313" i="2"/>
  <c r="B1314" i="2"/>
  <c r="B1315" i="2"/>
  <c r="B1316" i="2"/>
  <c r="B1325" i="2"/>
  <c r="B1317" i="2"/>
  <c r="B1318" i="2"/>
  <c r="B1319" i="2"/>
  <c r="B1320" i="2"/>
  <c r="B1321" i="2"/>
  <c r="B1322" i="2"/>
  <c r="B1323" i="2"/>
  <c r="B1307" i="2"/>
  <c r="B1308" i="2"/>
  <c r="B1309" i="2"/>
  <c r="B1310" i="2"/>
  <c r="B1303" i="2"/>
  <c r="B1304" i="2"/>
  <c r="B1305" i="2"/>
  <c r="B1306" i="2"/>
  <c r="B1296" i="2"/>
  <c r="B1297" i="2"/>
  <c r="B1298" i="2"/>
  <c r="B1299" i="2"/>
  <c r="B1300" i="2"/>
  <c r="B1301" i="2"/>
  <c r="B1302" i="2"/>
  <c r="B1289" i="2"/>
  <c r="B1290" i="2"/>
  <c r="B1291" i="2"/>
  <c r="B1292" i="2"/>
  <c r="B1293" i="2"/>
  <c r="B1294" i="2"/>
  <c r="B1295" i="2"/>
  <c r="B1283" i="2"/>
  <c r="B1284" i="2"/>
  <c r="B1285" i="2"/>
  <c r="B1286" i="2"/>
  <c r="B1287" i="2"/>
  <c r="B1288" i="2"/>
  <c r="B1278" i="2"/>
  <c r="B1279" i="2"/>
  <c r="B1280" i="2"/>
  <c r="B1281" i="2"/>
  <c r="B1282" i="2"/>
  <c r="B1273" i="2"/>
  <c r="B1274" i="2"/>
  <c r="B1275" i="2"/>
  <c r="B1276" i="2"/>
  <c r="B1277" i="2"/>
  <c r="B1269" i="2"/>
  <c r="B1270" i="2"/>
  <c r="B1271" i="2"/>
  <c r="B1272" i="2"/>
  <c r="B1259" i="2"/>
  <c r="B1260" i="2"/>
  <c r="B1261" i="2"/>
  <c r="B1262" i="2"/>
  <c r="B1263" i="2"/>
  <c r="B1264" i="2"/>
  <c r="B1265" i="2"/>
  <c r="B1266" i="2"/>
  <c r="B1267" i="2"/>
  <c r="B1268" i="2"/>
  <c r="B1252" i="2"/>
  <c r="B1253" i="2"/>
  <c r="B1254" i="2"/>
  <c r="B1255" i="2"/>
  <c r="B1256" i="2"/>
  <c r="B1257" i="2"/>
  <c r="B1258" i="2"/>
  <c r="B1245" i="2"/>
  <c r="B1246" i="2"/>
  <c r="B1247" i="2"/>
  <c r="B1248" i="2"/>
  <c r="B1249" i="2"/>
  <c r="B1250" i="2"/>
  <c r="B1251" i="2"/>
  <c r="B1239" i="2"/>
  <c r="B1240" i="2"/>
  <c r="B1241" i="2"/>
  <c r="B1242" i="2"/>
  <c r="B1243" i="2"/>
  <c r="B1244" i="2"/>
  <c r="B1233" i="2"/>
  <c r="B1234" i="2"/>
  <c r="B1235" i="2"/>
  <c r="B1236" i="2"/>
  <c r="B1237" i="2"/>
  <c r="B1238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17" i="2"/>
  <c r="B1218" i="2"/>
  <c r="B1219" i="2"/>
  <c r="B1220" i="2"/>
  <c r="B1216" i="2"/>
  <c r="B1209" i="2"/>
  <c r="B1210" i="2"/>
  <c r="B1211" i="2"/>
  <c r="B1212" i="2"/>
  <c r="B1213" i="2"/>
  <c r="B1214" i="2"/>
  <c r="B1215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191" i="2"/>
  <c r="B1192" i="2"/>
  <c r="B1193" i="2"/>
  <c r="B1194" i="2"/>
  <c r="B1195" i="2"/>
  <c r="B1196" i="2"/>
  <c r="B1186" i="2"/>
  <c r="B1187" i="2"/>
  <c r="B1188" i="2"/>
  <c r="B1189" i="2"/>
  <c r="B1190" i="2"/>
  <c r="B1184" i="2"/>
  <c r="B1185" i="2"/>
  <c r="B1181" i="2"/>
  <c r="B1182" i="2"/>
  <c r="B1183" i="2"/>
  <c r="B1175" i="2"/>
  <c r="B1176" i="2"/>
  <c r="B1177" i="2"/>
  <c r="B1178" i="2"/>
  <c r="B1179" i="2"/>
  <c r="B1180" i="2"/>
  <c r="B1168" i="2"/>
  <c r="B1169" i="2"/>
  <c r="B1170" i="2"/>
  <c r="B1171" i="2"/>
  <c r="B1172" i="2"/>
  <c r="B1173" i="2"/>
  <c r="B1174" i="2"/>
  <c r="B1163" i="2"/>
  <c r="B1164" i="2"/>
  <c r="B1165" i="2"/>
  <c r="B1166" i="2"/>
  <c r="B1167" i="2"/>
  <c r="B1155" i="2"/>
  <c r="B1156" i="2"/>
  <c r="B1157" i="2"/>
  <c r="B1158" i="2"/>
  <c r="B1159" i="2"/>
  <c r="B1160" i="2"/>
  <c r="B1161" i="2"/>
  <c r="B1162" i="2"/>
  <c r="B1152" i="2"/>
  <c r="B1153" i="2"/>
  <c r="B1154" i="2"/>
  <c r="B1143" i="2"/>
  <c r="B1144" i="2"/>
  <c r="B1145" i="2"/>
  <c r="B1146" i="2"/>
  <c r="B1147" i="2"/>
  <c r="B1148" i="2"/>
  <c r="B1149" i="2"/>
  <c r="B1150" i="2"/>
  <c r="B1151" i="2"/>
  <c r="B1141" i="2"/>
  <c r="B1142" i="2"/>
  <c r="B1129" i="2"/>
  <c r="B1130" i="2"/>
  <c r="B1131" i="2"/>
  <c r="B1132" i="2"/>
  <c r="B1133" i="2"/>
  <c r="B1134" i="2"/>
  <c r="B1135" i="2"/>
  <c r="B1136" i="2"/>
  <c r="B1137" i="2"/>
  <c r="B1138" i="2"/>
  <c r="B1125" i="2"/>
  <c r="B1126" i="2"/>
  <c r="B1127" i="2"/>
  <c r="B1128" i="2"/>
  <c r="B1118" i="2"/>
  <c r="B1119" i="2"/>
  <c r="B1120" i="2"/>
  <c r="B1121" i="2"/>
  <c r="B1122" i="2"/>
  <c r="B1123" i="2"/>
  <c r="B1140" i="2"/>
  <c r="B1107" i="2"/>
  <c r="B1108" i="2"/>
  <c r="B1109" i="2"/>
  <c r="B1110" i="2"/>
  <c r="B1111" i="2"/>
  <c r="B1112" i="2"/>
  <c r="B1113" i="2"/>
  <c r="B1114" i="2"/>
  <c r="B1115" i="2"/>
  <c r="B1116" i="2"/>
  <c r="B1139" i="2"/>
  <c r="B1117" i="2"/>
  <c r="B1097" i="2"/>
  <c r="B1098" i="2"/>
  <c r="B1099" i="2"/>
  <c r="B1100" i="2"/>
  <c r="B1101" i="2"/>
  <c r="B1102" i="2"/>
  <c r="B1103" i="2"/>
  <c r="B1104" i="2"/>
  <c r="B1105" i="2"/>
  <c r="B1106" i="2"/>
  <c r="B1094" i="2"/>
  <c r="B1095" i="2"/>
  <c r="B1096" i="2"/>
  <c r="B1090" i="2"/>
  <c r="B1091" i="2"/>
  <c r="B1092" i="2"/>
  <c r="B1093" i="2"/>
  <c r="B1085" i="2"/>
  <c r="B1086" i="2"/>
  <c r="B1087" i="2"/>
  <c r="B1088" i="2"/>
  <c r="B1089" i="2"/>
  <c r="B1078" i="2"/>
  <c r="B1079" i="2"/>
  <c r="B1080" i="2"/>
  <c r="B1081" i="2"/>
  <c r="B1082" i="2"/>
  <c r="B1083" i="2"/>
  <c r="B1084" i="2"/>
  <c r="B1074" i="2"/>
  <c r="B1075" i="2"/>
  <c r="B1076" i="2"/>
  <c r="B1077" i="2"/>
  <c r="B1072" i="2"/>
  <c r="B1073" i="2"/>
  <c r="B1064" i="2"/>
  <c r="B1065" i="2"/>
  <c r="B1066" i="2"/>
  <c r="B1067" i="2"/>
  <c r="B1068" i="2"/>
  <c r="B1069" i="2"/>
  <c r="B1070" i="2"/>
  <c r="B1071" i="2"/>
  <c r="B1058" i="2"/>
  <c r="B1059" i="2"/>
  <c r="B1060" i="2"/>
  <c r="B1061" i="2"/>
  <c r="B1062" i="2"/>
  <c r="B1063" i="2"/>
  <c r="B1053" i="2"/>
  <c r="B1054" i="2"/>
  <c r="B1055" i="2"/>
  <c r="B1056" i="2"/>
  <c r="B1043" i="2"/>
  <c r="B1044" i="2"/>
  <c r="B1045" i="2"/>
  <c r="B1046" i="2"/>
  <c r="B1047" i="2"/>
  <c r="B1048" i="2"/>
  <c r="B1049" i="2"/>
  <c r="B1050" i="2"/>
  <c r="B1051" i="2"/>
  <c r="B1052" i="2"/>
  <c r="B1037" i="2"/>
  <c r="B1038" i="2"/>
  <c r="B1039" i="2"/>
  <c r="B1040" i="2"/>
  <c r="B1041" i="2"/>
  <c r="B1042" i="2"/>
  <c r="B1033" i="2"/>
  <c r="B1034" i="2"/>
  <c r="B1035" i="2"/>
  <c r="B1036" i="2"/>
  <c r="B1028" i="2"/>
  <c r="B1029" i="2"/>
  <c r="B1030" i="2"/>
  <c r="B1031" i="2"/>
  <c r="B1032" i="2"/>
  <c r="B1017" i="2"/>
  <c r="B1018" i="2"/>
  <c r="B1019" i="2"/>
  <c r="B1020" i="2"/>
  <c r="B1021" i="2"/>
  <c r="B1022" i="2"/>
  <c r="B1023" i="2"/>
  <c r="B1024" i="2"/>
  <c r="B1025" i="2"/>
  <c r="B1026" i="2"/>
  <c r="B1027" i="2"/>
  <c r="B1015" i="2"/>
  <c r="B1016" i="2"/>
  <c r="B1009" i="2"/>
  <c r="B1010" i="2"/>
  <c r="B1011" i="2"/>
  <c r="B1012" i="2"/>
  <c r="B1013" i="2"/>
  <c r="B1014" i="2"/>
  <c r="B998" i="2"/>
  <c r="B999" i="2"/>
  <c r="B1000" i="2"/>
  <c r="B1001" i="2"/>
  <c r="B1002" i="2"/>
  <c r="B1003" i="2"/>
  <c r="B1004" i="2"/>
  <c r="B1005" i="2"/>
  <c r="B1006" i="2"/>
  <c r="B1007" i="2"/>
  <c r="B1008" i="2"/>
  <c r="B991" i="2"/>
  <c r="B992" i="2"/>
  <c r="B993" i="2"/>
  <c r="B994" i="2"/>
  <c r="B995" i="2"/>
  <c r="B996" i="2"/>
  <c r="B997" i="2"/>
  <c r="B984" i="2"/>
  <c r="B985" i="2"/>
  <c r="B986" i="2"/>
  <c r="B987" i="2"/>
  <c r="B988" i="2"/>
  <c r="B989" i="2"/>
  <c r="B990" i="2"/>
  <c r="B973" i="2"/>
  <c r="B974" i="2"/>
  <c r="B975" i="2"/>
  <c r="B976" i="2"/>
  <c r="B977" i="2"/>
  <c r="B978" i="2"/>
  <c r="B979" i="2"/>
  <c r="B980" i="2"/>
  <c r="B981" i="2"/>
  <c r="B982" i="2"/>
  <c r="B983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58" i="2"/>
  <c r="B959" i="2"/>
  <c r="B960" i="2"/>
  <c r="B957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32" i="2"/>
  <c r="B933" i="2"/>
  <c r="B934" i="2"/>
  <c r="B935" i="2"/>
  <c r="B914" i="2"/>
  <c r="B915" i="2"/>
  <c r="B916" i="2"/>
  <c r="B917" i="2"/>
  <c r="B918" i="2"/>
  <c r="B919" i="2"/>
  <c r="B920" i="2"/>
  <c r="B921" i="2"/>
  <c r="B922" i="2"/>
  <c r="B923" i="2"/>
  <c r="B924" i="2"/>
  <c r="B931" i="2"/>
  <c r="B925" i="2"/>
  <c r="B926" i="2"/>
  <c r="B927" i="2"/>
  <c r="B928" i="2"/>
  <c r="B929" i="2"/>
  <c r="B910" i="2"/>
  <c r="B911" i="2"/>
  <c r="B912" i="2"/>
  <c r="B913" i="2"/>
  <c r="B930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891" i="2"/>
  <c r="B892" i="2"/>
  <c r="B893" i="2"/>
  <c r="B889" i="2"/>
  <c r="B890" i="2"/>
  <c r="B882" i="2"/>
  <c r="B883" i="2"/>
  <c r="B884" i="2"/>
  <c r="B885" i="2"/>
  <c r="B886" i="2"/>
  <c r="B887" i="2"/>
  <c r="B888" i="2"/>
  <c r="B879" i="2"/>
  <c r="B880" i="2"/>
  <c r="B881" i="2"/>
  <c r="B871" i="2"/>
  <c r="B872" i="2"/>
  <c r="B873" i="2"/>
  <c r="B874" i="2"/>
  <c r="B875" i="2"/>
  <c r="B876" i="2"/>
  <c r="B877" i="2"/>
  <c r="B878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42" i="2"/>
  <c r="B843" i="2"/>
  <c r="B835" i="2"/>
  <c r="B836" i="2"/>
  <c r="B837" i="2"/>
  <c r="B838" i="2"/>
  <c r="B839" i="2"/>
  <c r="B840" i="2"/>
  <c r="B841" i="2"/>
  <c r="B828" i="2"/>
  <c r="B829" i="2"/>
  <c r="B830" i="2"/>
  <c r="B831" i="2"/>
  <c r="B832" i="2"/>
  <c r="B833" i="2"/>
  <c r="B834" i="2"/>
  <c r="B822" i="2"/>
  <c r="B823" i="2"/>
  <c r="B824" i="2"/>
  <c r="B825" i="2"/>
  <c r="B826" i="2"/>
  <c r="B82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795" i="2"/>
  <c r="B796" i="2"/>
  <c r="B797" i="2"/>
  <c r="B793" i="2"/>
  <c r="B794" i="2"/>
  <c r="B786" i="2"/>
  <c r="B787" i="2"/>
  <c r="B788" i="2"/>
  <c r="B789" i="2"/>
  <c r="B790" i="2"/>
  <c r="B791" i="2"/>
  <c r="B792" i="2"/>
  <c r="B779" i="2"/>
  <c r="B780" i="2"/>
  <c r="B781" i="2"/>
  <c r="B782" i="2"/>
  <c r="B783" i="2"/>
  <c r="B784" i="2"/>
  <c r="B785" i="2"/>
  <c r="B769" i="2"/>
  <c r="B770" i="2"/>
  <c r="B771" i="2"/>
  <c r="B772" i="2"/>
  <c r="B773" i="2"/>
  <c r="B774" i="2"/>
  <c r="B775" i="2"/>
  <c r="B776" i="2"/>
  <c r="B777" i="2"/>
  <c r="B778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40" i="2"/>
  <c r="B741" i="2"/>
  <c r="B742" i="2"/>
  <c r="B743" i="2"/>
  <c r="B744" i="2"/>
  <c r="B1057" i="2"/>
  <c r="B745" i="2"/>
  <c r="B746" i="2"/>
  <c r="B747" i="2"/>
  <c r="B748" i="2"/>
  <c r="B749" i="2"/>
  <c r="B750" i="2"/>
  <c r="B751" i="2"/>
  <c r="B752" i="2"/>
  <c r="B753" i="2"/>
  <c r="B754" i="2"/>
  <c r="B734" i="2"/>
  <c r="B735" i="2"/>
  <c r="B736" i="2"/>
  <c r="B737" i="2"/>
  <c r="B738" i="2"/>
  <c r="B739" i="2"/>
  <c r="B723" i="2"/>
  <c r="B724" i="2"/>
  <c r="B725" i="2"/>
  <c r="B726" i="2"/>
  <c r="B727" i="2"/>
  <c r="B728" i="2"/>
  <c r="B729" i="2"/>
  <c r="B730" i="2"/>
  <c r="B731" i="2"/>
  <c r="B732" i="2"/>
  <c r="B733" i="2"/>
  <c r="B712" i="2"/>
  <c r="B713" i="2"/>
  <c r="B714" i="2"/>
  <c r="B715" i="2"/>
  <c r="B716" i="2"/>
  <c r="B717" i="2"/>
  <c r="B718" i="2"/>
  <c r="B719" i="2"/>
  <c r="B720" i="2"/>
  <c r="B721" i="2"/>
  <c r="B722" i="2"/>
  <c r="B706" i="2"/>
  <c r="B707" i="2"/>
  <c r="B708" i="2"/>
  <c r="B709" i="2"/>
  <c r="B710" i="2"/>
  <c r="B711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91" i="2"/>
  <c r="B692" i="2"/>
  <c r="B689" i="2"/>
  <c r="B690" i="2"/>
  <c r="B672" i="2"/>
  <c r="B673" i="2"/>
  <c r="B674" i="2"/>
  <c r="B669" i="2"/>
  <c r="B670" i="2"/>
  <c r="B671" i="2"/>
  <c r="B661" i="2"/>
  <c r="B662" i="2"/>
  <c r="B663" i="2"/>
  <c r="B664" i="2"/>
  <c r="B665" i="2"/>
  <c r="B666" i="2"/>
  <c r="B667" i="2"/>
  <c r="B668" i="2"/>
  <c r="B653" i="2"/>
  <c r="B654" i="2"/>
  <c r="B655" i="2"/>
  <c r="B656" i="2"/>
  <c r="B657" i="2"/>
  <c r="B658" i="2"/>
  <c r="B659" i="2"/>
  <c r="B660" i="2"/>
  <c r="B648" i="2"/>
  <c r="B649" i="2"/>
  <c r="B650" i="2"/>
  <c r="B651" i="2"/>
  <c r="B652" i="2"/>
  <c r="B639" i="2"/>
  <c r="B640" i="2"/>
  <c r="B641" i="2"/>
  <c r="B642" i="2"/>
  <c r="B643" i="2"/>
  <c r="B644" i="2"/>
  <c r="B645" i="2"/>
  <c r="B646" i="2"/>
  <c r="B647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18" i="2"/>
  <c r="B619" i="2"/>
  <c r="B620" i="2"/>
  <c r="B621" i="2"/>
  <c r="B622" i="2"/>
  <c r="B623" i="2"/>
  <c r="B624" i="2"/>
  <c r="B608" i="2"/>
  <c r="B609" i="2"/>
  <c r="B610" i="2"/>
  <c r="B611" i="2"/>
  <c r="B612" i="2"/>
  <c r="B613" i="2"/>
  <c r="B614" i="2"/>
  <c r="B615" i="2"/>
  <c r="B616" i="2"/>
  <c r="B617" i="2"/>
  <c r="B603" i="2"/>
  <c r="B604" i="2"/>
  <c r="B605" i="2"/>
  <c r="B606" i="2"/>
  <c r="B607" i="2"/>
  <c r="B593" i="2"/>
  <c r="B594" i="2"/>
  <c r="B595" i="2"/>
  <c r="B596" i="2"/>
  <c r="B597" i="2"/>
  <c r="B598" i="2"/>
  <c r="B599" i="2"/>
  <c r="B600" i="2"/>
  <c r="B601" i="2"/>
  <c r="B602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75" i="2"/>
  <c r="B576" i="2"/>
  <c r="B571" i="2"/>
  <c r="B572" i="2"/>
  <c r="B573" i="2"/>
  <c r="B574" i="2"/>
  <c r="B560" i="2"/>
  <c r="B561" i="2"/>
  <c r="B562" i="2"/>
  <c r="B563" i="2"/>
  <c r="B564" i="2"/>
  <c r="B565" i="2"/>
  <c r="B566" i="2"/>
  <c r="B567" i="2"/>
  <c r="B568" i="2"/>
  <c r="B569" i="2"/>
  <c r="B570" i="2"/>
  <c r="B551" i="2"/>
  <c r="B552" i="2"/>
  <c r="B553" i="2"/>
  <c r="B554" i="2"/>
  <c r="B555" i="2"/>
  <c r="B556" i="2"/>
  <c r="B557" i="2"/>
  <c r="B558" i="2"/>
  <c r="B559" i="2"/>
  <c r="B546" i="2"/>
  <c r="B547" i="2"/>
  <c r="B548" i="2"/>
  <c r="B549" i="2"/>
  <c r="B550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18" i="2"/>
  <c r="B516" i="2"/>
  <c r="B517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00" i="2"/>
  <c r="B501" i="2"/>
  <c r="B502" i="2"/>
  <c r="B503" i="2"/>
  <c r="B491" i="2"/>
  <c r="B492" i="2"/>
  <c r="B493" i="2"/>
  <c r="B494" i="2"/>
  <c r="B495" i="2"/>
  <c r="B496" i="2"/>
  <c r="B497" i="2"/>
  <c r="B498" i="2"/>
  <c r="B499" i="2"/>
  <c r="B482" i="2"/>
  <c r="B483" i="2"/>
  <c r="B484" i="2"/>
  <c r="B485" i="2"/>
  <c r="B486" i="2"/>
  <c r="B487" i="2"/>
  <c r="B488" i="2"/>
  <c r="B489" i="2"/>
  <c r="B490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47" i="2"/>
  <c r="B448" i="2"/>
  <c r="B449" i="2"/>
  <c r="B435" i="2"/>
  <c r="B446" i="2"/>
  <c r="B436" i="2"/>
  <c r="B437" i="2"/>
  <c r="B438" i="2"/>
  <c r="B439" i="2"/>
  <c r="B440" i="2"/>
  <c r="B441" i="2"/>
  <c r="B442" i="2"/>
  <c r="B443" i="2"/>
  <c r="B444" i="2"/>
  <c r="B426" i="2"/>
  <c r="B427" i="2"/>
  <c r="B428" i="2"/>
  <c r="B429" i="2"/>
  <c r="B430" i="2"/>
  <c r="B431" i="2"/>
  <c r="B432" i="2"/>
  <c r="B433" i="2"/>
  <c r="B434" i="2"/>
  <c r="B445" i="2"/>
  <c r="B420" i="2"/>
  <c r="B421" i="2"/>
  <c r="B422" i="2"/>
  <c r="B423" i="2"/>
  <c r="B424" i="2"/>
  <c r="B425" i="2"/>
  <c r="B413" i="2"/>
  <c r="B414" i="2"/>
  <c r="B415" i="2"/>
  <c r="B416" i="2"/>
  <c r="B417" i="2"/>
  <c r="B418" i="2"/>
  <c r="B419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397" i="2"/>
  <c r="B396" i="2"/>
  <c r="B390" i="2"/>
  <c r="B391" i="2"/>
  <c r="B392" i="2"/>
  <c r="B393" i="2"/>
  <c r="B394" i="2"/>
  <c r="B395" i="2"/>
  <c r="B387" i="2"/>
  <c r="B388" i="2"/>
  <c r="B389" i="2"/>
  <c r="B382" i="2"/>
  <c r="B383" i="2"/>
  <c r="B384" i="2"/>
  <c r="B385" i="2"/>
  <c r="B386" i="2"/>
  <c r="B377" i="2"/>
  <c r="B378" i="2"/>
  <c r="B379" i="2"/>
  <c r="B380" i="2"/>
  <c r="B381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53" i="2"/>
  <c r="B354" i="2"/>
  <c r="B355" i="2"/>
  <c r="B351" i="2"/>
  <c r="B352" i="2"/>
  <c r="B345" i="2"/>
  <c r="B346" i="2"/>
  <c r="B347" i="2"/>
  <c r="B348" i="2"/>
  <c r="B349" i="2"/>
  <c r="B350" i="2"/>
  <c r="B339" i="2"/>
  <c r="B340" i="2"/>
  <c r="B341" i="2"/>
  <c r="B342" i="2"/>
  <c r="B343" i="2"/>
  <c r="B344" i="2"/>
  <c r="B332" i="2"/>
  <c r="B333" i="2"/>
  <c r="B334" i="2"/>
  <c r="B335" i="2"/>
  <c r="B336" i="2"/>
  <c r="B337" i="2"/>
  <c r="B33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299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75" i="2"/>
  <c r="B276" i="2"/>
  <c r="B277" i="2"/>
  <c r="B278" i="2"/>
  <c r="B279" i="2"/>
  <c r="B280" i="2"/>
  <c r="B281" i="2"/>
  <c r="B282" i="2"/>
  <c r="B283" i="2"/>
  <c r="B284" i="2"/>
  <c r="B285" i="2"/>
  <c r="B269" i="2"/>
  <c r="B270" i="2"/>
  <c r="B271" i="2"/>
  <c r="B272" i="2"/>
  <c r="B273" i="2"/>
  <c r="B274" i="2"/>
  <c r="B262" i="2"/>
  <c r="B263" i="2"/>
  <c r="B264" i="2"/>
  <c r="B265" i="2"/>
  <c r="B266" i="2"/>
  <c r="B267" i="2"/>
  <c r="B268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39" i="2"/>
  <c r="B236" i="2"/>
  <c r="B237" i="2"/>
  <c r="B238" i="2"/>
  <c r="B233" i="2"/>
  <c r="B228" i="2"/>
  <c r="B227" i="2"/>
  <c r="B230" i="2"/>
  <c r="B231" i="2"/>
  <c r="B234" i="2"/>
  <c r="B229" i="2"/>
  <c r="B232" i="2"/>
  <c r="B226" i="2"/>
  <c r="B221" i="2"/>
  <c r="B222" i="2"/>
  <c r="B223" i="2"/>
  <c r="B235" i="2"/>
  <c r="B224" i="2"/>
  <c r="B218" i="2"/>
  <c r="B220" i="2"/>
  <c r="B225" i="2"/>
  <c r="B219" i="2"/>
  <c r="B217" i="2"/>
  <c r="B216" i="2"/>
  <c r="B214" i="2"/>
  <c r="B215" i="2"/>
  <c r="B213" i="2"/>
  <c r="B211" i="2"/>
  <c r="B210" i="2"/>
  <c r="B212" i="2"/>
  <c r="B209" i="2"/>
  <c r="B207" i="2"/>
  <c r="B208" i="2"/>
  <c r="B205" i="2"/>
  <c r="B202" i="2"/>
  <c r="B198" i="2"/>
  <c r="B203" i="2"/>
  <c r="B199" i="2"/>
  <c r="B192" i="2"/>
  <c r="B194" i="2"/>
  <c r="B189" i="2"/>
  <c r="B193" i="2"/>
  <c r="B190" i="2"/>
  <c r="B188" i="2"/>
  <c r="B197" i="2"/>
  <c r="B196" i="2"/>
  <c r="B206" i="2"/>
  <c r="B201" i="2"/>
  <c r="B200" i="2"/>
  <c r="B204" i="2"/>
  <c r="B191" i="2"/>
  <c r="B195" i="2"/>
  <c r="B186" i="2"/>
  <c r="B187" i="2"/>
  <c r="B180" i="2"/>
  <c r="B183" i="2"/>
  <c r="B184" i="2"/>
  <c r="B182" i="2"/>
  <c r="B185" i="2"/>
  <c r="B179" i="2"/>
  <c r="B181" i="2"/>
  <c r="B178" i="2"/>
  <c r="B175" i="2"/>
  <c r="B177" i="2"/>
  <c r="B174" i="2"/>
  <c r="B176" i="2"/>
  <c r="B173" i="2"/>
  <c r="B172" i="2"/>
  <c r="B169" i="2"/>
  <c r="B170" i="2"/>
  <c r="B171" i="2"/>
  <c r="B167" i="2"/>
  <c r="B168" i="2"/>
  <c r="B165" i="2"/>
  <c r="B166" i="2"/>
  <c r="B162" i="2"/>
  <c r="B159" i="2"/>
  <c r="B155" i="2"/>
  <c r="B164" i="2"/>
  <c r="B158" i="2"/>
  <c r="B157" i="2"/>
  <c r="B152" i="2"/>
  <c r="B149" i="2"/>
  <c r="B156" i="2"/>
  <c r="B160" i="2"/>
  <c r="B163" i="2"/>
  <c r="B161" i="2"/>
  <c r="B153" i="2"/>
  <c r="B154" i="2"/>
  <c r="B147" i="2"/>
  <c r="B150" i="2"/>
  <c r="B148" i="2"/>
  <c r="B151" i="2"/>
  <c r="B146" i="2"/>
  <c r="B143" i="2"/>
  <c r="B144" i="2"/>
  <c r="B145" i="2"/>
  <c r="B135" i="2"/>
  <c r="B137" i="2"/>
  <c r="B138" i="2"/>
  <c r="B136" i="2"/>
  <c r="B142" i="2"/>
  <c r="B139" i="2"/>
  <c r="B140" i="2"/>
  <c r="B141" i="2"/>
  <c r="B126" i="2"/>
  <c r="B131" i="2"/>
  <c r="B132" i="2"/>
  <c r="B130" i="2"/>
  <c r="B128" i="2"/>
  <c r="B134" i="2"/>
  <c r="B133" i="2"/>
  <c r="B129" i="2"/>
  <c r="B123" i="2"/>
  <c r="B125" i="2"/>
  <c r="B124" i="2"/>
  <c r="B127" i="2"/>
  <c r="B121" i="2"/>
  <c r="B120" i="2"/>
  <c r="B116" i="2"/>
  <c r="B118" i="2"/>
  <c r="B117" i="2"/>
  <c r="B122" i="2"/>
  <c r="B115" i="2"/>
  <c r="B119" i="2"/>
  <c r="B114" i="2"/>
  <c r="B110" i="2"/>
  <c r="B112" i="2"/>
  <c r="B113" i="2"/>
  <c r="B111" i="2"/>
  <c r="B108" i="2"/>
  <c r="B109" i="2"/>
  <c r="B99" i="2"/>
  <c r="B101" i="2"/>
  <c r="B88" i="2"/>
  <c r="B106" i="2"/>
  <c r="B104" i="2"/>
  <c r="B105" i="2"/>
  <c r="B93" i="2"/>
  <c r="B95" i="2"/>
  <c r="B98" i="2"/>
  <c r="B90" i="2"/>
  <c r="B91" i="2"/>
  <c r="B92" i="2"/>
  <c r="B89" i="2"/>
  <c r="B103" i="2"/>
  <c r="B107" i="2"/>
  <c r="B100" i="2"/>
  <c r="B102" i="2"/>
  <c r="B96" i="2"/>
  <c r="B97" i="2"/>
  <c r="B94" i="2"/>
  <c r="B87" i="2"/>
  <c r="B86" i="2"/>
  <c r="B85" i="2"/>
  <c r="B84" i="2"/>
  <c r="B83" i="2"/>
  <c r="B78" i="2"/>
  <c r="B79" i="2"/>
  <c r="B82" i="2"/>
  <c r="B80" i="2"/>
  <c r="B81" i="2"/>
  <c r="B75" i="2"/>
  <c r="B77" i="2"/>
  <c r="B76" i="2"/>
  <c r="B73" i="2"/>
  <c r="B74" i="2"/>
  <c r="B72" i="2"/>
  <c r="B71" i="2"/>
  <c r="B60" i="2"/>
  <c r="B69" i="2"/>
  <c r="B68" i="2"/>
  <c r="B70" i="2"/>
  <c r="B61" i="2"/>
  <c r="B63" i="2"/>
  <c r="B67" i="2"/>
  <c r="B66" i="2"/>
  <c r="B62" i="2"/>
  <c r="B59" i="2"/>
  <c r="B64" i="2"/>
  <c r="B65" i="2"/>
  <c r="B52" i="2"/>
  <c r="B53" i="2"/>
  <c r="B58" i="2"/>
  <c r="B56" i="2"/>
  <c r="B57" i="2"/>
  <c r="B54" i="2"/>
  <c r="B55" i="2"/>
  <c r="B34" i="2"/>
  <c r="B41" i="2"/>
  <c r="B44" i="2"/>
  <c r="B37" i="2"/>
  <c r="B39" i="2"/>
  <c r="B42" i="2"/>
  <c r="B35" i="2"/>
  <c r="B38" i="2"/>
  <c r="B48" i="2"/>
  <c r="B49" i="2"/>
  <c r="B51" i="2"/>
  <c r="B40" i="2"/>
  <c r="B47" i="2"/>
  <c r="B50" i="2"/>
  <c r="B36" i="2"/>
  <c r="B46" i="2"/>
  <c r="B43" i="2"/>
  <c r="B45" i="2"/>
  <c r="B33" i="2"/>
  <c r="B32" i="2"/>
  <c r="B29" i="2"/>
  <c r="B30" i="2"/>
  <c r="B31" i="2"/>
  <c r="B28" i="2"/>
  <c r="B14" i="2"/>
  <c r="B27" i="2"/>
  <c r="B16" i="2"/>
  <c r="B22" i="2"/>
  <c r="B21" i="2"/>
  <c r="B15" i="2"/>
  <c r="B25" i="2"/>
  <c r="B23" i="2"/>
  <c r="B24" i="2"/>
  <c r="B26" i="2"/>
  <c r="B20" i="2"/>
  <c r="B19" i="2"/>
  <c r="B17" i="2"/>
  <c r="B18" i="2"/>
  <c r="B12" i="2"/>
  <c r="B8" i="2"/>
  <c r="B6" i="2"/>
  <c r="B10" i="2"/>
  <c r="B5" i="2"/>
  <c r="B13" i="2"/>
  <c r="B9" i="2"/>
  <c r="B11" i="2"/>
  <c r="B7" i="2"/>
  <c r="B4" i="2"/>
  <c r="B3" i="2"/>
  <c r="B2" i="2"/>
  <c r="B1431" i="2"/>
  <c r="B755" i="2"/>
  <c r="B1440" i="2"/>
  <c r="B1124" i="2"/>
  <c r="B1432" i="2"/>
  <c r="B956" i="2"/>
  <c r="B1441" i="2"/>
  <c r="B1442" i="2"/>
  <c r="B1433" i="2"/>
  <c r="D1314" i="2" a="1"/>
  <c r="D1314" i="2" s="1"/>
  <c r="H1314" i="2" s="1"/>
  <c r="D1151" i="2" a="1"/>
  <c r="D1151" i="2" s="1"/>
  <c r="H1151" i="2" s="1"/>
  <c r="D928" i="2" a="1"/>
  <c r="D928" i="2" s="1"/>
  <c r="H928" i="2" s="1"/>
  <c r="D690" i="2" a="1"/>
  <c r="D690" i="2" s="1"/>
  <c r="H690" i="2" s="1"/>
  <c r="D443" i="2" a="1"/>
  <c r="D443" i="2" s="1"/>
  <c r="H443" i="2" s="1"/>
  <c r="D226" i="2" a="1"/>
  <c r="D226" i="2" s="1"/>
  <c r="H226" i="2" s="1"/>
  <c r="G1314" i="2"/>
  <c r="G1151" i="2"/>
  <c r="G928" i="2"/>
  <c r="G690" i="2"/>
  <c r="G443" i="2"/>
  <c r="G226" i="2"/>
  <c r="B78" i="5"/>
  <c r="B75" i="5"/>
  <c r="B67" i="5"/>
  <c r="B66" i="5"/>
  <c r="B65" i="5"/>
  <c r="D1495" i="2" s="1" a="1"/>
  <c r="D1495" i="2" s="1"/>
  <c r="B63" i="5"/>
  <c r="D1489" i="2" s="1" a="1"/>
  <c r="D1489" i="2" s="1"/>
  <c r="H1489" i="2" s="1"/>
  <c r="B62" i="5"/>
  <c r="B58" i="5"/>
  <c r="B55" i="5"/>
  <c r="B53" i="5"/>
  <c r="B51" i="5"/>
  <c r="D1463" i="2" s="1" a="1"/>
  <c r="D1463" i="2" s="1"/>
  <c r="B50" i="5"/>
  <c r="B49" i="5"/>
  <c r="B46" i="5"/>
  <c r="B41" i="5"/>
  <c r="B39" i="5"/>
  <c r="B37" i="5"/>
  <c r="B38" i="5" s="1"/>
  <c r="B36" i="5"/>
  <c r="B35" i="5"/>
  <c r="B43" i="5" s="1"/>
  <c r="B34" i="5"/>
  <c r="D1474" i="2" s="1" a="1"/>
  <c r="D1474" i="2" s="1"/>
  <c r="B28" i="5"/>
  <c r="B27" i="5"/>
  <c r="B26" i="5"/>
  <c r="B25" i="5"/>
  <c r="B19" i="5"/>
  <c r="B18" i="5"/>
  <c r="D1521" i="2" s="1" a="1"/>
  <c r="D1521" i="2" s="1"/>
  <c r="F1521" i="2" s="1"/>
  <c r="B17" i="5"/>
  <c r="D1520" i="2" s="1" a="1"/>
  <c r="D1520" i="2" s="1"/>
  <c r="B16" i="5"/>
  <c r="B32" i="5" s="1"/>
  <c r="B47" i="5" s="1"/>
  <c r="B15" i="5"/>
  <c r="B14" i="5"/>
  <c r="B13" i="5"/>
  <c r="B11" i="5"/>
  <c r="D1479" i="2" s="1" a="1"/>
  <c r="D1479" i="2" s="1"/>
  <c r="H1479" i="2" s="1"/>
  <c r="B4" i="5"/>
  <c r="B7" i="5"/>
  <c r="B8" i="5"/>
  <c r="D1466" i="2" s="1" a="1"/>
  <c r="D1466" i="2" s="1"/>
  <c r="B9" i="5"/>
  <c r="B10" i="5"/>
  <c r="F1410" i="2"/>
  <c r="I1410" i="2" s="1"/>
  <c r="F1416" i="2"/>
  <c r="G1416" i="2" s="1"/>
  <c r="F1417" i="2"/>
  <c r="G1417" i="2" s="1"/>
  <c r="F1418" i="2"/>
  <c r="G1418" i="2" s="1"/>
  <c r="F1443" i="2"/>
  <c r="I1443" i="2" s="1"/>
  <c r="F1444" i="2"/>
  <c r="I1444" i="2" s="1"/>
  <c r="F1445" i="2"/>
  <c r="F1446" i="2"/>
  <c r="I1446" i="2" s="1"/>
  <c r="F1447" i="2"/>
  <c r="G1447" i="2" s="1"/>
  <c r="F1448" i="2"/>
  <c r="G1448" i="2" s="1"/>
  <c r="F1449" i="2"/>
  <c r="G1449" i="2" s="1"/>
  <c r="F1450" i="2"/>
  <c r="G1450" i="2" s="1"/>
  <c r="F1434" i="2"/>
  <c r="I1434" i="2" s="1"/>
  <c r="F1435" i="2"/>
  <c r="I1435" i="2" s="1"/>
  <c r="F1436" i="2"/>
  <c r="I1436" i="2" s="1"/>
  <c r="F1451" i="2"/>
  <c r="F1452" i="2"/>
  <c r="I1452" i="2" s="1"/>
  <c r="F1437" i="2"/>
  <c r="G1437" i="2" s="1"/>
  <c r="F1438" i="2"/>
  <c r="I1438" i="2" s="1"/>
  <c r="F1439" i="2"/>
  <c r="I1439" i="2" s="1"/>
  <c r="F1424" i="2"/>
  <c r="I1424" i="2" s="1"/>
  <c r="F1425" i="2"/>
  <c r="G1425" i="2" s="1"/>
  <c r="F1426" i="2"/>
  <c r="I1426" i="2" s="1"/>
  <c r="F1419" i="2"/>
  <c r="G1419" i="2" s="1"/>
  <c r="F1420" i="2"/>
  <c r="I1420" i="2" s="1"/>
  <c r="F1421" i="2"/>
  <c r="I1421" i="2" s="1"/>
  <c r="F1422" i="2"/>
  <c r="I1422" i="2" s="1"/>
  <c r="F1427" i="2"/>
  <c r="I1427" i="2" s="1"/>
  <c r="F1411" i="2"/>
  <c r="I1411" i="2" s="1"/>
  <c r="F1412" i="2"/>
  <c r="F1428" i="2"/>
  <c r="G1428" i="2" s="1"/>
  <c r="F1429" i="2"/>
  <c r="I1429" i="2" s="1"/>
  <c r="F1430" i="2"/>
  <c r="I1430" i="2" s="1"/>
  <c r="D2" i="2" a="1"/>
  <c r="D2" i="2" s="1"/>
  <c r="F2" i="2" s="1"/>
  <c r="G2" i="2" s="1"/>
  <c r="D3" i="2" a="1"/>
  <c r="D3" i="2" s="1"/>
  <c r="H3" i="2" s="1"/>
  <c r="G3" i="2"/>
  <c r="I3" i="2"/>
  <c r="H1443" i="2"/>
  <c r="H1444" i="2"/>
  <c r="H1445" i="2"/>
  <c r="H1446" i="2"/>
  <c r="H1447" i="2"/>
  <c r="H1448" i="2"/>
  <c r="H1449" i="2"/>
  <c r="H1450" i="2"/>
  <c r="H1434" i="2"/>
  <c r="H1435" i="2"/>
  <c r="H1436" i="2"/>
  <c r="H1451" i="2"/>
  <c r="H1452" i="2"/>
  <c r="H1441" i="2"/>
  <c r="H1423" i="2"/>
  <c r="H1437" i="2"/>
  <c r="H1442" i="2"/>
  <c r="H1438" i="2"/>
  <c r="H1439" i="2"/>
  <c r="H1431" i="2"/>
  <c r="H1424" i="2"/>
  <c r="H1425" i="2"/>
  <c r="H1440" i="2"/>
  <c r="H1432" i="2"/>
  <c r="H1426" i="2"/>
  <c r="H1419" i="2"/>
  <c r="H1420" i="2"/>
  <c r="H1421" i="2"/>
  <c r="H1422" i="2"/>
  <c r="H1433" i="2"/>
  <c r="H1427" i="2"/>
  <c r="H1411" i="2"/>
  <c r="H1412" i="2"/>
  <c r="H1428" i="2"/>
  <c r="H1429" i="2"/>
  <c r="H1430" i="2"/>
  <c r="G1441" i="2"/>
  <c r="G1423" i="2"/>
  <c r="G1442" i="2"/>
  <c r="G1431" i="2"/>
  <c r="G1440" i="2"/>
  <c r="G1432" i="2"/>
  <c r="G1433" i="2"/>
  <c r="I1441" i="2"/>
  <c r="I1423" i="2"/>
  <c r="I1442" i="2"/>
  <c r="I1431" i="2"/>
  <c r="I1440" i="2"/>
  <c r="I1432" i="2"/>
  <c r="I1433" i="2"/>
  <c r="F1397" i="2"/>
  <c r="G1397" i="2" s="1"/>
  <c r="F1401" i="2"/>
  <c r="I1401" i="2" s="1"/>
  <c r="F1402" i="2"/>
  <c r="I1402" i="2" s="1"/>
  <c r="F1405" i="2"/>
  <c r="I1405" i="2" s="1"/>
  <c r="F1406" i="2"/>
  <c r="G1406" i="2" s="1"/>
  <c r="F1407" i="2"/>
  <c r="G1407" i="2" s="1"/>
  <c r="F1408" i="2"/>
  <c r="G1408" i="2" s="1"/>
  <c r="F1409" i="2"/>
  <c r="I1409" i="2" s="1"/>
  <c r="F1398" i="2"/>
  <c r="G1398" i="2" s="1"/>
  <c r="F1399" i="2"/>
  <c r="G1399" i="2" s="1"/>
  <c r="F1400" i="2"/>
  <c r="I1400" i="2" s="1"/>
  <c r="F1388" i="2"/>
  <c r="I1388" i="2" s="1"/>
  <c r="F1389" i="2"/>
  <c r="I1389" i="2" s="1"/>
  <c r="F1390" i="2"/>
  <c r="G1390" i="2" s="1"/>
  <c r="F1391" i="2"/>
  <c r="I1391" i="2" s="1"/>
  <c r="F1382" i="2"/>
  <c r="G1382" i="2" s="1"/>
  <c r="F1383" i="2"/>
  <c r="G1383" i="2" s="1"/>
  <c r="F1392" i="2"/>
  <c r="I1392" i="2" s="1"/>
  <c r="F1393" i="2"/>
  <c r="I1393" i="2" s="1"/>
  <c r="F1394" i="2"/>
  <c r="I1394" i="2" s="1"/>
  <c r="F1396" i="2"/>
  <c r="G1396" i="2" s="1"/>
  <c r="F1384" i="2"/>
  <c r="G1384" i="2" s="1"/>
  <c r="F1375" i="2"/>
  <c r="I1375" i="2" s="1"/>
  <c r="F1376" i="2"/>
  <c r="G1376" i="2" s="1"/>
  <c r="F1377" i="2"/>
  <c r="G1377" i="2" s="1"/>
  <c r="F1386" i="2"/>
  <c r="I1386" i="2" s="1"/>
  <c r="F1378" i="2"/>
  <c r="I1378" i="2" s="1"/>
  <c r="F1387" i="2"/>
  <c r="I1387" i="2" s="1"/>
  <c r="F1379" i="2"/>
  <c r="I1379" i="2" s="1"/>
  <c r="F1380" i="2"/>
  <c r="I1380" i="2" s="1"/>
  <c r="F1368" i="2"/>
  <c r="G1368" i="2" s="1"/>
  <c r="G1381" i="2"/>
  <c r="F1359" i="2"/>
  <c r="G1359" i="2" s="1"/>
  <c r="F1374" i="2"/>
  <c r="G1374" i="2" s="1"/>
  <c r="F1352" i="2"/>
  <c r="I1352" i="2" s="1"/>
  <c r="F1356" i="2"/>
  <c r="I1356" i="2" s="1"/>
  <c r="F1360" i="2"/>
  <c r="I1360" i="2" s="1"/>
  <c r="F1361" i="2"/>
  <c r="I1361" i="2" s="1"/>
  <c r="F1362" i="2"/>
  <c r="G1362" i="2" s="1"/>
  <c r="F1353" i="2"/>
  <c r="G1353" i="2" s="1"/>
  <c r="F1354" i="2"/>
  <c r="G1354" i="2" s="1"/>
  <c r="F1364" i="2"/>
  <c r="G1364" i="2" s="1"/>
  <c r="F1365" i="2"/>
  <c r="I1365" i="2" s="1"/>
  <c r="F1366" i="2"/>
  <c r="I1366" i="2" s="1"/>
  <c r="F1367" i="2"/>
  <c r="G1367" i="2" s="1"/>
  <c r="F1357" i="2"/>
  <c r="G1357" i="2" s="1"/>
  <c r="F1343" i="2"/>
  <c r="G1343" i="2" s="1"/>
  <c r="F1344" i="2"/>
  <c r="I1344" i="2" s="1"/>
  <c r="F1345" i="2"/>
  <c r="G1345" i="2" s="1"/>
  <c r="F1346" i="2"/>
  <c r="G1346" i="2" s="1"/>
  <c r="F1347" i="2"/>
  <c r="I1347" i="2" s="1"/>
  <c r="F1348" i="2"/>
  <c r="I1348" i="2" s="1"/>
  <c r="F1337" i="2"/>
  <c r="I1337" i="2" s="1"/>
  <c r="F1349" i="2"/>
  <c r="G1349" i="2" s="1"/>
  <c r="F1350" i="2"/>
  <c r="I1350" i="2" s="1"/>
  <c r="F1351" i="2"/>
  <c r="G1351" i="2" s="1"/>
  <c r="F1338" i="2"/>
  <c r="G1338" i="2" s="1"/>
  <c r="F1339" i="2"/>
  <c r="I1339" i="2" s="1"/>
  <c r="F1340" i="2"/>
  <c r="I1340" i="2" s="1"/>
  <c r="F1333" i="2"/>
  <c r="I1333" i="2" s="1"/>
  <c r="F1341" i="2"/>
  <c r="G1341" i="2" s="1"/>
  <c r="F1326" i="2"/>
  <c r="I1326" i="2" s="1"/>
  <c r="F1327" i="2"/>
  <c r="I1327" i="2" s="1"/>
  <c r="F1328" i="2"/>
  <c r="I1328" i="2" s="1"/>
  <c r="F1334" i="2"/>
  <c r="G1334" i="2" s="1"/>
  <c r="F1335" i="2"/>
  <c r="G1335" i="2" s="1"/>
  <c r="F1329" i="2"/>
  <c r="G1329" i="2" s="1"/>
  <c r="F1320" i="2"/>
  <c r="I1320" i="2" s="1"/>
  <c r="F1321" i="2"/>
  <c r="G1321" i="2" s="1"/>
  <c r="F1322" i="2"/>
  <c r="G1322" i="2" s="1"/>
  <c r="F1323" i="2"/>
  <c r="I1323" i="2" s="1"/>
  <c r="F1330" i="2"/>
  <c r="G1330" i="2" s="1"/>
  <c r="F1331" i="2"/>
  <c r="I1331" i="2" s="1"/>
  <c r="F1332" i="2"/>
  <c r="I1332" i="2" s="1"/>
  <c r="F1403" i="2"/>
  <c r="I1403" i="2" s="1"/>
  <c r="H1415" i="2"/>
  <c r="H1403" i="2"/>
  <c r="H1404" i="2"/>
  <c r="H1416" i="2"/>
  <c r="H1417" i="2"/>
  <c r="H1418" i="2"/>
  <c r="H1397" i="2"/>
  <c r="H1401" i="2"/>
  <c r="H1402" i="2"/>
  <c r="H1405" i="2"/>
  <c r="H1406" i="2"/>
  <c r="H1407" i="2"/>
  <c r="H1408" i="2"/>
  <c r="H1409" i="2"/>
  <c r="H1410" i="2"/>
  <c r="H1398" i="2"/>
  <c r="H1399" i="2"/>
  <c r="H1400" i="2"/>
  <c r="H1388" i="2"/>
  <c r="H1389" i="2"/>
  <c r="H1390" i="2"/>
  <c r="H1391" i="2"/>
  <c r="H1382" i="2"/>
  <c r="H1383" i="2"/>
  <c r="H1392" i="2"/>
  <c r="H1393" i="2"/>
  <c r="H1394" i="2"/>
  <c r="H1395" i="2"/>
  <c r="H1396" i="2"/>
  <c r="H1384" i="2"/>
  <c r="H1385" i="2"/>
  <c r="H1375" i="2"/>
  <c r="H1376" i="2"/>
  <c r="H1377" i="2"/>
  <c r="H1386" i="2"/>
  <c r="H1378" i="2"/>
  <c r="H1387" i="2"/>
  <c r="H1379" i="2"/>
  <c r="H1380" i="2"/>
  <c r="H1368" i="2"/>
  <c r="H1381" i="2"/>
  <c r="H1369" i="2"/>
  <c r="H1359" i="2"/>
  <c r="H1370" i="2"/>
  <c r="H1371" i="2"/>
  <c r="H1372" i="2"/>
  <c r="H1373" i="2"/>
  <c r="H1374" i="2"/>
  <c r="H1352" i="2"/>
  <c r="H1356" i="2"/>
  <c r="H1360" i="2"/>
  <c r="H1361" i="2"/>
  <c r="H1358" i="2"/>
  <c r="H1362" i="2"/>
  <c r="H1353" i="2"/>
  <c r="H1354" i="2"/>
  <c r="H1363" i="2"/>
  <c r="H1364" i="2"/>
  <c r="H1365" i="2"/>
  <c r="H1366" i="2"/>
  <c r="H1367" i="2"/>
  <c r="H1357" i="2"/>
  <c r="H1343" i="2"/>
  <c r="H1344" i="2"/>
  <c r="H1345" i="2"/>
  <c r="H1346" i="2"/>
  <c r="H1347" i="2"/>
  <c r="H1355" i="2"/>
  <c r="H1348" i="2"/>
  <c r="H1337" i="2"/>
  <c r="H1349" i="2"/>
  <c r="H1350" i="2"/>
  <c r="H1351" i="2"/>
  <c r="H1338" i="2"/>
  <c r="H1339" i="2"/>
  <c r="H1340" i="2"/>
  <c r="H1333" i="2"/>
  <c r="H1341" i="2"/>
  <c r="H1342" i="2"/>
  <c r="H1326" i="2"/>
  <c r="H1327" i="2"/>
  <c r="H1328" i="2"/>
  <c r="H1334" i="2"/>
  <c r="H1335" i="2"/>
  <c r="H1336" i="2"/>
  <c r="H1329" i="2"/>
  <c r="H1320" i="2"/>
  <c r="H1321" i="2"/>
  <c r="H1322" i="2"/>
  <c r="H1323" i="2"/>
  <c r="H1330" i="2"/>
  <c r="H1331" i="2"/>
  <c r="H1332" i="2"/>
  <c r="G1415" i="2"/>
  <c r="G1404" i="2"/>
  <c r="G1395" i="2"/>
  <c r="G1385" i="2"/>
  <c r="G1369" i="2"/>
  <c r="G1370" i="2"/>
  <c r="G1371" i="2"/>
  <c r="G1372" i="2"/>
  <c r="G1373" i="2"/>
  <c r="G1358" i="2"/>
  <c r="G1363" i="2"/>
  <c r="G1355" i="2"/>
  <c r="G1342" i="2"/>
  <c r="G1336" i="2"/>
  <c r="I1415" i="2"/>
  <c r="I1404" i="2"/>
  <c r="I1395" i="2"/>
  <c r="I1385" i="2"/>
  <c r="I1369" i="2"/>
  <c r="I1370" i="2"/>
  <c r="I1371" i="2"/>
  <c r="I1372" i="2"/>
  <c r="I1373" i="2"/>
  <c r="I1358" i="2"/>
  <c r="I1363" i="2"/>
  <c r="I1355" i="2"/>
  <c r="I1342" i="2"/>
  <c r="I1336" i="2"/>
  <c r="H1413" i="2"/>
  <c r="G1413" i="2"/>
  <c r="I1413" i="2"/>
  <c r="G761" i="2"/>
  <c r="I1140" i="2"/>
  <c r="I1312" i="2"/>
  <c r="I1307" i="2"/>
  <c r="I1324" i="2"/>
  <c r="I1313" i="2"/>
  <c r="I1311" i="2"/>
  <c r="I1308" i="2"/>
  <c r="I1303" i="2"/>
  <c r="I1304" i="2"/>
  <c r="I1305" i="2"/>
  <c r="I1306" i="2"/>
  <c r="I1309" i="2"/>
  <c r="I1314" i="2"/>
  <c r="I1315" i="2"/>
  <c r="I1316" i="2"/>
  <c r="I1325" i="2"/>
  <c r="I1317" i="2"/>
  <c r="I1318" i="2"/>
  <c r="I1319" i="2"/>
  <c r="I1310" i="2"/>
  <c r="I1296" i="2"/>
  <c r="I1297" i="2"/>
  <c r="I1298" i="2"/>
  <c r="I1289" i="2"/>
  <c r="I1290" i="2"/>
  <c r="I1299" i="2"/>
  <c r="I1300" i="2"/>
  <c r="I1301" i="2"/>
  <c r="I1291" i="2"/>
  <c r="I1302" i="2"/>
  <c r="I1292" i="2"/>
  <c r="I1293" i="2"/>
  <c r="I1284" i="2"/>
  <c r="I1285" i="2"/>
  <c r="I1294" i="2"/>
  <c r="I1295" i="2"/>
  <c r="I1283" i="2"/>
  <c r="I1278" i="2"/>
  <c r="I1279" i="2"/>
  <c r="I1286" i="2"/>
  <c r="I1287" i="2"/>
  <c r="I1288" i="2"/>
  <c r="I1280" i="2"/>
  <c r="I1281" i="2"/>
  <c r="I1282" i="2"/>
  <c r="I1275" i="2"/>
  <c r="I1273" i="2"/>
  <c r="I1269" i="2"/>
  <c r="I1259" i="2"/>
  <c r="I1260" i="2"/>
  <c r="I1261" i="2"/>
  <c r="I1270" i="2"/>
  <c r="I1276" i="2"/>
  <c r="I1277" i="2"/>
  <c r="I1274" i="2"/>
  <c r="I1271" i="2"/>
  <c r="I1262" i="2"/>
  <c r="I1263" i="2"/>
  <c r="I1264" i="2"/>
  <c r="I1265" i="2"/>
  <c r="I1266" i="2"/>
  <c r="I1272" i="2"/>
  <c r="I1267" i="2"/>
  <c r="I1258" i="2"/>
  <c r="I1252" i="2"/>
  <c r="I1253" i="2"/>
  <c r="I1268" i="2"/>
  <c r="I1246" i="2"/>
  <c r="I1247" i="2"/>
  <c r="I1248" i="2"/>
  <c r="I1249" i="2"/>
  <c r="I1254" i="2"/>
  <c r="I1255" i="2"/>
  <c r="I1256" i="2"/>
  <c r="I1257" i="2"/>
  <c r="I1250" i="2"/>
  <c r="I1251" i="2"/>
  <c r="I1245" i="2"/>
  <c r="I1241" i="2"/>
  <c r="I1240" i="2"/>
  <c r="I1242" i="2"/>
  <c r="I1235" i="2"/>
  <c r="I1236" i="2"/>
  <c r="I1243" i="2"/>
  <c r="I1239" i="2"/>
  <c r="I1244" i="2"/>
  <c r="I1233" i="2"/>
  <c r="I1237" i="2"/>
  <c r="I1234" i="2"/>
  <c r="I1222" i="2"/>
  <c r="I1223" i="2"/>
  <c r="I1238" i="2"/>
  <c r="I1217" i="2"/>
  <c r="I1218" i="2"/>
  <c r="I1224" i="2"/>
  <c r="I1221" i="2"/>
  <c r="I1219" i="2"/>
  <c r="I1220" i="2"/>
  <c r="I1216" i="2"/>
  <c r="I1225" i="2"/>
  <c r="I1226" i="2"/>
  <c r="I1227" i="2"/>
  <c r="I1228" i="2"/>
  <c r="I1229" i="2"/>
  <c r="I1230" i="2"/>
  <c r="I1231" i="2"/>
  <c r="I1232" i="2"/>
  <c r="I1209" i="2"/>
  <c r="I1210" i="2"/>
  <c r="I1211" i="2"/>
  <c r="I1212" i="2"/>
  <c r="I1197" i="2"/>
  <c r="I1198" i="2"/>
  <c r="I1199" i="2"/>
  <c r="I1213" i="2"/>
  <c r="I1214" i="2"/>
  <c r="I1200" i="2"/>
  <c r="I1215" i="2"/>
  <c r="I1201" i="2"/>
  <c r="I1202" i="2"/>
  <c r="I1203" i="2"/>
  <c r="I1191" i="2"/>
  <c r="I1192" i="2"/>
  <c r="I1193" i="2"/>
  <c r="I1204" i="2"/>
  <c r="I1205" i="2"/>
  <c r="I1206" i="2"/>
  <c r="I1194" i="2"/>
  <c r="I1207" i="2"/>
  <c r="I1208" i="2"/>
  <c r="I1195" i="2"/>
  <c r="I1186" i="2"/>
  <c r="I1187" i="2"/>
  <c r="I1196" i="2"/>
  <c r="I1188" i="2"/>
  <c r="I1184" i="2"/>
  <c r="I1189" i="2"/>
  <c r="I1190" i="2"/>
  <c r="I1175" i="2"/>
  <c r="I1176" i="2"/>
  <c r="I1177" i="2"/>
  <c r="I1185" i="2"/>
  <c r="I1178" i="2"/>
  <c r="I1181" i="2"/>
  <c r="I1182" i="2"/>
  <c r="I1183" i="2"/>
  <c r="I1168" i="2"/>
  <c r="I1169" i="2"/>
  <c r="I1179" i="2"/>
  <c r="I1180" i="2"/>
  <c r="I1163" i="2"/>
  <c r="I1170" i="2"/>
  <c r="I1171" i="2"/>
  <c r="I1172" i="2"/>
  <c r="I1173" i="2"/>
  <c r="I1174" i="2"/>
  <c r="I1164" i="2"/>
  <c r="I1155" i="2"/>
  <c r="I1156" i="2"/>
  <c r="I1165" i="2"/>
  <c r="I1166" i="2"/>
  <c r="I1157" i="2"/>
  <c r="I1167" i="2"/>
  <c r="I1158" i="2"/>
  <c r="I1159" i="2"/>
  <c r="I1160" i="2"/>
  <c r="I1152" i="2"/>
  <c r="I1161" i="2"/>
  <c r="I1162" i="2"/>
  <c r="I1143" i="2"/>
  <c r="I1153" i="2"/>
  <c r="I1154" i="2"/>
  <c r="I1144" i="2"/>
  <c r="I1141" i="2"/>
  <c r="I1145" i="2"/>
  <c r="I1146" i="2"/>
  <c r="I1147" i="2"/>
  <c r="I1148" i="2"/>
  <c r="I1149" i="2"/>
  <c r="I1150" i="2"/>
  <c r="I1151" i="2"/>
  <c r="I1142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91" i="2"/>
  <c r="I692" i="2"/>
  <c r="I689" i="2"/>
  <c r="I690" i="2"/>
  <c r="I672" i="2"/>
  <c r="I673" i="2"/>
  <c r="I674" i="2"/>
  <c r="I669" i="2"/>
  <c r="I671" i="2"/>
  <c r="I670" i="2"/>
  <c r="I661" i="2"/>
  <c r="I662" i="2"/>
  <c r="I663" i="2"/>
  <c r="I664" i="2"/>
  <c r="I665" i="2"/>
  <c r="I666" i="2"/>
  <c r="I667" i="2"/>
  <c r="I668" i="2"/>
  <c r="I653" i="2"/>
  <c r="I654" i="2"/>
  <c r="I655" i="2"/>
  <c r="I656" i="2"/>
  <c r="I657" i="2"/>
  <c r="I658" i="2"/>
  <c r="I659" i="2"/>
  <c r="I660" i="2"/>
  <c r="I648" i="2"/>
  <c r="I649" i="2"/>
  <c r="I650" i="2"/>
  <c r="I651" i="2"/>
  <c r="I652" i="2"/>
  <c r="I639" i="2"/>
  <c r="I640" i="2"/>
  <c r="I641" i="2"/>
  <c r="I642" i="2"/>
  <c r="I643" i="2"/>
  <c r="I644" i="2"/>
  <c r="I645" i="2"/>
  <c r="I646" i="2"/>
  <c r="I647" i="2"/>
  <c r="I625" i="2"/>
  <c r="I626" i="2"/>
  <c r="I638" i="2"/>
  <c r="I627" i="2"/>
  <c r="I628" i="2"/>
  <c r="I629" i="2"/>
  <c r="I630" i="2"/>
  <c r="I637" i="2"/>
  <c r="I631" i="2"/>
  <c r="I632" i="2"/>
  <c r="I633" i="2"/>
  <c r="I634" i="2"/>
  <c r="I635" i="2"/>
  <c r="I636" i="2"/>
  <c r="I618" i="2"/>
  <c r="I619" i="2"/>
  <c r="I620" i="2"/>
  <c r="I621" i="2"/>
  <c r="I622" i="2"/>
  <c r="I623" i="2"/>
  <c r="I624" i="2"/>
  <c r="I609" i="2"/>
  <c r="I610" i="2"/>
  <c r="I611" i="2"/>
  <c r="I612" i="2"/>
  <c r="I613" i="2"/>
  <c r="I614" i="2"/>
  <c r="I615" i="2"/>
  <c r="I616" i="2"/>
  <c r="I608" i="2"/>
  <c r="I617" i="2"/>
  <c r="I607" i="2"/>
  <c r="I603" i="2"/>
  <c r="I604" i="2"/>
  <c r="I605" i="2"/>
  <c r="I606" i="2"/>
  <c r="I593" i="2"/>
  <c r="I594" i="2"/>
  <c r="I595" i="2"/>
  <c r="I596" i="2"/>
  <c r="I597" i="2"/>
  <c r="I598" i="2"/>
  <c r="I599" i="2"/>
  <c r="I602" i="2"/>
  <c r="I600" i="2"/>
  <c r="I601" i="2"/>
  <c r="I592" i="2"/>
  <c r="I578" i="2"/>
  <c r="I579" i="2"/>
  <c r="I580" i="2"/>
  <c r="I581" i="2"/>
  <c r="I582" i="2"/>
  <c r="I583" i="2"/>
  <c r="I577" i="2"/>
  <c r="I584" i="2"/>
  <c r="I585" i="2"/>
  <c r="I586" i="2"/>
  <c r="I587" i="2"/>
  <c r="I588" i="2"/>
  <c r="I589" i="2"/>
  <c r="I590" i="2"/>
  <c r="I591" i="2"/>
  <c r="I575" i="2"/>
  <c r="I576" i="2"/>
  <c r="I571" i="2"/>
  <c r="I572" i="2"/>
  <c r="I573" i="2"/>
  <c r="I574" i="2"/>
  <c r="I560" i="2"/>
  <c r="I561" i="2"/>
  <c r="I562" i="2"/>
  <c r="I563" i="2"/>
  <c r="I564" i="2"/>
  <c r="I565" i="2"/>
  <c r="I566" i="2"/>
  <c r="I567" i="2"/>
  <c r="I568" i="2"/>
  <c r="I569" i="2"/>
  <c r="I570" i="2"/>
  <c r="I551" i="2"/>
  <c r="I552" i="2"/>
  <c r="I553" i="2"/>
  <c r="I554" i="2"/>
  <c r="I555" i="2"/>
  <c r="I556" i="2"/>
  <c r="I557" i="2"/>
  <c r="I558" i="2"/>
  <c r="I559" i="2"/>
  <c r="I547" i="2"/>
  <c r="I548" i="2"/>
  <c r="I549" i="2"/>
  <c r="I550" i="2"/>
  <c r="I546" i="2"/>
  <c r="I545" i="2"/>
  <c r="I521" i="2"/>
  <c r="I522" i="2"/>
  <c r="I523" i="2"/>
  <c r="I520" i="2"/>
  <c r="I524" i="2"/>
  <c r="I519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18" i="2"/>
  <c r="I516" i="2"/>
  <c r="I517" i="2"/>
  <c r="I504" i="2"/>
  <c r="I505" i="2"/>
  <c r="I506" i="2"/>
  <c r="I507" i="2"/>
  <c r="I508" i="2"/>
  <c r="I509" i="2"/>
  <c r="I515" i="2"/>
  <c r="I510" i="2"/>
  <c r="I511" i="2"/>
  <c r="I512" i="2"/>
  <c r="I513" i="2"/>
  <c r="I514" i="2"/>
  <c r="I500" i="2"/>
  <c r="I501" i="2"/>
  <c r="I502" i="2"/>
  <c r="I503" i="2"/>
  <c r="I499" i="2"/>
  <c r="I491" i="2"/>
  <c r="I492" i="2"/>
  <c r="I493" i="2"/>
  <c r="I494" i="2"/>
  <c r="I495" i="2"/>
  <c r="I496" i="2"/>
  <c r="I497" i="2"/>
  <c r="I498" i="2"/>
  <c r="I482" i="2"/>
  <c r="I483" i="2"/>
  <c r="I484" i="2"/>
  <c r="I485" i="2"/>
  <c r="I486" i="2"/>
  <c r="I487" i="2"/>
  <c r="I488" i="2"/>
  <c r="I489" i="2"/>
  <c r="I490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51" i="2"/>
  <c r="I468" i="2"/>
  <c r="I469" i="2"/>
  <c r="I470" i="2"/>
  <c r="I450" i="2"/>
  <c r="I471" i="2"/>
  <c r="I472" i="2"/>
  <c r="I473" i="2"/>
  <c r="I474" i="2"/>
  <c r="I475" i="2"/>
  <c r="I476" i="2"/>
  <c r="I477" i="2"/>
  <c r="I478" i="2"/>
  <c r="I479" i="2"/>
  <c r="I480" i="2"/>
  <c r="I481" i="2"/>
  <c r="I447" i="2"/>
  <c r="I448" i="2"/>
  <c r="I449" i="2"/>
  <c r="I435" i="2"/>
  <c r="I446" i="2"/>
  <c r="I436" i="2"/>
  <c r="I437" i="2"/>
  <c r="I438" i="2"/>
  <c r="I439" i="2"/>
  <c r="I440" i="2"/>
  <c r="I426" i="2"/>
  <c r="I427" i="2"/>
  <c r="I428" i="2"/>
  <c r="I429" i="2"/>
  <c r="I430" i="2"/>
  <c r="I441" i="2"/>
  <c r="I442" i="2"/>
  <c r="I443" i="2"/>
  <c r="I444" i="2"/>
  <c r="I431" i="2"/>
  <c r="I432" i="2"/>
  <c r="I433" i="2"/>
  <c r="I434" i="2"/>
  <c r="I445" i="2"/>
  <c r="I420" i="2"/>
  <c r="I421" i="2"/>
  <c r="I422" i="2"/>
  <c r="I423" i="2"/>
  <c r="I424" i="2"/>
  <c r="I425" i="2"/>
  <c r="I413" i="2"/>
  <c r="I419" i="2"/>
  <c r="I414" i="2"/>
  <c r="I415" i="2"/>
  <c r="I416" i="2"/>
  <c r="I417" i="2"/>
  <c r="I418" i="2"/>
  <c r="I398" i="2"/>
  <c r="I412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397" i="2"/>
  <c r="I396" i="2"/>
  <c r="I390" i="2"/>
  <c r="I391" i="2"/>
  <c r="I392" i="2"/>
  <c r="I393" i="2"/>
  <c r="I394" i="2"/>
  <c r="I395" i="2"/>
  <c r="I387" i="2"/>
  <c r="I388" i="2"/>
  <c r="I389" i="2"/>
  <c r="I382" i="2"/>
  <c r="I383" i="2"/>
  <c r="I384" i="2"/>
  <c r="I385" i="2"/>
  <c r="I386" i="2"/>
  <c r="I377" i="2"/>
  <c r="I378" i="2"/>
  <c r="I379" i="2"/>
  <c r="I380" i="2"/>
  <c r="I381" i="2"/>
  <c r="I356" i="2"/>
  <c r="I357" i="2"/>
  <c r="I358" i="2"/>
  <c r="I359" i="2"/>
  <c r="I360" i="2"/>
  <c r="I361" i="2"/>
  <c r="I362" i="2"/>
  <c r="I376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53" i="2"/>
  <c r="I354" i="2"/>
  <c r="I355" i="2"/>
  <c r="I351" i="2"/>
  <c r="I352" i="2"/>
  <c r="I350" i="2"/>
  <c r="I345" i="2"/>
  <c r="I346" i="2"/>
  <c r="I347" i="2"/>
  <c r="I348" i="2"/>
  <c r="I349" i="2"/>
  <c r="I339" i="2"/>
  <c r="I340" i="2"/>
  <c r="I341" i="2"/>
  <c r="I342" i="2"/>
  <c r="I343" i="2"/>
  <c r="I344" i="2"/>
  <c r="I332" i="2"/>
  <c r="I333" i="2"/>
  <c r="I334" i="2"/>
  <c r="I335" i="2"/>
  <c r="I336" i="2"/>
  <c r="I337" i="2"/>
  <c r="I33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299" i="2"/>
  <c r="I297" i="2"/>
  <c r="I286" i="2"/>
  <c r="I287" i="2"/>
  <c r="I288" i="2"/>
  <c r="I289" i="2"/>
  <c r="I290" i="2"/>
  <c r="I291" i="2"/>
  <c r="I292" i="2"/>
  <c r="I293" i="2"/>
  <c r="I294" i="2"/>
  <c r="I295" i="2"/>
  <c r="I296" i="2"/>
  <c r="I298" i="2"/>
  <c r="I275" i="2"/>
  <c r="I276" i="2"/>
  <c r="I277" i="2"/>
  <c r="I278" i="2"/>
  <c r="I279" i="2"/>
  <c r="I280" i="2"/>
  <c r="I281" i="2"/>
  <c r="I282" i="2"/>
  <c r="I283" i="2"/>
  <c r="I284" i="2"/>
  <c r="I285" i="2"/>
  <c r="I269" i="2"/>
  <c r="I270" i="2"/>
  <c r="I271" i="2"/>
  <c r="I272" i="2"/>
  <c r="I273" i="2"/>
  <c r="I274" i="2"/>
  <c r="I268" i="2"/>
  <c r="I262" i="2"/>
  <c r="I263" i="2"/>
  <c r="I264" i="2"/>
  <c r="I265" i="2"/>
  <c r="I266" i="2"/>
  <c r="I267" i="2"/>
  <c r="I241" i="2"/>
  <c r="I242" i="2"/>
  <c r="I243" i="2"/>
  <c r="I244" i="2"/>
  <c r="I245" i="2"/>
  <c r="I246" i="2"/>
  <c r="I247" i="2"/>
  <c r="I240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39" i="2"/>
  <c r="I238" i="2"/>
  <c r="I236" i="2"/>
  <c r="I237" i="2"/>
  <c r="I233" i="2"/>
  <c r="I228" i="2"/>
  <c r="I227" i="2"/>
  <c r="I230" i="2"/>
  <c r="I231" i="2"/>
  <c r="I234" i="2"/>
  <c r="I229" i="2"/>
  <c r="I232" i="2"/>
  <c r="I226" i="2"/>
  <c r="I221" i="2"/>
  <c r="I222" i="2"/>
  <c r="I223" i="2"/>
  <c r="I235" i="2"/>
  <c r="I224" i="2"/>
  <c r="I218" i="2"/>
  <c r="I220" i="2"/>
  <c r="I225" i="2"/>
  <c r="I219" i="2"/>
  <c r="I215" i="2"/>
  <c r="I217" i="2"/>
  <c r="I216" i="2"/>
  <c r="I214" i="2"/>
  <c r="I213" i="2"/>
  <c r="I211" i="2"/>
  <c r="I210" i="2"/>
  <c r="I212" i="2"/>
  <c r="I209" i="2"/>
  <c r="I207" i="2"/>
  <c r="I208" i="2"/>
  <c r="I205" i="2"/>
  <c r="I202" i="2"/>
  <c r="I198" i="2"/>
  <c r="I203" i="2"/>
  <c r="I199" i="2"/>
  <c r="I192" i="2"/>
  <c r="I194" i="2"/>
  <c r="I189" i="2"/>
  <c r="I193" i="2"/>
  <c r="I190" i="2"/>
  <c r="I188" i="2"/>
  <c r="I191" i="2"/>
  <c r="I197" i="2"/>
  <c r="I195" i="2"/>
  <c r="I196" i="2"/>
  <c r="I206" i="2"/>
  <c r="I201" i="2"/>
  <c r="I200" i="2"/>
  <c r="I204" i="2"/>
  <c r="I186" i="2"/>
  <c r="I187" i="2"/>
  <c r="I180" i="2"/>
  <c r="I183" i="2"/>
  <c r="I184" i="2"/>
  <c r="I182" i="2"/>
  <c r="I185" i="2"/>
  <c r="I179" i="2"/>
  <c r="I181" i="2"/>
  <c r="I178" i="2"/>
  <c r="I175" i="2"/>
  <c r="I177" i="2"/>
  <c r="I174" i="2"/>
  <c r="I176" i="2"/>
  <c r="I173" i="2"/>
  <c r="I172" i="2"/>
  <c r="I166" i="2"/>
  <c r="I169" i="2"/>
  <c r="I170" i="2"/>
  <c r="I171" i="2"/>
  <c r="I167" i="2"/>
  <c r="I168" i="2"/>
  <c r="I165" i="2"/>
  <c r="I162" i="2"/>
  <c r="I159" i="2"/>
  <c r="I155" i="2"/>
  <c r="I164" i="2"/>
  <c r="I158" i="2"/>
  <c r="I157" i="2"/>
  <c r="I152" i="2"/>
  <c r="I149" i="2"/>
  <c r="I156" i="2"/>
  <c r="I160" i="2"/>
  <c r="I163" i="2"/>
  <c r="I161" i="2"/>
  <c r="I153" i="2"/>
  <c r="I151" i="2"/>
  <c r="I154" i="2"/>
  <c r="I147" i="2"/>
  <c r="I150" i="2"/>
  <c r="I148" i="2"/>
  <c r="I146" i="2"/>
  <c r="I145" i="2"/>
  <c r="I143" i="2"/>
  <c r="I144" i="2"/>
  <c r="I135" i="2"/>
  <c r="I137" i="2"/>
  <c r="I138" i="2"/>
  <c r="I136" i="2"/>
  <c r="I142" i="2"/>
  <c r="I139" i="2"/>
  <c r="I140" i="2"/>
  <c r="I141" i="2"/>
  <c r="I127" i="2"/>
  <c r="I126" i="2"/>
  <c r="I131" i="2"/>
  <c r="I132" i="2"/>
  <c r="I130" i="2"/>
  <c r="I128" i="2"/>
  <c r="I134" i="2"/>
  <c r="I133" i="2"/>
  <c r="I129" i="2"/>
  <c r="I123" i="2"/>
  <c r="I125" i="2"/>
  <c r="I124" i="2"/>
  <c r="I119" i="2"/>
  <c r="I121" i="2"/>
  <c r="I120" i="2"/>
  <c r="I116" i="2"/>
  <c r="I118" i="2"/>
  <c r="I117" i="2"/>
  <c r="I122" i="2"/>
  <c r="I115" i="2"/>
  <c r="I114" i="2"/>
  <c r="I110" i="2"/>
  <c r="I112" i="2"/>
  <c r="I113" i="2"/>
  <c r="I111" i="2"/>
  <c r="I108" i="2"/>
  <c r="I109" i="2"/>
  <c r="I99" i="2"/>
  <c r="I101" i="2"/>
  <c r="I88" i="2"/>
  <c r="I106" i="2"/>
  <c r="I104" i="2"/>
  <c r="I105" i="2"/>
  <c r="I93" i="2"/>
  <c r="I95" i="2"/>
  <c r="I98" i="2"/>
  <c r="I90" i="2"/>
  <c r="I91" i="2"/>
  <c r="I92" i="2"/>
  <c r="I89" i="2"/>
  <c r="I103" i="2"/>
  <c r="I107" i="2"/>
  <c r="I100" i="2"/>
  <c r="I94" i="2"/>
  <c r="I102" i="2"/>
  <c r="I96" i="2"/>
  <c r="I97" i="2"/>
  <c r="I87" i="2"/>
  <c r="I86" i="2"/>
  <c r="I85" i="2"/>
  <c r="I84" i="2"/>
  <c r="I83" i="2"/>
  <c r="I78" i="2"/>
  <c r="I79" i="2"/>
  <c r="I82" i="2"/>
  <c r="I80" i="2"/>
  <c r="I81" i="2"/>
  <c r="I72" i="2"/>
  <c r="I75" i="2"/>
  <c r="I77" i="2"/>
  <c r="I76" i="2"/>
  <c r="I73" i="2"/>
  <c r="I74" i="2"/>
  <c r="I71" i="2"/>
  <c r="I60" i="2"/>
  <c r="I69" i="2"/>
  <c r="I68" i="2"/>
  <c r="I70" i="2"/>
  <c r="I61" i="2"/>
  <c r="I63" i="2"/>
  <c r="I64" i="2"/>
  <c r="I67" i="2"/>
  <c r="I65" i="2"/>
  <c r="I66" i="2"/>
  <c r="I62" i="2"/>
  <c r="I59" i="2"/>
  <c r="I55" i="2"/>
  <c r="I52" i="2"/>
  <c r="I53" i="2"/>
  <c r="I58" i="2"/>
  <c r="I56" i="2"/>
  <c r="I57" i="2"/>
  <c r="I54" i="2"/>
  <c r="I34" i="2"/>
  <c r="I41" i="2"/>
  <c r="I44" i="2"/>
  <c r="I37" i="2"/>
  <c r="I39" i="2"/>
  <c r="I42" i="2"/>
  <c r="I35" i="2"/>
  <c r="I38" i="2"/>
  <c r="I48" i="2"/>
  <c r="I49" i="2"/>
  <c r="I51" i="2"/>
  <c r="I40" i="2"/>
  <c r="I45" i="2"/>
  <c r="I47" i="2"/>
  <c r="I50" i="2"/>
  <c r="I36" i="2"/>
  <c r="I46" i="2"/>
  <c r="I43" i="2"/>
  <c r="I33" i="2"/>
  <c r="I32" i="2"/>
  <c r="I29" i="2"/>
  <c r="I30" i="2"/>
  <c r="I31" i="2"/>
  <c r="I28" i="2"/>
  <c r="I14" i="2"/>
  <c r="I27" i="2"/>
  <c r="I16" i="2"/>
  <c r="I18" i="2"/>
  <c r="I22" i="2"/>
  <c r="I21" i="2"/>
  <c r="I15" i="2"/>
  <c r="I25" i="2"/>
  <c r="I23" i="2"/>
  <c r="I24" i="2"/>
  <c r="I26" i="2"/>
  <c r="I20" i="2"/>
  <c r="I19" i="2"/>
  <c r="I17" i="2"/>
  <c r="I12" i="2"/>
  <c r="I8" i="2"/>
  <c r="I6" i="2"/>
  <c r="I10" i="2"/>
  <c r="I5" i="2"/>
  <c r="I13" i="2"/>
  <c r="I9" i="2"/>
  <c r="I11" i="2"/>
  <c r="I7" i="2"/>
  <c r="I4" i="2"/>
  <c r="I1118" i="2"/>
  <c r="I1108" i="2"/>
  <c r="I1107" i="2"/>
  <c r="I1099" i="2"/>
  <c r="I1139" i="2"/>
  <c r="I1095" i="2"/>
  <c r="I1096" i="2"/>
  <c r="I1105" i="2"/>
  <c r="I1089" i="2"/>
  <c r="I1087" i="2"/>
  <c r="I1079" i="2"/>
  <c r="I1078" i="2"/>
  <c r="I1085" i="2"/>
  <c r="I1074" i="2"/>
  <c r="I1064" i="2"/>
  <c r="I1059" i="2"/>
  <c r="I1053" i="2"/>
  <c r="I1054" i="2"/>
  <c r="I1060" i="2"/>
  <c r="I1069" i="2"/>
  <c r="I1063" i="2"/>
  <c r="I1043" i="2"/>
  <c r="I1044" i="2"/>
  <c r="I1045" i="2"/>
  <c r="I1046" i="2"/>
  <c r="I1047" i="2"/>
  <c r="I1049" i="2"/>
  <c r="I1041" i="2"/>
  <c r="I1037" i="2"/>
  <c r="I1042" i="2"/>
  <c r="I1033" i="2"/>
  <c r="I1028" i="2"/>
  <c r="I1034" i="2"/>
  <c r="I1029" i="2"/>
  <c r="I1016" i="2"/>
  <c r="I1009" i="2"/>
  <c r="I1018" i="2"/>
  <c r="I1020" i="2"/>
  <c r="I1021" i="2"/>
  <c r="I1015" i="2"/>
  <c r="I1013" i="2"/>
  <c r="I1014" i="2"/>
  <c r="I998" i="2"/>
  <c r="I999" i="2"/>
  <c r="I992" i="2"/>
  <c r="I1004" i="2"/>
  <c r="I1005" i="2"/>
  <c r="I1006" i="2"/>
  <c r="I986" i="2"/>
  <c r="I987" i="2"/>
  <c r="I993" i="2"/>
  <c r="I996" i="2"/>
  <c r="I985" i="2"/>
  <c r="I984" i="2"/>
  <c r="I974" i="2"/>
  <c r="I975" i="2"/>
  <c r="I990" i="2"/>
  <c r="I976" i="2"/>
  <c r="I977" i="2"/>
  <c r="I978" i="2"/>
  <c r="I983" i="2"/>
  <c r="I981" i="2"/>
  <c r="I963" i="2"/>
  <c r="I964" i="2"/>
  <c r="I965" i="2"/>
  <c r="I961" i="2"/>
  <c r="I972" i="2"/>
  <c r="I938" i="2"/>
  <c r="I940" i="2"/>
  <c r="I937" i="2"/>
  <c r="I944" i="2"/>
  <c r="I945" i="2"/>
  <c r="I948" i="2"/>
  <c r="I949" i="2"/>
  <c r="I955" i="2"/>
  <c r="I939" i="2"/>
  <c r="I932" i="2"/>
  <c r="I914" i="2"/>
  <c r="I921" i="2"/>
  <c r="I922" i="2"/>
  <c r="I923" i="2"/>
  <c r="I924" i="2"/>
  <c r="I931" i="2"/>
  <c r="I925" i="2"/>
  <c r="I913" i="2"/>
  <c r="I930" i="2"/>
  <c r="I894" i="2"/>
  <c r="I895" i="2"/>
  <c r="I896" i="2"/>
  <c r="I899" i="2"/>
  <c r="I901" i="2"/>
  <c r="I908" i="2"/>
  <c r="I891" i="2"/>
  <c r="I893" i="2"/>
  <c r="I892" i="2"/>
  <c r="I886" i="2"/>
  <c r="I882" i="2"/>
  <c r="I881" i="2"/>
  <c r="I871" i="2"/>
  <c r="I876" i="2"/>
  <c r="I877" i="2"/>
  <c r="I878" i="2"/>
  <c r="I844" i="2"/>
  <c r="I845" i="2"/>
  <c r="I846" i="2"/>
  <c r="I847" i="2"/>
  <c r="I856" i="2"/>
  <c r="I857" i="2"/>
  <c r="I858" i="2"/>
  <c r="I864" i="2"/>
  <c r="I867" i="2"/>
  <c r="I835" i="2"/>
  <c r="I837" i="2"/>
  <c r="I828" i="2"/>
  <c r="I831" i="2"/>
  <c r="I822" i="2"/>
  <c r="I800" i="2"/>
  <c r="I803" i="2"/>
  <c r="I804" i="2"/>
  <c r="I805" i="2"/>
  <c r="I806" i="2"/>
  <c r="I807" i="2"/>
  <c r="I799" i="2"/>
  <c r="I812" i="2"/>
  <c r="I798" i="2"/>
  <c r="I786" i="2"/>
  <c r="I792" i="2"/>
  <c r="I790" i="2"/>
  <c r="I791" i="2"/>
  <c r="I779" i="2"/>
  <c r="I785" i="2"/>
  <c r="I770" i="2"/>
  <c r="I771" i="2"/>
  <c r="I769" i="2"/>
  <c r="I774" i="2"/>
  <c r="I772" i="2"/>
  <c r="I756" i="2"/>
  <c r="I761" i="2"/>
  <c r="I762" i="2"/>
  <c r="I764" i="2"/>
  <c r="I765" i="2"/>
  <c r="I767" i="2"/>
  <c r="I768" i="2"/>
  <c r="I766" i="2"/>
  <c r="I742" i="2"/>
  <c r="I754" i="2"/>
  <c r="I745" i="2"/>
  <c r="I740" i="2"/>
  <c r="I741" i="2"/>
  <c r="I748" i="2"/>
  <c r="I739" i="2"/>
  <c r="I738" i="2"/>
  <c r="I734" i="2"/>
  <c r="I736" i="2"/>
  <c r="I727" i="2"/>
  <c r="I728" i="2"/>
  <c r="I730" i="2"/>
  <c r="I731" i="2"/>
  <c r="I732" i="2"/>
  <c r="I718" i="2"/>
  <c r="I712" i="2"/>
  <c r="I719" i="2"/>
  <c r="I720" i="2"/>
  <c r="I706" i="2"/>
  <c r="I708" i="2"/>
  <c r="I709" i="2"/>
  <c r="I710" i="2"/>
  <c r="I711" i="2"/>
  <c r="I705" i="2"/>
  <c r="I698" i="2"/>
  <c r="I699" i="2"/>
  <c r="I700" i="2"/>
  <c r="I701" i="2"/>
  <c r="I703" i="2"/>
  <c r="H1130" i="2"/>
  <c r="H1131" i="2"/>
  <c r="H1132" i="2"/>
  <c r="H1133" i="2"/>
  <c r="H1134" i="2"/>
  <c r="H1135" i="2"/>
  <c r="H1136" i="2"/>
  <c r="H1125" i="2"/>
  <c r="H1126" i="2"/>
  <c r="H1127" i="2"/>
  <c r="H1137" i="2"/>
  <c r="H1138" i="2"/>
  <c r="H1119" i="2"/>
  <c r="H1120" i="2"/>
  <c r="H1121" i="2"/>
  <c r="H1122" i="2"/>
  <c r="H1128" i="2"/>
  <c r="H1123" i="2"/>
  <c r="H1118" i="2"/>
  <c r="H1124" i="2"/>
  <c r="H1109" i="2"/>
  <c r="H1110" i="2"/>
  <c r="H1140" i="2"/>
  <c r="H1108" i="2"/>
  <c r="H1107" i="2"/>
  <c r="H1097" i="2"/>
  <c r="H1098" i="2"/>
  <c r="H1099" i="2"/>
  <c r="H1111" i="2"/>
  <c r="H1112" i="2"/>
  <c r="H1113" i="2"/>
  <c r="H1114" i="2"/>
  <c r="H1115" i="2"/>
  <c r="H1116" i="2"/>
  <c r="H1139" i="2"/>
  <c r="H1117" i="2"/>
  <c r="H1094" i="2"/>
  <c r="H1095" i="2"/>
  <c r="H1096" i="2"/>
  <c r="H1100" i="2"/>
  <c r="H1101" i="2"/>
  <c r="H1102" i="2"/>
  <c r="H1103" i="2"/>
  <c r="H1104" i="2"/>
  <c r="H1105" i="2"/>
  <c r="H1106" i="2"/>
  <c r="H1090" i="2"/>
  <c r="H1091" i="2"/>
  <c r="H1092" i="2"/>
  <c r="H1089" i="2"/>
  <c r="H1086" i="2"/>
  <c r="H1087" i="2"/>
  <c r="H1093" i="2"/>
  <c r="H1058" i="2"/>
  <c r="H1079" i="2"/>
  <c r="H1080" i="2"/>
  <c r="H1078" i="2"/>
  <c r="H1088" i="2"/>
  <c r="H1085" i="2"/>
  <c r="H1081" i="2"/>
  <c r="H1082" i="2"/>
  <c r="H1083" i="2"/>
  <c r="H1084" i="2"/>
  <c r="H1074" i="2"/>
  <c r="H1072" i="2"/>
  <c r="H1075" i="2"/>
  <c r="H1076" i="2"/>
  <c r="H1077" i="2"/>
  <c r="H1064" i="2"/>
  <c r="H1073" i="2"/>
  <c r="H1065" i="2"/>
  <c r="H1066" i="2"/>
  <c r="H1067" i="2"/>
  <c r="H1059" i="2"/>
  <c r="H1053" i="2"/>
  <c r="H1054" i="2"/>
  <c r="H1060" i="2"/>
  <c r="H1068" i="2"/>
  <c r="H1069" i="2"/>
  <c r="H1070" i="2"/>
  <c r="H1071" i="2"/>
  <c r="H1061" i="2"/>
  <c r="H1063" i="2"/>
  <c r="H1062" i="2"/>
  <c r="H1055" i="2"/>
  <c r="H1057" i="2"/>
  <c r="H1038" i="2"/>
  <c r="H1039" i="2"/>
  <c r="H1043" i="2"/>
  <c r="H1056" i="2"/>
  <c r="H1044" i="2"/>
  <c r="H1045" i="2"/>
  <c r="H1046" i="2"/>
  <c r="H1047" i="2"/>
  <c r="H1048" i="2"/>
  <c r="H1049" i="2"/>
  <c r="H1050" i="2"/>
  <c r="H1051" i="2"/>
  <c r="H1052" i="2"/>
  <c r="H1041" i="2"/>
  <c r="H1037" i="2"/>
  <c r="H1042" i="2"/>
  <c r="H1040" i="2"/>
  <c r="H1033" i="2"/>
  <c r="H1035" i="2"/>
  <c r="H1036" i="2"/>
  <c r="H1028" i="2"/>
  <c r="H1034" i="2"/>
  <c r="H1029" i="2"/>
  <c r="H1030" i="2"/>
  <c r="H1031" i="2"/>
  <c r="H1032" i="2"/>
  <c r="H1017" i="2"/>
  <c r="H1016" i="2"/>
  <c r="H1009" i="2"/>
  <c r="H1018" i="2"/>
  <c r="H1019" i="2"/>
  <c r="H1020" i="2"/>
  <c r="H1021" i="2"/>
  <c r="H1022" i="2"/>
  <c r="H1023" i="2"/>
  <c r="H1024" i="2"/>
  <c r="H1025" i="2"/>
  <c r="H1026" i="2"/>
  <c r="H1027" i="2"/>
  <c r="H1015" i="2"/>
  <c r="H1010" i="2"/>
  <c r="H1011" i="2"/>
  <c r="H1013" i="2"/>
  <c r="H1014" i="2"/>
  <c r="H998" i="2"/>
  <c r="H999" i="2"/>
  <c r="H1012" i="2"/>
  <c r="H1000" i="2"/>
  <c r="H1001" i="2"/>
  <c r="H1002" i="2"/>
  <c r="H991" i="2"/>
  <c r="H1003" i="2"/>
  <c r="H992" i="2"/>
  <c r="H1004" i="2"/>
  <c r="H1005" i="2"/>
  <c r="H1006" i="2"/>
  <c r="H1007" i="2"/>
  <c r="H1008" i="2"/>
  <c r="H986" i="2"/>
  <c r="H987" i="2"/>
  <c r="H993" i="2"/>
  <c r="H994" i="2"/>
  <c r="H995" i="2"/>
  <c r="H996" i="2"/>
  <c r="H997" i="2"/>
  <c r="H985" i="2"/>
  <c r="H973" i="2"/>
  <c r="H988" i="2"/>
  <c r="H984" i="2"/>
  <c r="H974" i="2"/>
  <c r="H975" i="2"/>
  <c r="H989" i="2"/>
  <c r="H990" i="2"/>
  <c r="H976" i="2"/>
  <c r="H977" i="2"/>
  <c r="H978" i="2"/>
  <c r="H983" i="2"/>
  <c r="H979" i="2"/>
  <c r="H980" i="2"/>
  <c r="H981" i="2"/>
  <c r="H982" i="2"/>
  <c r="H962" i="2"/>
  <c r="H963" i="2"/>
  <c r="H964" i="2"/>
  <c r="H965" i="2"/>
  <c r="H966" i="2"/>
  <c r="H967" i="2"/>
  <c r="H968" i="2"/>
  <c r="H969" i="2"/>
  <c r="H970" i="2"/>
  <c r="H971" i="2"/>
  <c r="H961" i="2"/>
  <c r="H972" i="2"/>
  <c r="H958" i="2"/>
  <c r="H959" i="2"/>
  <c r="H960" i="2"/>
  <c r="H957" i="2"/>
  <c r="H938" i="2"/>
  <c r="H940" i="2"/>
  <c r="H941" i="2"/>
  <c r="H942" i="2"/>
  <c r="H943" i="2"/>
  <c r="H937" i="2"/>
  <c r="H944" i="2"/>
  <c r="H945" i="2"/>
  <c r="H956" i="2"/>
  <c r="H946" i="2"/>
  <c r="H947" i="2"/>
  <c r="H948" i="2"/>
  <c r="H949" i="2"/>
  <c r="H950" i="2"/>
  <c r="H951" i="2"/>
  <c r="H955" i="2"/>
  <c r="H939" i="2"/>
  <c r="H952" i="2"/>
  <c r="H953" i="2"/>
  <c r="H954" i="2"/>
  <c r="H932" i="2"/>
  <c r="H933" i="2"/>
  <c r="H934" i="2"/>
  <c r="H935" i="2"/>
  <c r="H915" i="2"/>
  <c r="H916" i="2"/>
  <c r="H917" i="2"/>
  <c r="H918" i="2"/>
  <c r="H919" i="2"/>
  <c r="H914" i="2"/>
  <c r="H920" i="2"/>
  <c r="H921" i="2"/>
  <c r="H922" i="2"/>
  <c r="H923" i="2"/>
  <c r="H924" i="2"/>
  <c r="H931" i="2"/>
  <c r="H925" i="2"/>
  <c r="H926" i="2"/>
  <c r="H927" i="2"/>
  <c r="H929" i="2"/>
  <c r="H910" i="2"/>
  <c r="H911" i="2"/>
  <c r="H912" i="2"/>
  <c r="H913" i="2"/>
  <c r="H930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891" i="2"/>
  <c r="H893" i="2"/>
  <c r="H892" i="2"/>
  <c r="H889" i="2"/>
  <c r="H890" i="2"/>
  <c r="H883" i="2"/>
  <c r="H884" i="2"/>
  <c r="H885" i="2"/>
  <c r="H886" i="2"/>
  <c r="H882" i="2"/>
  <c r="H887" i="2"/>
  <c r="H888" i="2"/>
  <c r="H879" i="2"/>
  <c r="H880" i="2"/>
  <c r="H881" i="2"/>
  <c r="H872" i="2"/>
  <c r="H871" i="2"/>
  <c r="H873" i="2"/>
  <c r="H874" i="2"/>
  <c r="H875" i="2"/>
  <c r="H876" i="2"/>
  <c r="H877" i="2"/>
  <c r="H878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42" i="2"/>
  <c r="H843" i="2"/>
  <c r="H835" i="2"/>
  <c r="H836" i="2"/>
  <c r="H837" i="2"/>
  <c r="H838" i="2"/>
  <c r="H839" i="2"/>
  <c r="H840" i="2"/>
  <c r="H841" i="2"/>
  <c r="H828" i="2"/>
  <c r="H829" i="2"/>
  <c r="H830" i="2"/>
  <c r="H831" i="2"/>
  <c r="H832" i="2"/>
  <c r="H833" i="2"/>
  <c r="H834" i="2"/>
  <c r="H822" i="2"/>
  <c r="H823" i="2"/>
  <c r="H824" i="2"/>
  <c r="H825" i="2"/>
  <c r="H826" i="2"/>
  <c r="H827" i="2"/>
  <c r="H800" i="2"/>
  <c r="H801" i="2"/>
  <c r="H802" i="2"/>
  <c r="H803" i="2"/>
  <c r="H804" i="2"/>
  <c r="H805" i="2"/>
  <c r="H806" i="2"/>
  <c r="H807" i="2"/>
  <c r="H808" i="2"/>
  <c r="H809" i="2"/>
  <c r="H810" i="2"/>
  <c r="H799" i="2"/>
  <c r="H811" i="2"/>
  <c r="H812" i="2"/>
  <c r="H813" i="2"/>
  <c r="H814" i="2"/>
  <c r="H815" i="2"/>
  <c r="H798" i="2"/>
  <c r="H816" i="2"/>
  <c r="H817" i="2"/>
  <c r="H818" i="2"/>
  <c r="H819" i="2"/>
  <c r="H820" i="2"/>
  <c r="H821" i="2"/>
  <c r="H795" i="2"/>
  <c r="H796" i="2"/>
  <c r="H797" i="2"/>
  <c r="H793" i="2"/>
  <c r="H794" i="2"/>
  <c r="H787" i="2"/>
  <c r="H788" i="2"/>
  <c r="H786" i="2"/>
  <c r="H789" i="2"/>
  <c r="H792" i="2"/>
  <c r="H790" i="2"/>
  <c r="H791" i="2"/>
  <c r="H779" i="2"/>
  <c r="H780" i="2"/>
  <c r="H781" i="2"/>
  <c r="H782" i="2"/>
  <c r="H783" i="2"/>
  <c r="H784" i="2"/>
  <c r="H785" i="2"/>
  <c r="H770" i="2"/>
  <c r="H771" i="2"/>
  <c r="H769" i="2"/>
  <c r="H773" i="2"/>
  <c r="H774" i="2"/>
  <c r="H772" i="2"/>
  <c r="H775" i="2"/>
  <c r="H776" i="2"/>
  <c r="H777" i="2"/>
  <c r="H778" i="2"/>
  <c r="H756" i="2"/>
  <c r="H757" i="2"/>
  <c r="H758" i="2"/>
  <c r="H759" i="2"/>
  <c r="H760" i="2"/>
  <c r="H761" i="2"/>
  <c r="H762" i="2"/>
  <c r="H763" i="2"/>
  <c r="H764" i="2"/>
  <c r="H765" i="2"/>
  <c r="H767" i="2"/>
  <c r="H768" i="2"/>
  <c r="H766" i="2"/>
  <c r="H743" i="2"/>
  <c r="H742" i="2"/>
  <c r="H744" i="2"/>
  <c r="H755" i="2"/>
  <c r="H754" i="2"/>
  <c r="H745" i="2"/>
  <c r="H746" i="2"/>
  <c r="H747" i="2"/>
  <c r="H740" i="2"/>
  <c r="H741" i="2"/>
  <c r="H748" i="2"/>
  <c r="H749" i="2"/>
  <c r="H750" i="2"/>
  <c r="H751" i="2"/>
  <c r="H752" i="2"/>
  <c r="H753" i="2"/>
  <c r="H739" i="2"/>
  <c r="H738" i="2"/>
  <c r="H734" i="2"/>
  <c r="H735" i="2"/>
  <c r="H736" i="2"/>
  <c r="H737" i="2"/>
  <c r="H723" i="2"/>
  <c r="H724" i="2"/>
  <c r="H725" i="2"/>
  <c r="H726" i="2"/>
  <c r="H727" i="2"/>
  <c r="H728" i="2"/>
  <c r="H729" i="2"/>
  <c r="H730" i="2"/>
  <c r="H731" i="2"/>
  <c r="H732" i="2"/>
  <c r="H733" i="2"/>
  <c r="H713" i="2"/>
  <c r="H714" i="2"/>
  <c r="H715" i="2"/>
  <c r="H716" i="2"/>
  <c r="H717" i="2"/>
  <c r="H718" i="2"/>
  <c r="H712" i="2"/>
  <c r="H719" i="2"/>
  <c r="H720" i="2"/>
  <c r="H721" i="2"/>
  <c r="H722" i="2"/>
  <c r="H706" i="2"/>
  <c r="H707" i="2"/>
  <c r="H708" i="2"/>
  <c r="H709" i="2"/>
  <c r="H710" i="2"/>
  <c r="H711" i="2"/>
  <c r="H705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F1130" i="2"/>
  <c r="I1130" i="2" s="1"/>
  <c r="F1131" i="2"/>
  <c r="I1131" i="2" s="1"/>
  <c r="F1132" i="2"/>
  <c r="I1132" i="2" s="1"/>
  <c r="F1133" i="2"/>
  <c r="I1133" i="2" s="1"/>
  <c r="F1134" i="2"/>
  <c r="I1134" i="2" s="1"/>
  <c r="F1135" i="2"/>
  <c r="I1135" i="2" s="1"/>
  <c r="F1136" i="2"/>
  <c r="I1136" i="2" s="1"/>
  <c r="F1125" i="2"/>
  <c r="I1125" i="2" s="1"/>
  <c r="F1126" i="2"/>
  <c r="I1126" i="2" s="1"/>
  <c r="F1127" i="2"/>
  <c r="I1127" i="2" s="1"/>
  <c r="F1137" i="2"/>
  <c r="I1137" i="2" s="1"/>
  <c r="F1138" i="2"/>
  <c r="I1138" i="2" s="1"/>
  <c r="F1119" i="2"/>
  <c r="I1119" i="2" s="1"/>
  <c r="F1120" i="2"/>
  <c r="I1120" i="2" s="1"/>
  <c r="F1121" i="2"/>
  <c r="I1121" i="2" s="1"/>
  <c r="F1122" i="2"/>
  <c r="I1122" i="2" s="1"/>
  <c r="F1128" i="2"/>
  <c r="I1128" i="2" s="1"/>
  <c r="F1123" i="2"/>
  <c r="I1123" i="2" s="1"/>
  <c r="I1124" i="2"/>
  <c r="F1109" i="2"/>
  <c r="I1109" i="2" s="1"/>
  <c r="F1110" i="2"/>
  <c r="I1110" i="2" s="1"/>
  <c r="F1097" i="2"/>
  <c r="I1097" i="2" s="1"/>
  <c r="F1098" i="2"/>
  <c r="I1098" i="2" s="1"/>
  <c r="F1111" i="2"/>
  <c r="I1111" i="2" s="1"/>
  <c r="F1112" i="2"/>
  <c r="I1112" i="2" s="1"/>
  <c r="F1113" i="2"/>
  <c r="I1113" i="2" s="1"/>
  <c r="F1114" i="2"/>
  <c r="I1114" i="2" s="1"/>
  <c r="F1115" i="2"/>
  <c r="I1115" i="2" s="1"/>
  <c r="F1116" i="2"/>
  <c r="I1116" i="2" s="1"/>
  <c r="F1117" i="2"/>
  <c r="I1117" i="2" s="1"/>
  <c r="F1094" i="2"/>
  <c r="I1094" i="2" s="1"/>
  <c r="F1100" i="2"/>
  <c r="I1100" i="2" s="1"/>
  <c r="F1101" i="2"/>
  <c r="I1101" i="2" s="1"/>
  <c r="F1102" i="2"/>
  <c r="I1102" i="2" s="1"/>
  <c r="F1103" i="2"/>
  <c r="I1103" i="2" s="1"/>
  <c r="F1104" i="2"/>
  <c r="I1104" i="2" s="1"/>
  <c r="F1106" i="2"/>
  <c r="I1106" i="2" s="1"/>
  <c r="F1090" i="2"/>
  <c r="I1090" i="2" s="1"/>
  <c r="F1091" i="2"/>
  <c r="I1091" i="2" s="1"/>
  <c r="F1092" i="2"/>
  <c r="I1092" i="2" s="1"/>
  <c r="F1086" i="2"/>
  <c r="I1086" i="2" s="1"/>
  <c r="F1093" i="2"/>
  <c r="I1093" i="2" s="1"/>
  <c r="F1058" i="2"/>
  <c r="I1058" i="2" s="1"/>
  <c r="F1080" i="2"/>
  <c r="I1080" i="2" s="1"/>
  <c r="F1088" i="2"/>
  <c r="I1088" i="2" s="1"/>
  <c r="F1081" i="2"/>
  <c r="I1081" i="2" s="1"/>
  <c r="F1082" i="2"/>
  <c r="I1082" i="2" s="1"/>
  <c r="F1083" i="2"/>
  <c r="I1083" i="2" s="1"/>
  <c r="F1084" i="2"/>
  <c r="I1084" i="2" s="1"/>
  <c r="F1072" i="2"/>
  <c r="I1072" i="2" s="1"/>
  <c r="F1075" i="2"/>
  <c r="I1075" i="2" s="1"/>
  <c r="F1076" i="2"/>
  <c r="I1076" i="2" s="1"/>
  <c r="F1077" i="2"/>
  <c r="I1077" i="2" s="1"/>
  <c r="F1073" i="2"/>
  <c r="I1073" i="2" s="1"/>
  <c r="F1065" i="2"/>
  <c r="I1065" i="2" s="1"/>
  <c r="F1066" i="2"/>
  <c r="I1066" i="2" s="1"/>
  <c r="F1067" i="2"/>
  <c r="I1067" i="2" s="1"/>
  <c r="F1070" i="2"/>
  <c r="I1070" i="2" s="1"/>
  <c r="F1071" i="2"/>
  <c r="I1071" i="2" s="1"/>
  <c r="F1061" i="2"/>
  <c r="I1061" i="2" s="1"/>
  <c r="F1062" i="2"/>
  <c r="I1062" i="2" s="1"/>
  <c r="F1055" i="2"/>
  <c r="I1055" i="2" s="1"/>
  <c r="I1057" i="2"/>
  <c r="F1038" i="2"/>
  <c r="I1038" i="2" s="1"/>
  <c r="F1039" i="2"/>
  <c r="I1039" i="2" s="1"/>
  <c r="F1056" i="2"/>
  <c r="I1056" i="2" s="1"/>
  <c r="F1048" i="2"/>
  <c r="I1048" i="2" s="1"/>
  <c r="F1050" i="2"/>
  <c r="I1050" i="2" s="1"/>
  <c r="F1051" i="2"/>
  <c r="I1051" i="2" s="1"/>
  <c r="F1052" i="2"/>
  <c r="I1052" i="2" s="1"/>
  <c r="F1040" i="2"/>
  <c r="I1040" i="2" s="1"/>
  <c r="F1035" i="2"/>
  <c r="I1035" i="2" s="1"/>
  <c r="F1036" i="2"/>
  <c r="I1036" i="2" s="1"/>
  <c r="F1030" i="2"/>
  <c r="I1030" i="2" s="1"/>
  <c r="F1031" i="2"/>
  <c r="I1031" i="2" s="1"/>
  <c r="I1032" i="2"/>
  <c r="F1017" i="2"/>
  <c r="I1017" i="2" s="1"/>
  <c r="F1019" i="2"/>
  <c r="I1019" i="2" s="1"/>
  <c r="F1022" i="2"/>
  <c r="I1022" i="2" s="1"/>
  <c r="F1023" i="2"/>
  <c r="I1023" i="2" s="1"/>
  <c r="F1024" i="2"/>
  <c r="I1024" i="2" s="1"/>
  <c r="F1025" i="2"/>
  <c r="I1025" i="2" s="1"/>
  <c r="F1026" i="2"/>
  <c r="I1026" i="2" s="1"/>
  <c r="F1027" i="2"/>
  <c r="I1027" i="2" s="1"/>
  <c r="F1010" i="2"/>
  <c r="I1010" i="2" s="1"/>
  <c r="F1011" i="2"/>
  <c r="I1011" i="2" s="1"/>
  <c r="F1012" i="2"/>
  <c r="I1012" i="2" s="1"/>
  <c r="F1000" i="2"/>
  <c r="I1000" i="2" s="1"/>
  <c r="F1001" i="2"/>
  <c r="I1001" i="2" s="1"/>
  <c r="F1002" i="2"/>
  <c r="I1002" i="2" s="1"/>
  <c r="F991" i="2"/>
  <c r="I991" i="2" s="1"/>
  <c r="F1003" i="2"/>
  <c r="I1003" i="2" s="1"/>
  <c r="F1007" i="2"/>
  <c r="I1007" i="2" s="1"/>
  <c r="F1008" i="2"/>
  <c r="I1008" i="2" s="1"/>
  <c r="F994" i="2"/>
  <c r="I994" i="2" s="1"/>
  <c r="F995" i="2"/>
  <c r="I995" i="2" s="1"/>
  <c r="F997" i="2"/>
  <c r="I997" i="2" s="1"/>
  <c r="F973" i="2"/>
  <c r="I973" i="2" s="1"/>
  <c r="F988" i="2"/>
  <c r="I988" i="2" s="1"/>
  <c r="F989" i="2"/>
  <c r="I989" i="2" s="1"/>
  <c r="F979" i="2"/>
  <c r="I979" i="2" s="1"/>
  <c r="F980" i="2"/>
  <c r="I980" i="2" s="1"/>
  <c r="F982" i="2"/>
  <c r="I982" i="2" s="1"/>
  <c r="F962" i="2"/>
  <c r="I962" i="2" s="1"/>
  <c r="F966" i="2"/>
  <c r="I966" i="2" s="1"/>
  <c r="F967" i="2"/>
  <c r="I967" i="2" s="1"/>
  <c r="F968" i="2"/>
  <c r="I968" i="2" s="1"/>
  <c r="F969" i="2"/>
  <c r="I969" i="2" s="1"/>
  <c r="F970" i="2"/>
  <c r="I970" i="2" s="1"/>
  <c r="F971" i="2"/>
  <c r="I971" i="2" s="1"/>
  <c r="F958" i="2"/>
  <c r="I958" i="2" s="1"/>
  <c r="F959" i="2"/>
  <c r="I959" i="2" s="1"/>
  <c r="F960" i="2"/>
  <c r="I960" i="2" s="1"/>
  <c r="F957" i="2"/>
  <c r="I957" i="2" s="1"/>
  <c r="F941" i="2"/>
  <c r="I941" i="2" s="1"/>
  <c r="F942" i="2"/>
  <c r="I942" i="2" s="1"/>
  <c r="F943" i="2"/>
  <c r="I943" i="2" s="1"/>
  <c r="I956" i="2"/>
  <c r="F946" i="2"/>
  <c r="I946" i="2" s="1"/>
  <c r="F947" i="2"/>
  <c r="I947" i="2" s="1"/>
  <c r="F950" i="2"/>
  <c r="I950" i="2" s="1"/>
  <c r="F951" i="2"/>
  <c r="I951" i="2" s="1"/>
  <c r="F952" i="2"/>
  <c r="I952" i="2" s="1"/>
  <c r="F953" i="2"/>
  <c r="I953" i="2" s="1"/>
  <c r="F954" i="2"/>
  <c r="I954" i="2" s="1"/>
  <c r="F933" i="2"/>
  <c r="I933" i="2" s="1"/>
  <c r="F934" i="2"/>
  <c r="I934" i="2" s="1"/>
  <c r="F935" i="2"/>
  <c r="I935" i="2" s="1"/>
  <c r="F915" i="2"/>
  <c r="I915" i="2" s="1"/>
  <c r="F916" i="2"/>
  <c r="I916" i="2" s="1"/>
  <c r="F917" i="2"/>
  <c r="I917" i="2" s="1"/>
  <c r="F918" i="2"/>
  <c r="I918" i="2" s="1"/>
  <c r="F919" i="2"/>
  <c r="I919" i="2" s="1"/>
  <c r="F920" i="2"/>
  <c r="I920" i="2" s="1"/>
  <c r="F926" i="2"/>
  <c r="I926" i="2" s="1"/>
  <c r="F927" i="2"/>
  <c r="I927" i="2" s="1"/>
  <c r="I928" i="2"/>
  <c r="F929" i="2"/>
  <c r="I929" i="2" s="1"/>
  <c r="F910" i="2"/>
  <c r="I910" i="2" s="1"/>
  <c r="F911" i="2"/>
  <c r="I911" i="2" s="1"/>
  <c r="F912" i="2"/>
  <c r="I912" i="2" s="1"/>
  <c r="F897" i="2"/>
  <c r="I897" i="2" s="1"/>
  <c r="F898" i="2"/>
  <c r="I898" i="2" s="1"/>
  <c r="F900" i="2"/>
  <c r="I900" i="2" s="1"/>
  <c r="F902" i="2"/>
  <c r="I902" i="2" s="1"/>
  <c r="F903" i="2"/>
  <c r="I903" i="2" s="1"/>
  <c r="F904" i="2"/>
  <c r="I904" i="2" s="1"/>
  <c r="F905" i="2"/>
  <c r="I905" i="2" s="1"/>
  <c r="F906" i="2"/>
  <c r="I906" i="2" s="1"/>
  <c r="F907" i="2"/>
  <c r="I907" i="2" s="1"/>
  <c r="F909" i="2"/>
  <c r="I909" i="2" s="1"/>
  <c r="F889" i="2"/>
  <c r="I889" i="2" s="1"/>
  <c r="F890" i="2"/>
  <c r="I890" i="2" s="1"/>
  <c r="F883" i="2"/>
  <c r="I883" i="2" s="1"/>
  <c r="F884" i="2"/>
  <c r="I884" i="2" s="1"/>
  <c r="F885" i="2"/>
  <c r="I885" i="2" s="1"/>
  <c r="F887" i="2"/>
  <c r="I887" i="2" s="1"/>
  <c r="F888" i="2"/>
  <c r="I888" i="2" s="1"/>
  <c r="F879" i="2"/>
  <c r="I879" i="2" s="1"/>
  <c r="F880" i="2"/>
  <c r="I880" i="2" s="1"/>
  <c r="F872" i="2"/>
  <c r="I872" i="2" s="1"/>
  <c r="F873" i="2"/>
  <c r="I873" i="2" s="1"/>
  <c r="F874" i="2"/>
  <c r="I874" i="2" s="1"/>
  <c r="F875" i="2"/>
  <c r="I875" i="2" s="1"/>
  <c r="F848" i="2"/>
  <c r="I848" i="2" s="1"/>
  <c r="F849" i="2"/>
  <c r="I849" i="2" s="1"/>
  <c r="F850" i="2"/>
  <c r="I850" i="2" s="1"/>
  <c r="F851" i="2"/>
  <c r="I851" i="2" s="1"/>
  <c r="F852" i="2"/>
  <c r="I852" i="2" s="1"/>
  <c r="F853" i="2"/>
  <c r="I853" i="2" s="1"/>
  <c r="F854" i="2"/>
  <c r="I854" i="2" s="1"/>
  <c r="F855" i="2"/>
  <c r="I855" i="2" s="1"/>
  <c r="F859" i="2"/>
  <c r="I859" i="2" s="1"/>
  <c r="F860" i="2"/>
  <c r="I860" i="2" s="1"/>
  <c r="F861" i="2"/>
  <c r="I861" i="2" s="1"/>
  <c r="F862" i="2"/>
  <c r="I862" i="2" s="1"/>
  <c r="F863" i="2"/>
  <c r="I863" i="2" s="1"/>
  <c r="F865" i="2"/>
  <c r="I865" i="2" s="1"/>
  <c r="F866" i="2"/>
  <c r="I866" i="2" s="1"/>
  <c r="F868" i="2"/>
  <c r="I868" i="2" s="1"/>
  <c r="F869" i="2"/>
  <c r="I869" i="2" s="1"/>
  <c r="F870" i="2"/>
  <c r="I870" i="2" s="1"/>
  <c r="F842" i="2"/>
  <c r="I842" i="2" s="1"/>
  <c r="F843" i="2"/>
  <c r="I843" i="2" s="1"/>
  <c r="F836" i="2"/>
  <c r="I836" i="2" s="1"/>
  <c r="F838" i="2"/>
  <c r="I838" i="2" s="1"/>
  <c r="F839" i="2"/>
  <c r="I839" i="2" s="1"/>
  <c r="F840" i="2"/>
  <c r="I840" i="2" s="1"/>
  <c r="F841" i="2"/>
  <c r="I841" i="2" s="1"/>
  <c r="F829" i="2"/>
  <c r="I829" i="2" s="1"/>
  <c r="F830" i="2"/>
  <c r="I830" i="2" s="1"/>
  <c r="F832" i="2"/>
  <c r="I832" i="2" s="1"/>
  <c r="F833" i="2"/>
  <c r="I833" i="2" s="1"/>
  <c r="F834" i="2"/>
  <c r="I834" i="2" s="1"/>
  <c r="F823" i="2"/>
  <c r="I823" i="2" s="1"/>
  <c r="F824" i="2"/>
  <c r="I824" i="2" s="1"/>
  <c r="F825" i="2"/>
  <c r="I825" i="2" s="1"/>
  <c r="F826" i="2"/>
  <c r="I826" i="2" s="1"/>
  <c r="F827" i="2"/>
  <c r="I827" i="2" s="1"/>
  <c r="F801" i="2"/>
  <c r="I801" i="2" s="1"/>
  <c r="F802" i="2"/>
  <c r="I802" i="2" s="1"/>
  <c r="F808" i="2"/>
  <c r="I808" i="2" s="1"/>
  <c r="F809" i="2"/>
  <c r="I809" i="2" s="1"/>
  <c r="F810" i="2"/>
  <c r="I810" i="2" s="1"/>
  <c r="F811" i="2"/>
  <c r="I811" i="2" s="1"/>
  <c r="F813" i="2"/>
  <c r="I813" i="2" s="1"/>
  <c r="F814" i="2"/>
  <c r="I814" i="2" s="1"/>
  <c r="F815" i="2"/>
  <c r="I815" i="2" s="1"/>
  <c r="F816" i="2"/>
  <c r="I816" i="2" s="1"/>
  <c r="F817" i="2"/>
  <c r="I817" i="2" s="1"/>
  <c r="F818" i="2"/>
  <c r="I818" i="2" s="1"/>
  <c r="F819" i="2"/>
  <c r="I819" i="2" s="1"/>
  <c r="F820" i="2"/>
  <c r="I820" i="2" s="1"/>
  <c r="F821" i="2"/>
  <c r="I821" i="2" s="1"/>
  <c r="F795" i="2"/>
  <c r="I795" i="2" s="1"/>
  <c r="F796" i="2"/>
  <c r="I796" i="2" s="1"/>
  <c r="F797" i="2"/>
  <c r="I797" i="2" s="1"/>
  <c r="F793" i="2"/>
  <c r="I793" i="2" s="1"/>
  <c r="F794" i="2"/>
  <c r="I794" i="2" s="1"/>
  <c r="F787" i="2"/>
  <c r="I787" i="2" s="1"/>
  <c r="F788" i="2"/>
  <c r="I788" i="2" s="1"/>
  <c r="F789" i="2"/>
  <c r="I789" i="2" s="1"/>
  <c r="F780" i="2"/>
  <c r="I780" i="2" s="1"/>
  <c r="F781" i="2"/>
  <c r="I781" i="2" s="1"/>
  <c r="F782" i="2"/>
  <c r="I782" i="2" s="1"/>
  <c r="F783" i="2"/>
  <c r="I783" i="2" s="1"/>
  <c r="F784" i="2"/>
  <c r="I784" i="2" s="1"/>
  <c r="F773" i="2"/>
  <c r="I773" i="2" s="1"/>
  <c r="F775" i="2"/>
  <c r="I775" i="2" s="1"/>
  <c r="F776" i="2"/>
  <c r="I776" i="2" s="1"/>
  <c r="F777" i="2"/>
  <c r="I777" i="2" s="1"/>
  <c r="F778" i="2"/>
  <c r="I778" i="2" s="1"/>
  <c r="F757" i="2"/>
  <c r="I757" i="2" s="1"/>
  <c r="F758" i="2"/>
  <c r="I758" i="2" s="1"/>
  <c r="F759" i="2"/>
  <c r="I759" i="2" s="1"/>
  <c r="F760" i="2"/>
  <c r="I760" i="2" s="1"/>
  <c r="F763" i="2"/>
  <c r="I763" i="2" s="1"/>
  <c r="F743" i="2"/>
  <c r="I743" i="2" s="1"/>
  <c r="F744" i="2"/>
  <c r="I744" i="2" s="1"/>
  <c r="I755" i="2"/>
  <c r="F746" i="2"/>
  <c r="I746" i="2" s="1"/>
  <c r="F747" i="2"/>
  <c r="I747" i="2" s="1"/>
  <c r="F749" i="2"/>
  <c r="I749" i="2" s="1"/>
  <c r="F750" i="2"/>
  <c r="I750" i="2" s="1"/>
  <c r="F751" i="2"/>
  <c r="I751" i="2" s="1"/>
  <c r="F752" i="2"/>
  <c r="I752" i="2" s="1"/>
  <c r="F753" i="2"/>
  <c r="I753" i="2" s="1"/>
  <c r="F735" i="2"/>
  <c r="I735" i="2" s="1"/>
  <c r="F737" i="2"/>
  <c r="I737" i="2" s="1"/>
  <c r="F723" i="2"/>
  <c r="I723" i="2" s="1"/>
  <c r="F724" i="2"/>
  <c r="I724" i="2" s="1"/>
  <c r="F725" i="2"/>
  <c r="I725" i="2" s="1"/>
  <c r="F726" i="2"/>
  <c r="I726" i="2" s="1"/>
  <c r="F729" i="2"/>
  <c r="I729" i="2" s="1"/>
  <c r="F733" i="2"/>
  <c r="I733" i="2" s="1"/>
  <c r="F713" i="2"/>
  <c r="I713" i="2" s="1"/>
  <c r="F714" i="2"/>
  <c r="I714" i="2" s="1"/>
  <c r="F715" i="2"/>
  <c r="I715" i="2" s="1"/>
  <c r="F716" i="2"/>
  <c r="I716" i="2" s="1"/>
  <c r="F717" i="2"/>
  <c r="I717" i="2" s="1"/>
  <c r="F721" i="2"/>
  <c r="I721" i="2" s="1"/>
  <c r="F722" i="2"/>
  <c r="I722" i="2" s="1"/>
  <c r="F707" i="2"/>
  <c r="I707" i="2" s="1"/>
  <c r="F693" i="2"/>
  <c r="I693" i="2" s="1"/>
  <c r="F694" i="2"/>
  <c r="I694" i="2" s="1"/>
  <c r="F695" i="2"/>
  <c r="I695" i="2" s="1"/>
  <c r="F696" i="2"/>
  <c r="I696" i="2" s="1"/>
  <c r="F697" i="2"/>
  <c r="I697" i="2" s="1"/>
  <c r="F702" i="2"/>
  <c r="I702" i="2" s="1"/>
  <c r="F704" i="2"/>
  <c r="I704" i="2" s="1"/>
  <c r="F1129" i="2"/>
  <c r="I1129" i="2" s="1"/>
  <c r="G1118" i="2"/>
  <c r="G1124" i="2"/>
  <c r="G1140" i="2"/>
  <c r="G1108" i="2"/>
  <c r="G1107" i="2"/>
  <c r="G1099" i="2"/>
  <c r="G1139" i="2"/>
  <c r="G1095" i="2"/>
  <c r="G1096" i="2"/>
  <c r="G1105" i="2"/>
  <c r="G1089" i="2"/>
  <c r="G1087" i="2"/>
  <c r="G1079" i="2"/>
  <c r="G1078" i="2"/>
  <c r="G1085" i="2"/>
  <c r="G1074" i="2"/>
  <c r="G1064" i="2"/>
  <c r="G1059" i="2"/>
  <c r="G1053" i="2"/>
  <c r="G1054" i="2"/>
  <c r="G1060" i="2"/>
  <c r="G1069" i="2"/>
  <c r="G1063" i="2"/>
  <c r="G1057" i="2"/>
  <c r="G1043" i="2"/>
  <c r="G1044" i="2"/>
  <c r="G1045" i="2"/>
  <c r="G1046" i="2"/>
  <c r="G1047" i="2"/>
  <c r="G1049" i="2"/>
  <c r="G1041" i="2"/>
  <c r="G1037" i="2"/>
  <c r="G1042" i="2"/>
  <c r="G1033" i="2"/>
  <c r="G1028" i="2"/>
  <c r="G1034" i="2"/>
  <c r="G1029" i="2"/>
  <c r="G1032" i="2"/>
  <c r="G1016" i="2"/>
  <c r="G1009" i="2"/>
  <c r="G1018" i="2"/>
  <c r="G1020" i="2"/>
  <c r="G1021" i="2"/>
  <c r="G1015" i="2"/>
  <c r="G1013" i="2"/>
  <c r="G1014" i="2"/>
  <c r="G998" i="2"/>
  <c r="G999" i="2"/>
  <c r="G992" i="2"/>
  <c r="G1004" i="2"/>
  <c r="G1005" i="2"/>
  <c r="G1006" i="2"/>
  <c r="G986" i="2"/>
  <c r="G987" i="2"/>
  <c r="G993" i="2"/>
  <c r="G996" i="2"/>
  <c r="G985" i="2"/>
  <c r="G984" i="2"/>
  <c r="G974" i="2"/>
  <c r="G975" i="2"/>
  <c r="G990" i="2"/>
  <c r="G976" i="2"/>
  <c r="G977" i="2"/>
  <c r="G978" i="2"/>
  <c r="G983" i="2"/>
  <c r="G981" i="2"/>
  <c r="G963" i="2"/>
  <c r="G964" i="2"/>
  <c r="G965" i="2"/>
  <c r="G961" i="2"/>
  <c r="G972" i="2"/>
  <c r="G938" i="2"/>
  <c r="G940" i="2"/>
  <c r="G937" i="2"/>
  <c r="G944" i="2"/>
  <c r="G945" i="2"/>
  <c r="G956" i="2"/>
  <c r="G948" i="2"/>
  <c r="G949" i="2"/>
  <c r="G955" i="2"/>
  <c r="G939" i="2"/>
  <c r="G932" i="2"/>
  <c r="G914" i="2"/>
  <c r="G921" i="2"/>
  <c r="G922" i="2"/>
  <c r="G923" i="2"/>
  <c r="G924" i="2"/>
  <c r="G931" i="2"/>
  <c r="G925" i="2"/>
  <c r="G913" i="2"/>
  <c r="G930" i="2"/>
  <c r="G894" i="2"/>
  <c r="G895" i="2"/>
  <c r="G896" i="2"/>
  <c r="G899" i="2"/>
  <c r="G901" i="2"/>
  <c r="G908" i="2"/>
  <c r="G891" i="2"/>
  <c r="G893" i="2"/>
  <c r="G892" i="2"/>
  <c r="G886" i="2"/>
  <c r="G882" i="2"/>
  <c r="G881" i="2"/>
  <c r="G871" i="2"/>
  <c r="G876" i="2"/>
  <c r="G877" i="2"/>
  <c r="G878" i="2"/>
  <c r="G844" i="2"/>
  <c r="G845" i="2"/>
  <c r="G846" i="2"/>
  <c r="G847" i="2"/>
  <c r="G856" i="2"/>
  <c r="G857" i="2"/>
  <c r="G858" i="2"/>
  <c r="G864" i="2"/>
  <c r="G867" i="2"/>
  <c r="G835" i="2"/>
  <c r="G837" i="2"/>
  <c r="G828" i="2"/>
  <c r="G831" i="2"/>
  <c r="G822" i="2"/>
  <c r="G800" i="2"/>
  <c r="G803" i="2"/>
  <c r="G804" i="2"/>
  <c r="G805" i="2"/>
  <c r="G806" i="2"/>
  <c r="G807" i="2"/>
  <c r="G799" i="2"/>
  <c r="G812" i="2"/>
  <c r="G798" i="2"/>
  <c r="G786" i="2"/>
  <c r="G792" i="2"/>
  <c r="G790" i="2"/>
  <c r="G791" i="2"/>
  <c r="G779" i="2"/>
  <c r="G785" i="2"/>
  <c r="G770" i="2"/>
  <c r="G771" i="2"/>
  <c r="G769" i="2"/>
  <c r="G774" i="2"/>
  <c r="G772" i="2"/>
  <c r="G756" i="2"/>
  <c r="G762" i="2"/>
  <c r="G764" i="2"/>
  <c r="G765" i="2"/>
  <c r="G767" i="2"/>
  <c r="G768" i="2"/>
  <c r="G766" i="2"/>
  <c r="G742" i="2"/>
  <c r="G755" i="2"/>
  <c r="G754" i="2"/>
  <c r="G745" i="2"/>
  <c r="G740" i="2"/>
  <c r="G741" i="2"/>
  <c r="G748" i="2"/>
  <c r="G739" i="2"/>
  <c r="G738" i="2"/>
  <c r="G734" i="2"/>
  <c r="G736" i="2"/>
  <c r="G727" i="2"/>
  <c r="G728" i="2"/>
  <c r="G730" i="2"/>
  <c r="G731" i="2"/>
  <c r="G732" i="2"/>
  <c r="G718" i="2"/>
  <c r="G712" i="2"/>
  <c r="G719" i="2"/>
  <c r="G720" i="2"/>
  <c r="G706" i="2"/>
  <c r="G708" i="2"/>
  <c r="G709" i="2"/>
  <c r="G710" i="2"/>
  <c r="G711" i="2"/>
  <c r="G705" i="2"/>
  <c r="G698" i="2"/>
  <c r="G699" i="2"/>
  <c r="G700" i="2"/>
  <c r="G701" i="2"/>
  <c r="G703" i="2"/>
  <c r="H1129" i="2"/>
  <c r="G688" i="2"/>
  <c r="H680" i="2"/>
  <c r="H681" i="2"/>
  <c r="H682" i="2"/>
  <c r="H683" i="2"/>
  <c r="H684" i="2"/>
  <c r="H685" i="2"/>
  <c r="H686" i="2"/>
  <c r="H687" i="2"/>
  <c r="H688" i="2"/>
  <c r="H691" i="2"/>
  <c r="H692" i="2"/>
  <c r="H689" i="2"/>
  <c r="H672" i="2"/>
  <c r="H673" i="2"/>
  <c r="H674" i="2"/>
  <c r="H669" i="2"/>
  <c r="H671" i="2"/>
  <c r="H670" i="2"/>
  <c r="H661" i="2"/>
  <c r="H662" i="2"/>
  <c r="H663" i="2"/>
  <c r="H664" i="2"/>
  <c r="H665" i="2"/>
  <c r="H666" i="2"/>
  <c r="H667" i="2"/>
  <c r="H668" i="2"/>
  <c r="H653" i="2"/>
  <c r="H654" i="2"/>
  <c r="H655" i="2"/>
  <c r="H656" i="2"/>
  <c r="H657" i="2"/>
  <c r="H658" i="2"/>
  <c r="H659" i="2"/>
  <c r="H660" i="2"/>
  <c r="H648" i="2"/>
  <c r="H649" i="2"/>
  <c r="H650" i="2"/>
  <c r="H651" i="2"/>
  <c r="H652" i="2"/>
  <c r="H639" i="2"/>
  <c r="H640" i="2"/>
  <c r="H641" i="2"/>
  <c r="H642" i="2"/>
  <c r="H643" i="2"/>
  <c r="H644" i="2"/>
  <c r="H645" i="2"/>
  <c r="H646" i="2"/>
  <c r="H647" i="2"/>
  <c r="H625" i="2"/>
  <c r="H626" i="2"/>
  <c r="H638" i="2"/>
  <c r="H627" i="2"/>
  <c r="H628" i="2"/>
  <c r="H629" i="2"/>
  <c r="H630" i="2"/>
  <c r="H637" i="2"/>
  <c r="H631" i="2"/>
  <c r="H632" i="2"/>
  <c r="H633" i="2"/>
  <c r="H634" i="2"/>
  <c r="H635" i="2"/>
  <c r="H636" i="2"/>
  <c r="H618" i="2"/>
  <c r="H619" i="2"/>
  <c r="H620" i="2"/>
  <c r="H621" i="2"/>
  <c r="H622" i="2"/>
  <c r="H623" i="2"/>
  <c r="H624" i="2"/>
  <c r="H609" i="2"/>
  <c r="H610" i="2"/>
  <c r="H611" i="2"/>
  <c r="H612" i="2"/>
  <c r="H613" i="2"/>
  <c r="H614" i="2"/>
  <c r="H615" i="2"/>
  <c r="H616" i="2"/>
  <c r="H608" i="2"/>
  <c r="H617" i="2"/>
  <c r="H607" i="2"/>
  <c r="H603" i="2"/>
  <c r="H604" i="2"/>
  <c r="H605" i="2"/>
  <c r="H606" i="2"/>
  <c r="H593" i="2"/>
  <c r="H594" i="2"/>
  <c r="H595" i="2"/>
  <c r="H596" i="2"/>
  <c r="H597" i="2"/>
  <c r="H598" i="2"/>
  <c r="H599" i="2"/>
  <c r="H602" i="2"/>
  <c r="H600" i="2"/>
  <c r="H601" i="2"/>
  <c r="H592" i="2"/>
  <c r="H578" i="2"/>
  <c r="H579" i="2"/>
  <c r="H580" i="2"/>
  <c r="H581" i="2"/>
  <c r="H582" i="2"/>
  <c r="H583" i="2"/>
  <c r="H577" i="2"/>
  <c r="H584" i="2"/>
  <c r="H585" i="2"/>
  <c r="H586" i="2"/>
  <c r="H587" i="2"/>
  <c r="H588" i="2"/>
  <c r="H589" i="2"/>
  <c r="H590" i="2"/>
  <c r="H591" i="2"/>
  <c r="H575" i="2"/>
  <c r="H576" i="2"/>
  <c r="H571" i="2"/>
  <c r="H572" i="2"/>
  <c r="H573" i="2"/>
  <c r="H574" i="2"/>
  <c r="H560" i="2"/>
  <c r="H561" i="2"/>
  <c r="H562" i="2"/>
  <c r="H563" i="2"/>
  <c r="H564" i="2"/>
  <c r="H565" i="2"/>
  <c r="H566" i="2"/>
  <c r="H567" i="2"/>
  <c r="H568" i="2"/>
  <c r="H569" i="2"/>
  <c r="H570" i="2"/>
  <c r="H551" i="2"/>
  <c r="H552" i="2"/>
  <c r="H553" i="2"/>
  <c r="H554" i="2"/>
  <c r="H555" i="2"/>
  <c r="H556" i="2"/>
  <c r="H557" i="2"/>
  <c r="H558" i="2"/>
  <c r="H559" i="2"/>
  <c r="H547" i="2"/>
  <c r="H548" i="2"/>
  <c r="H549" i="2"/>
  <c r="H550" i="2"/>
  <c r="H546" i="2"/>
  <c r="H545" i="2"/>
  <c r="H521" i="2"/>
  <c r="H522" i="2"/>
  <c r="H523" i="2"/>
  <c r="H520" i="2"/>
  <c r="H524" i="2"/>
  <c r="H519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18" i="2"/>
  <c r="H516" i="2"/>
  <c r="H517" i="2"/>
  <c r="H504" i="2"/>
  <c r="H505" i="2"/>
  <c r="H506" i="2"/>
  <c r="H507" i="2"/>
  <c r="H508" i="2"/>
  <c r="H509" i="2"/>
  <c r="H515" i="2"/>
  <c r="H510" i="2"/>
  <c r="H511" i="2"/>
  <c r="H512" i="2"/>
  <c r="H513" i="2"/>
  <c r="H514" i="2"/>
  <c r="H500" i="2"/>
  <c r="H501" i="2"/>
  <c r="H502" i="2"/>
  <c r="H503" i="2"/>
  <c r="H499" i="2"/>
  <c r="H491" i="2"/>
  <c r="H492" i="2"/>
  <c r="H493" i="2"/>
  <c r="H494" i="2"/>
  <c r="H495" i="2"/>
  <c r="H496" i="2"/>
  <c r="H497" i="2"/>
  <c r="H498" i="2"/>
  <c r="H482" i="2"/>
  <c r="H483" i="2"/>
  <c r="H484" i="2"/>
  <c r="H485" i="2"/>
  <c r="H486" i="2"/>
  <c r="H487" i="2"/>
  <c r="H488" i="2"/>
  <c r="H489" i="2"/>
  <c r="H490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51" i="2"/>
  <c r="H468" i="2"/>
  <c r="H469" i="2"/>
  <c r="H470" i="2"/>
  <c r="H450" i="2"/>
  <c r="H471" i="2"/>
  <c r="H472" i="2"/>
  <c r="H473" i="2"/>
  <c r="H474" i="2"/>
  <c r="H475" i="2"/>
  <c r="H476" i="2"/>
  <c r="H477" i="2"/>
  <c r="H478" i="2"/>
  <c r="H479" i="2"/>
  <c r="H480" i="2"/>
  <c r="H481" i="2"/>
  <c r="H447" i="2"/>
  <c r="H448" i="2"/>
  <c r="H449" i="2"/>
  <c r="H435" i="2"/>
  <c r="H446" i="2"/>
  <c r="H436" i="2"/>
  <c r="H437" i="2"/>
  <c r="H438" i="2"/>
  <c r="H439" i="2"/>
  <c r="H440" i="2"/>
  <c r="H426" i="2"/>
  <c r="H427" i="2"/>
  <c r="H428" i="2"/>
  <c r="H429" i="2"/>
  <c r="H430" i="2"/>
  <c r="H441" i="2"/>
  <c r="H442" i="2"/>
  <c r="H444" i="2"/>
  <c r="H431" i="2"/>
  <c r="H432" i="2"/>
  <c r="H433" i="2"/>
  <c r="H434" i="2"/>
  <c r="H445" i="2"/>
  <c r="H420" i="2"/>
  <c r="H421" i="2"/>
  <c r="H422" i="2"/>
  <c r="H423" i="2"/>
  <c r="H424" i="2"/>
  <c r="H425" i="2"/>
  <c r="H413" i="2"/>
  <c r="H419" i="2"/>
  <c r="H414" i="2"/>
  <c r="H415" i="2"/>
  <c r="H416" i="2"/>
  <c r="H417" i="2"/>
  <c r="H418" i="2"/>
  <c r="H398" i="2"/>
  <c r="H412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397" i="2"/>
  <c r="H396" i="2"/>
  <c r="H390" i="2"/>
  <c r="H391" i="2"/>
  <c r="H392" i="2"/>
  <c r="H393" i="2"/>
  <c r="H394" i="2"/>
  <c r="H395" i="2"/>
  <c r="H387" i="2"/>
  <c r="H388" i="2"/>
  <c r="H389" i="2"/>
  <c r="H382" i="2"/>
  <c r="H383" i="2"/>
  <c r="H384" i="2"/>
  <c r="H385" i="2"/>
  <c r="H386" i="2"/>
  <c r="H377" i="2"/>
  <c r="H378" i="2"/>
  <c r="H379" i="2"/>
  <c r="H380" i="2"/>
  <c r="H381" i="2"/>
  <c r="H356" i="2"/>
  <c r="H357" i="2"/>
  <c r="H358" i="2"/>
  <c r="H359" i="2"/>
  <c r="H360" i="2"/>
  <c r="H361" i="2"/>
  <c r="H362" i="2"/>
  <c r="H376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53" i="2"/>
  <c r="H354" i="2"/>
  <c r="H355" i="2"/>
  <c r="H351" i="2"/>
  <c r="H352" i="2"/>
  <c r="H350" i="2"/>
  <c r="H345" i="2"/>
  <c r="H346" i="2"/>
  <c r="H347" i="2"/>
  <c r="H348" i="2"/>
  <c r="H349" i="2"/>
  <c r="H339" i="2"/>
  <c r="H340" i="2"/>
  <c r="H341" i="2"/>
  <c r="H342" i="2"/>
  <c r="H343" i="2"/>
  <c r="H344" i="2"/>
  <c r="H332" i="2"/>
  <c r="H333" i="2"/>
  <c r="H334" i="2"/>
  <c r="H335" i="2"/>
  <c r="H336" i="2"/>
  <c r="H337" i="2"/>
  <c r="H33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299" i="2"/>
  <c r="H297" i="2"/>
  <c r="H286" i="2"/>
  <c r="H287" i="2"/>
  <c r="H288" i="2"/>
  <c r="H289" i="2"/>
  <c r="H290" i="2"/>
  <c r="H291" i="2"/>
  <c r="H292" i="2"/>
  <c r="H293" i="2"/>
  <c r="H294" i="2"/>
  <c r="H295" i="2"/>
  <c r="H296" i="2"/>
  <c r="H298" i="2"/>
  <c r="H275" i="2"/>
  <c r="H276" i="2"/>
  <c r="H277" i="2"/>
  <c r="H278" i="2"/>
  <c r="H279" i="2"/>
  <c r="H280" i="2"/>
  <c r="H281" i="2"/>
  <c r="H282" i="2"/>
  <c r="H283" i="2"/>
  <c r="H284" i="2"/>
  <c r="H285" i="2"/>
  <c r="H269" i="2"/>
  <c r="H270" i="2"/>
  <c r="H271" i="2"/>
  <c r="H272" i="2"/>
  <c r="H273" i="2"/>
  <c r="H274" i="2"/>
  <c r="H268" i="2"/>
  <c r="H262" i="2"/>
  <c r="H263" i="2"/>
  <c r="H264" i="2"/>
  <c r="H265" i="2"/>
  <c r="H266" i="2"/>
  <c r="H267" i="2"/>
  <c r="H241" i="2"/>
  <c r="H242" i="2"/>
  <c r="H243" i="2"/>
  <c r="H244" i="2"/>
  <c r="H245" i="2"/>
  <c r="H246" i="2"/>
  <c r="H247" i="2"/>
  <c r="H240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39" i="2"/>
  <c r="H238" i="2"/>
  <c r="H236" i="2"/>
  <c r="H237" i="2"/>
  <c r="H233" i="2"/>
  <c r="H228" i="2"/>
  <c r="H227" i="2"/>
  <c r="H230" i="2"/>
  <c r="H231" i="2"/>
  <c r="H234" i="2"/>
  <c r="H229" i="2"/>
  <c r="H232" i="2"/>
  <c r="H221" i="2"/>
  <c r="H222" i="2"/>
  <c r="H223" i="2"/>
  <c r="H235" i="2"/>
  <c r="H224" i="2"/>
  <c r="H218" i="2"/>
  <c r="H220" i="2"/>
  <c r="H225" i="2"/>
  <c r="H219" i="2"/>
  <c r="H215" i="2"/>
  <c r="H217" i="2"/>
  <c r="H216" i="2"/>
  <c r="H214" i="2"/>
  <c r="H213" i="2"/>
  <c r="H211" i="2"/>
  <c r="H210" i="2"/>
  <c r="H212" i="2"/>
  <c r="H209" i="2"/>
  <c r="H207" i="2"/>
  <c r="H208" i="2"/>
  <c r="H205" i="2"/>
  <c r="H202" i="2"/>
  <c r="H198" i="2"/>
  <c r="H203" i="2"/>
  <c r="H199" i="2"/>
  <c r="H192" i="2"/>
  <c r="H194" i="2"/>
  <c r="H189" i="2"/>
  <c r="H193" i="2"/>
  <c r="H190" i="2"/>
  <c r="H188" i="2"/>
  <c r="H191" i="2"/>
  <c r="H197" i="2"/>
  <c r="H195" i="2"/>
  <c r="H196" i="2"/>
  <c r="H206" i="2"/>
  <c r="H201" i="2"/>
  <c r="H200" i="2"/>
  <c r="H204" i="2"/>
  <c r="H186" i="2"/>
  <c r="H187" i="2"/>
  <c r="H180" i="2"/>
  <c r="H183" i="2"/>
  <c r="H184" i="2"/>
  <c r="H182" i="2"/>
  <c r="H185" i="2"/>
  <c r="H179" i="2"/>
  <c r="H181" i="2"/>
  <c r="H178" i="2"/>
  <c r="H175" i="2"/>
  <c r="H177" i="2"/>
  <c r="H174" i="2"/>
  <c r="H176" i="2"/>
  <c r="H173" i="2"/>
  <c r="H172" i="2"/>
  <c r="H166" i="2"/>
  <c r="H169" i="2"/>
  <c r="H170" i="2"/>
  <c r="H171" i="2"/>
  <c r="H167" i="2"/>
  <c r="H168" i="2"/>
  <c r="H165" i="2"/>
  <c r="H162" i="2"/>
  <c r="H159" i="2"/>
  <c r="H155" i="2"/>
  <c r="H164" i="2"/>
  <c r="H158" i="2"/>
  <c r="H157" i="2"/>
  <c r="H152" i="2"/>
  <c r="H149" i="2"/>
  <c r="H156" i="2"/>
  <c r="H160" i="2"/>
  <c r="H163" i="2"/>
  <c r="H161" i="2"/>
  <c r="H153" i="2"/>
  <c r="H151" i="2"/>
  <c r="H154" i="2"/>
  <c r="H147" i="2"/>
  <c r="H150" i="2"/>
  <c r="H148" i="2"/>
  <c r="H146" i="2"/>
  <c r="H145" i="2"/>
  <c r="H143" i="2"/>
  <c r="H144" i="2"/>
  <c r="H135" i="2"/>
  <c r="H137" i="2"/>
  <c r="H138" i="2"/>
  <c r="H136" i="2"/>
  <c r="H142" i="2"/>
  <c r="H139" i="2"/>
  <c r="H140" i="2"/>
  <c r="H141" i="2"/>
  <c r="H127" i="2"/>
  <c r="H126" i="2"/>
  <c r="H131" i="2"/>
  <c r="H132" i="2"/>
  <c r="H130" i="2"/>
  <c r="H128" i="2"/>
  <c r="H134" i="2"/>
  <c r="H133" i="2"/>
  <c r="H129" i="2"/>
  <c r="H123" i="2"/>
  <c r="H125" i="2"/>
  <c r="H124" i="2"/>
  <c r="H119" i="2"/>
  <c r="H121" i="2"/>
  <c r="H120" i="2"/>
  <c r="H116" i="2"/>
  <c r="H118" i="2"/>
  <c r="H117" i="2"/>
  <c r="H122" i="2"/>
  <c r="H115" i="2"/>
  <c r="H114" i="2"/>
  <c r="H110" i="2"/>
  <c r="H112" i="2"/>
  <c r="H113" i="2"/>
  <c r="H111" i="2"/>
  <c r="H108" i="2"/>
  <c r="H109" i="2"/>
  <c r="H99" i="2"/>
  <c r="H101" i="2"/>
  <c r="H88" i="2"/>
  <c r="H106" i="2"/>
  <c r="H104" i="2"/>
  <c r="H105" i="2"/>
  <c r="H93" i="2"/>
  <c r="H95" i="2"/>
  <c r="H98" i="2"/>
  <c r="H90" i="2"/>
  <c r="H91" i="2"/>
  <c r="H92" i="2"/>
  <c r="H89" i="2"/>
  <c r="H103" i="2"/>
  <c r="H107" i="2"/>
  <c r="H100" i="2"/>
  <c r="H94" i="2"/>
  <c r="H102" i="2"/>
  <c r="H96" i="2"/>
  <c r="H97" i="2"/>
  <c r="H87" i="2"/>
  <c r="H86" i="2"/>
  <c r="H85" i="2"/>
  <c r="H84" i="2"/>
  <c r="H83" i="2"/>
  <c r="H78" i="2"/>
  <c r="H79" i="2"/>
  <c r="H82" i="2"/>
  <c r="H80" i="2"/>
  <c r="H81" i="2"/>
  <c r="H72" i="2"/>
  <c r="H75" i="2"/>
  <c r="H77" i="2"/>
  <c r="H76" i="2"/>
  <c r="H73" i="2"/>
  <c r="H74" i="2"/>
  <c r="H71" i="2"/>
  <c r="H60" i="2"/>
  <c r="H69" i="2"/>
  <c r="H68" i="2"/>
  <c r="H70" i="2"/>
  <c r="H61" i="2"/>
  <c r="H63" i="2"/>
  <c r="H64" i="2"/>
  <c r="H67" i="2"/>
  <c r="H65" i="2"/>
  <c r="H66" i="2"/>
  <c r="H62" i="2"/>
  <c r="H59" i="2"/>
  <c r="H55" i="2"/>
  <c r="H52" i="2"/>
  <c r="H53" i="2"/>
  <c r="H58" i="2"/>
  <c r="H56" i="2"/>
  <c r="H57" i="2"/>
  <c r="H54" i="2"/>
  <c r="H34" i="2"/>
  <c r="H41" i="2"/>
  <c r="H44" i="2"/>
  <c r="H37" i="2"/>
  <c r="H39" i="2"/>
  <c r="H42" i="2"/>
  <c r="H35" i="2"/>
  <c r="H38" i="2"/>
  <c r="H48" i="2"/>
  <c r="H49" i="2"/>
  <c r="H51" i="2"/>
  <c r="H40" i="2"/>
  <c r="H45" i="2"/>
  <c r="H47" i="2"/>
  <c r="H50" i="2"/>
  <c r="H36" i="2"/>
  <c r="H46" i="2"/>
  <c r="H43" i="2"/>
  <c r="H33" i="2"/>
  <c r="H32" i="2"/>
  <c r="H29" i="2"/>
  <c r="H30" i="2"/>
  <c r="H31" i="2"/>
  <c r="H28" i="2"/>
  <c r="H14" i="2"/>
  <c r="H27" i="2"/>
  <c r="H16" i="2"/>
  <c r="H18" i="2"/>
  <c r="H22" i="2"/>
  <c r="H21" i="2"/>
  <c r="H15" i="2"/>
  <c r="H25" i="2"/>
  <c r="H23" i="2"/>
  <c r="H24" i="2"/>
  <c r="H26" i="2"/>
  <c r="H20" i="2"/>
  <c r="H19" i="2"/>
  <c r="H17" i="2"/>
  <c r="H12" i="2"/>
  <c r="H8" i="2"/>
  <c r="H6" i="2"/>
  <c r="H10" i="2"/>
  <c r="H5" i="2"/>
  <c r="H13" i="2"/>
  <c r="H9" i="2"/>
  <c r="H11" i="2"/>
  <c r="H7" i="2"/>
  <c r="H4" i="2"/>
  <c r="H1307" i="2"/>
  <c r="H1324" i="2"/>
  <c r="H1313" i="2"/>
  <c r="H1311" i="2"/>
  <c r="H1308" i="2"/>
  <c r="H1303" i="2"/>
  <c r="H1304" i="2"/>
  <c r="H1305" i="2"/>
  <c r="H1306" i="2"/>
  <c r="H1309" i="2"/>
  <c r="H1315" i="2"/>
  <c r="H1316" i="2"/>
  <c r="H1325" i="2"/>
  <c r="H1317" i="2"/>
  <c r="H1318" i="2"/>
  <c r="H1319" i="2"/>
  <c r="H1310" i="2"/>
  <c r="H1296" i="2"/>
  <c r="H1297" i="2"/>
  <c r="H1298" i="2"/>
  <c r="H1289" i="2"/>
  <c r="H1290" i="2"/>
  <c r="H1299" i="2"/>
  <c r="H1300" i="2"/>
  <c r="H1301" i="2"/>
  <c r="H1291" i="2"/>
  <c r="H1302" i="2"/>
  <c r="H1292" i="2"/>
  <c r="H1293" i="2"/>
  <c r="H1284" i="2"/>
  <c r="H1285" i="2"/>
  <c r="H1294" i="2"/>
  <c r="H1295" i="2"/>
  <c r="H1283" i="2"/>
  <c r="H1278" i="2"/>
  <c r="H1279" i="2"/>
  <c r="H1286" i="2"/>
  <c r="H1287" i="2"/>
  <c r="H1288" i="2"/>
  <c r="H1280" i="2"/>
  <c r="H1281" i="2"/>
  <c r="H1282" i="2"/>
  <c r="H1275" i="2"/>
  <c r="H1273" i="2"/>
  <c r="H1269" i="2"/>
  <c r="H1259" i="2"/>
  <c r="H1260" i="2"/>
  <c r="H1261" i="2"/>
  <c r="H1270" i="2"/>
  <c r="H1276" i="2"/>
  <c r="H1277" i="2"/>
  <c r="H1274" i="2"/>
  <c r="H1271" i="2"/>
  <c r="H1262" i="2"/>
  <c r="H1263" i="2"/>
  <c r="H1264" i="2"/>
  <c r="H1265" i="2"/>
  <c r="H1266" i="2"/>
  <c r="H1272" i="2"/>
  <c r="H1267" i="2"/>
  <c r="H1258" i="2"/>
  <c r="H1252" i="2"/>
  <c r="H1253" i="2"/>
  <c r="H1268" i="2"/>
  <c r="H1246" i="2"/>
  <c r="H1247" i="2"/>
  <c r="H1248" i="2"/>
  <c r="H1249" i="2"/>
  <c r="H1254" i="2"/>
  <c r="H1255" i="2"/>
  <c r="H1256" i="2"/>
  <c r="H1257" i="2"/>
  <c r="H1250" i="2"/>
  <c r="H1251" i="2"/>
  <c r="H1245" i="2"/>
  <c r="H1241" i="2"/>
  <c r="H1240" i="2"/>
  <c r="H1242" i="2"/>
  <c r="H1235" i="2"/>
  <c r="H1236" i="2"/>
  <c r="H1243" i="2"/>
  <c r="H1239" i="2"/>
  <c r="H1244" i="2"/>
  <c r="H1233" i="2"/>
  <c r="H1237" i="2"/>
  <c r="H1234" i="2"/>
  <c r="H1222" i="2"/>
  <c r="H1223" i="2"/>
  <c r="H1238" i="2"/>
  <c r="H1217" i="2"/>
  <c r="H1218" i="2"/>
  <c r="H1224" i="2"/>
  <c r="H1221" i="2"/>
  <c r="H1219" i="2"/>
  <c r="H1220" i="2"/>
  <c r="H1216" i="2"/>
  <c r="H1225" i="2"/>
  <c r="H1226" i="2"/>
  <c r="H1227" i="2"/>
  <c r="H1228" i="2"/>
  <c r="H1229" i="2"/>
  <c r="H1230" i="2"/>
  <c r="H1231" i="2"/>
  <c r="H1232" i="2"/>
  <c r="H1209" i="2"/>
  <c r="H1210" i="2"/>
  <c r="H1211" i="2"/>
  <c r="H1212" i="2"/>
  <c r="H1197" i="2"/>
  <c r="H1198" i="2"/>
  <c r="H1199" i="2"/>
  <c r="H1213" i="2"/>
  <c r="H1214" i="2"/>
  <c r="H1200" i="2"/>
  <c r="H1215" i="2"/>
  <c r="H1201" i="2"/>
  <c r="H1202" i="2"/>
  <c r="H1203" i="2"/>
  <c r="H1191" i="2"/>
  <c r="H1192" i="2"/>
  <c r="H1193" i="2"/>
  <c r="H1204" i="2"/>
  <c r="H1205" i="2"/>
  <c r="H1206" i="2"/>
  <c r="H1194" i="2"/>
  <c r="H1207" i="2"/>
  <c r="H1208" i="2"/>
  <c r="H1195" i="2"/>
  <c r="H1186" i="2"/>
  <c r="H1187" i="2"/>
  <c r="H1196" i="2"/>
  <c r="H1188" i="2"/>
  <c r="H1184" i="2"/>
  <c r="H1189" i="2"/>
  <c r="H1190" i="2"/>
  <c r="H1175" i="2"/>
  <c r="H1176" i="2"/>
  <c r="H1177" i="2"/>
  <c r="H1185" i="2"/>
  <c r="H1178" i="2"/>
  <c r="H1181" i="2"/>
  <c r="H1182" i="2"/>
  <c r="H1183" i="2"/>
  <c r="H1168" i="2"/>
  <c r="H1169" i="2"/>
  <c r="H1179" i="2"/>
  <c r="H1180" i="2"/>
  <c r="H1163" i="2"/>
  <c r="H1170" i="2"/>
  <c r="H1171" i="2"/>
  <c r="H1172" i="2"/>
  <c r="H1173" i="2"/>
  <c r="H1174" i="2"/>
  <c r="H1164" i="2"/>
  <c r="H1155" i="2"/>
  <c r="H1156" i="2"/>
  <c r="H1165" i="2"/>
  <c r="H1166" i="2"/>
  <c r="H1157" i="2"/>
  <c r="H1167" i="2"/>
  <c r="H1158" i="2"/>
  <c r="H1159" i="2"/>
  <c r="H1160" i="2"/>
  <c r="H1152" i="2"/>
  <c r="H1161" i="2"/>
  <c r="H1162" i="2"/>
  <c r="H1143" i="2"/>
  <c r="H1153" i="2"/>
  <c r="H1154" i="2"/>
  <c r="H1144" i="2"/>
  <c r="H1141" i="2"/>
  <c r="H1145" i="2"/>
  <c r="H1146" i="2"/>
  <c r="H1147" i="2"/>
  <c r="H1148" i="2"/>
  <c r="H1149" i="2"/>
  <c r="H1150" i="2"/>
  <c r="H1142" i="2"/>
  <c r="H675" i="2"/>
  <c r="H676" i="2"/>
  <c r="H677" i="2"/>
  <c r="H678" i="2"/>
  <c r="H679" i="2"/>
  <c r="H1312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91" i="2"/>
  <c r="G692" i="2"/>
  <c r="G689" i="2"/>
  <c r="G672" i="2"/>
  <c r="G673" i="2"/>
  <c r="G674" i="2"/>
  <c r="G669" i="2"/>
  <c r="G671" i="2"/>
  <c r="G670" i="2"/>
  <c r="G661" i="2"/>
  <c r="G662" i="2"/>
  <c r="G663" i="2"/>
  <c r="G664" i="2"/>
  <c r="G665" i="2"/>
  <c r="G666" i="2"/>
  <c r="G667" i="2"/>
  <c r="G668" i="2"/>
  <c r="G653" i="2"/>
  <c r="G654" i="2"/>
  <c r="G655" i="2"/>
  <c r="G656" i="2"/>
  <c r="G657" i="2"/>
  <c r="G658" i="2"/>
  <c r="G659" i="2"/>
  <c r="G660" i="2"/>
  <c r="G648" i="2"/>
  <c r="G649" i="2"/>
  <c r="G650" i="2"/>
  <c r="G651" i="2"/>
  <c r="G652" i="2"/>
  <c r="G639" i="2"/>
  <c r="G640" i="2"/>
  <c r="G641" i="2"/>
  <c r="G642" i="2"/>
  <c r="G643" i="2"/>
  <c r="G644" i="2"/>
  <c r="G645" i="2"/>
  <c r="G646" i="2"/>
  <c r="G647" i="2"/>
  <c r="G625" i="2"/>
  <c r="G626" i="2"/>
  <c r="G638" i="2"/>
  <c r="G627" i="2"/>
  <c r="G628" i="2"/>
  <c r="G629" i="2"/>
  <c r="G630" i="2"/>
  <c r="G637" i="2"/>
  <c r="G631" i="2"/>
  <c r="G632" i="2"/>
  <c r="G633" i="2"/>
  <c r="G634" i="2"/>
  <c r="G635" i="2"/>
  <c r="G636" i="2"/>
  <c r="G618" i="2"/>
  <c r="G619" i="2"/>
  <c r="G620" i="2"/>
  <c r="G621" i="2"/>
  <c r="G622" i="2"/>
  <c r="G623" i="2"/>
  <c r="G624" i="2"/>
  <c r="G609" i="2"/>
  <c r="G610" i="2"/>
  <c r="G611" i="2"/>
  <c r="G612" i="2"/>
  <c r="G613" i="2"/>
  <c r="G614" i="2"/>
  <c r="G615" i="2"/>
  <c r="G616" i="2"/>
  <c r="G608" i="2"/>
  <c r="G617" i="2"/>
  <c r="G607" i="2"/>
  <c r="G603" i="2"/>
  <c r="G604" i="2"/>
  <c r="G605" i="2"/>
  <c r="G606" i="2"/>
  <c r="G593" i="2"/>
  <c r="G594" i="2"/>
  <c r="G595" i="2"/>
  <c r="G596" i="2"/>
  <c r="G597" i="2"/>
  <c r="G598" i="2"/>
  <c r="G599" i="2"/>
  <c r="G602" i="2"/>
  <c r="G600" i="2"/>
  <c r="G601" i="2"/>
  <c r="G592" i="2"/>
  <c r="G578" i="2"/>
  <c r="G579" i="2"/>
  <c r="G580" i="2"/>
  <c r="G581" i="2"/>
  <c r="G582" i="2"/>
  <c r="G583" i="2"/>
  <c r="G577" i="2"/>
  <c r="G584" i="2"/>
  <c r="G585" i="2"/>
  <c r="G586" i="2"/>
  <c r="G587" i="2"/>
  <c r="G588" i="2"/>
  <c r="G589" i="2"/>
  <c r="G590" i="2"/>
  <c r="G591" i="2"/>
  <c r="G575" i="2"/>
  <c r="G576" i="2"/>
  <c r="G571" i="2"/>
  <c r="G572" i="2"/>
  <c r="G573" i="2"/>
  <c r="G574" i="2"/>
  <c r="G560" i="2"/>
  <c r="G561" i="2"/>
  <c r="G562" i="2"/>
  <c r="G563" i="2"/>
  <c r="G564" i="2"/>
  <c r="G565" i="2"/>
  <c r="G566" i="2"/>
  <c r="G567" i="2"/>
  <c r="G568" i="2"/>
  <c r="G569" i="2"/>
  <c r="G570" i="2"/>
  <c r="G551" i="2"/>
  <c r="G552" i="2"/>
  <c r="G553" i="2"/>
  <c r="G554" i="2"/>
  <c r="G555" i="2"/>
  <c r="G556" i="2"/>
  <c r="G557" i="2"/>
  <c r="G558" i="2"/>
  <c r="G559" i="2"/>
  <c r="G547" i="2"/>
  <c r="G548" i="2"/>
  <c r="G549" i="2"/>
  <c r="G550" i="2"/>
  <c r="G546" i="2"/>
  <c r="G545" i="2"/>
  <c r="G521" i="2"/>
  <c r="G522" i="2"/>
  <c r="G523" i="2"/>
  <c r="G520" i="2"/>
  <c r="G524" i="2"/>
  <c r="G519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18" i="2"/>
  <c r="G516" i="2"/>
  <c r="G517" i="2"/>
  <c r="G504" i="2"/>
  <c r="G505" i="2"/>
  <c r="G506" i="2"/>
  <c r="G507" i="2"/>
  <c r="G508" i="2"/>
  <c r="G509" i="2"/>
  <c r="G515" i="2"/>
  <c r="G510" i="2"/>
  <c r="G511" i="2"/>
  <c r="G512" i="2"/>
  <c r="G513" i="2"/>
  <c r="G514" i="2"/>
  <c r="G500" i="2"/>
  <c r="G501" i="2"/>
  <c r="G502" i="2"/>
  <c r="G503" i="2"/>
  <c r="G499" i="2"/>
  <c r="G491" i="2"/>
  <c r="G492" i="2"/>
  <c r="G493" i="2"/>
  <c r="G494" i="2"/>
  <c r="G495" i="2"/>
  <c r="G496" i="2"/>
  <c r="G497" i="2"/>
  <c r="G498" i="2"/>
  <c r="G482" i="2"/>
  <c r="G483" i="2"/>
  <c r="G484" i="2"/>
  <c r="G485" i="2"/>
  <c r="G486" i="2"/>
  <c r="G487" i="2"/>
  <c r="G488" i="2"/>
  <c r="G489" i="2"/>
  <c r="G490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51" i="2"/>
  <c r="G468" i="2"/>
  <c r="G469" i="2"/>
  <c r="G470" i="2"/>
  <c r="G450" i="2"/>
  <c r="G471" i="2"/>
  <c r="G472" i="2"/>
  <c r="G473" i="2"/>
  <c r="G474" i="2"/>
  <c r="G475" i="2"/>
  <c r="G476" i="2"/>
  <c r="G477" i="2"/>
  <c r="G478" i="2"/>
  <c r="G479" i="2"/>
  <c r="G480" i="2"/>
  <c r="G481" i="2"/>
  <c r="G447" i="2"/>
  <c r="G448" i="2"/>
  <c r="G449" i="2"/>
  <c r="G435" i="2"/>
  <c r="G446" i="2"/>
  <c r="G436" i="2"/>
  <c r="G437" i="2"/>
  <c r="G438" i="2"/>
  <c r="G439" i="2"/>
  <c r="G440" i="2"/>
  <c r="G426" i="2"/>
  <c r="G427" i="2"/>
  <c r="G428" i="2"/>
  <c r="G429" i="2"/>
  <c r="G430" i="2"/>
  <c r="G441" i="2"/>
  <c r="G442" i="2"/>
  <c r="G444" i="2"/>
  <c r="G431" i="2"/>
  <c r="G432" i="2"/>
  <c r="G433" i="2"/>
  <c r="G434" i="2"/>
  <c r="G445" i="2"/>
  <c r="G420" i="2"/>
  <c r="G421" i="2"/>
  <c r="G422" i="2"/>
  <c r="G423" i="2"/>
  <c r="G424" i="2"/>
  <c r="G425" i="2"/>
  <c r="G413" i="2"/>
  <c r="G419" i="2"/>
  <c r="G414" i="2"/>
  <c r="G415" i="2"/>
  <c r="G416" i="2"/>
  <c r="G417" i="2"/>
  <c r="G418" i="2"/>
  <c r="G398" i="2"/>
  <c r="G412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397" i="2"/>
  <c r="G396" i="2"/>
  <c r="G390" i="2"/>
  <c r="G391" i="2"/>
  <c r="G392" i="2"/>
  <c r="G393" i="2"/>
  <c r="G394" i="2"/>
  <c r="G395" i="2"/>
  <c r="G387" i="2"/>
  <c r="G388" i="2"/>
  <c r="G389" i="2"/>
  <c r="G382" i="2"/>
  <c r="G383" i="2"/>
  <c r="G384" i="2"/>
  <c r="G385" i="2"/>
  <c r="G386" i="2"/>
  <c r="G377" i="2"/>
  <c r="G378" i="2"/>
  <c r="G379" i="2"/>
  <c r="G380" i="2"/>
  <c r="G381" i="2"/>
  <c r="G356" i="2"/>
  <c r="G357" i="2"/>
  <c r="G358" i="2"/>
  <c r="G359" i="2"/>
  <c r="G360" i="2"/>
  <c r="G361" i="2"/>
  <c r="G362" i="2"/>
  <c r="G376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53" i="2"/>
  <c r="G354" i="2"/>
  <c r="G355" i="2"/>
  <c r="G351" i="2"/>
  <c r="G352" i="2"/>
  <c r="G350" i="2"/>
  <c r="G345" i="2"/>
  <c r="G346" i="2"/>
  <c r="G347" i="2"/>
  <c r="G348" i="2"/>
  <c r="G349" i="2"/>
  <c r="G339" i="2"/>
  <c r="G340" i="2"/>
  <c r="G341" i="2"/>
  <c r="G342" i="2"/>
  <c r="G343" i="2"/>
  <c r="G344" i="2"/>
  <c r="G332" i="2"/>
  <c r="G333" i="2"/>
  <c r="G334" i="2"/>
  <c r="G335" i="2"/>
  <c r="G336" i="2"/>
  <c r="G337" i="2"/>
  <c r="G33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299" i="2"/>
  <c r="G297" i="2"/>
  <c r="G286" i="2"/>
  <c r="G287" i="2"/>
  <c r="G288" i="2"/>
  <c r="G289" i="2"/>
  <c r="G290" i="2"/>
  <c r="G291" i="2"/>
  <c r="G292" i="2"/>
  <c r="G293" i="2"/>
  <c r="G294" i="2"/>
  <c r="G295" i="2"/>
  <c r="G296" i="2"/>
  <c r="G298" i="2"/>
  <c r="G275" i="2"/>
  <c r="G276" i="2"/>
  <c r="G277" i="2"/>
  <c r="G278" i="2"/>
  <c r="G279" i="2"/>
  <c r="G280" i="2"/>
  <c r="G281" i="2"/>
  <c r="G282" i="2"/>
  <c r="G283" i="2"/>
  <c r="G284" i="2"/>
  <c r="G285" i="2"/>
  <c r="G269" i="2"/>
  <c r="G270" i="2"/>
  <c r="G271" i="2"/>
  <c r="G272" i="2"/>
  <c r="G273" i="2"/>
  <c r="G274" i="2"/>
  <c r="G268" i="2"/>
  <c r="G262" i="2"/>
  <c r="G263" i="2"/>
  <c r="G264" i="2"/>
  <c r="G265" i="2"/>
  <c r="G266" i="2"/>
  <c r="G267" i="2"/>
  <c r="G241" i="2"/>
  <c r="G242" i="2"/>
  <c r="G243" i="2"/>
  <c r="G244" i="2"/>
  <c r="G245" i="2"/>
  <c r="G246" i="2"/>
  <c r="G247" i="2"/>
  <c r="G240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39" i="2"/>
  <c r="G238" i="2"/>
  <c r="G236" i="2"/>
  <c r="G237" i="2"/>
  <c r="G233" i="2"/>
  <c r="G228" i="2"/>
  <c r="G227" i="2"/>
  <c r="G230" i="2"/>
  <c r="G231" i="2"/>
  <c r="G234" i="2"/>
  <c r="G229" i="2"/>
  <c r="G232" i="2"/>
  <c r="G221" i="2"/>
  <c r="G222" i="2"/>
  <c r="G223" i="2"/>
  <c r="G235" i="2"/>
  <c r="G224" i="2"/>
  <c r="G218" i="2"/>
  <c r="G220" i="2"/>
  <c r="G225" i="2"/>
  <c r="G219" i="2"/>
  <c r="G215" i="2"/>
  <c r="G217" i="2"/>
  <c r="G216" i="2"/>
  <c r="G214" i="2"/>
  <c r="G213" i="2"/>
  <c r="G211" i="2"/>
  <c r="G210" i="2"/>
  <c r="G212" i="2"/>
  <c r="G209" i="2"/>
  <c r="G207" i="2"/>
  <c r="G208" i="2"/>
  <c r="G205" i="2"/>
  <c r="G202" i="2"/>
  <c r="G198" i="2"/>
  <c r="G203" i="2"/>
  <c r="G199" i="2"/>
  <c r="G192" i="2"/>
  <c r="G194" i="2"/>
  <c r="G189" i="2"/>
  <c r="G193" i="2"/>
  <c r="G190" i="2"/>
  <c r="G188" i="2"/>
  <c r="G191" i="2"/>
  <c r="G197" i="2"/>
  <c r="G195" i="2"/>
  <c r="G196" i="2"/>
  <c r="G206" i="2"/>
  <c r="G201" i="2"/>
  <c r="G200" i="2"/>
  <c r="G204" i="2"/>
  <c r="G186" i="2"/>
  <c r="G187" i="2"/>
  <c r="G180" i="2"/>
  <c r="G183" i="2"/>
  <c r="G184" i="2"/>
  <c r="G182" i="2"/>
  <c r="G185" i="2"/>
  <c r="G179" i="2"/>
  <c r="G181" i="2"/>
  <c r="G178" i="2"/>
  <c r="G175" i="2"/>
  <c r="G177" i="2"/>
  <c r="G174" i="2"/>
  <c r="G176" i="2"/>
  <c r="G173" i="2"/>
  <c r="G172" i="2"/>
  <c r="G166" i="2"/>
  <c r="G169" i="2"/>
  <c r="G170" i="2"/>
  <c r="G171" i="2"/>
  <c r="G167" i="2"/>
  <c r="G168" i="2"/>
  <c r="G165" i="2"/>
  <c r="G162" i="2"/>
  <c r="G159" i="2"/>
  <c r="G155" i="2"/>
  <c r="G164" i="2"/>
  <c r="G158" i="2"/>
  <c r="G157" i="2"/>
  <c r="G152" i="2"/>
  <c r="G149" i="2"/>
  <c r="G156" i="2"/>
  <c r="G160" i="2"/>
  <c r="G163" i="2"/>
  <c r="G161" i="2"/>
  <c r="G153" i="2"/>
  <c r="G151" i="2"/>
  <c r="G154" i="2"/>
  <c r="G147" i="2"/>
  <c r="G150" i="2"/>
  <c r="G148" i="2"/>
  <c r="G146" i="2"/>
  <c r="G145" i="2"/>
  <c r="G143" i="2"/>
  <c r="G144" i="2"/>
  <c r="G135" i="2"/>
  <c r="G137" i="2"/>
  <c r="G138" i="2"/>
  <c r="G136" i="2"/>
  <c r="G142" i="2"/>
  <c r="G139" i="2"/>
  <c r="G140" i="2"/>
  <c r="G141" i="2"/>
  <c r="G127" i="2"/>
  <c r="G126" i="2"/>
  <c r="G131" i="2"/>
  <c r="G132" i="2"/>
  <c r="G130" i="2"/>
  <c r="G128" i="2"/>
  <c r="G134" i="2"/>
  <c r="G133" i="2"/>
  <c r="G129" i="2"/>
  <c r="G123" i="2"/>
  <c r="G125" i="2"/>
  <c r="G124" i="2"/>
  <c r="G119" i="2"/>
  <c r="G121" i="2"/>
  <c r="G120" i="2"/>
  <c r="G116" i="2"/>
  <c r="G118" i="2"/>
  <c r="G117" i="2"/>
  <c r="G122" i="2"/>
  <c r="G115" i="2"/>
  <c r="G114" i="2"/>
  <c r="G110" i="2"/>
  <c r="G112" i="2"/>
  <c r="G113" i="2"/>
  <c r="G111" i="2"/>
  <c r="G108" i="2"/>
  <c r="G109" i="2"/>
  <c r="G99" i="2"/>
  <c r="G101" i="2"/>
  <c r="G88" i="2"/>
  <c r="G106" i="2"/>
  <c r="G104" i="2"/>
  <c r="G105" i="2"/>
  <c r="G93" i="2"/>
  <c r="G95" i="2"/>
  <c r="G98" i="2"/>
  <c r="G90" i="2"/>
  <c r="G91" i="2"/>
  <c r="G92" i="2"/>
  <c r="G89" i="2"/>
  <c r="G103" i="2"/>
  <c r="G107" i="2"/>
  <c r="G100" i="2"/>
  <c r="G94" i="2"/>
  <c r="G102" i="2"/>
  <c r="G96" i="2"/>
  <c r="G97" i="2"/>
  <c r="G87" i="2"/>
  <c r="G86" i="2"/>
  <c r="G85" i="2"/>
  <c r="G84" i="2"/>
  <c r="G83" i="2"/>
  <c r="G78" i="2"/>
  <c r="G79" i="2"/>
  <c r="G82" i="2"/>
  <c r="G80" i="2"/>
  <c r="G81" i="2"/>
  <c r="G72" i="2"/>
  <c r="G75" i="2"/>
  <c r="G77" i="2"/>
  <c r="G76" i="2"/>
  <c r="G73" i="2"/>
  <c r="G74" i="2"/>
  <c r="G71" i="2"/>
  <c r="G60" i="2"/>
  <c r="G69" i="2"/>
  <c r="G68" i="2"/>
  <c r="G70" i="2"/>
  <c r="G61" i="2"/>
  <c r="G63" i="2"/>
  <c r="G64" i="2"/>
  <c r="G67" i="2"/>
  <c r="G65" i="2"/>
  <c r="G66" i="2"/>
  <c r="G62" i="2"/>
  <c r="G59" i="2"/>
  <c r="G55" i="2"/>
  <c r="G52" i="2"/>
  <c r="G53" i="2"/>
  <c r="G58" i="2"/>
  <c r="G56" i="2"/>
  <c r="G57" i="2"/>
  <c r="G54" i="2"/>
  <c r="G34" i="2"/>
  <c r="G41" i="2"/>
  <c r="G44" i="2"/>
  <c r="G37" i="2"/>
  <c r="G39" i="2"/>
  <c r="G42" i="2"/>
  <c r="G35" i="2"/>
  <c r="G38" i="2"/>
  <c r="G48" i="2"/>
  <c r="G49" i="2"/>
  <c r="G51" i="2"/>
  <c r="G40" i="2"/>
  <c r="G45" i="2"/>
  <c r="G47" i="2"/>
  <c r="G50" i="2"/>
  <c r="G36" i="2"/>
  <c r="G46" i="2"/>
  <c r="G43" i="2"/>
  <c r="G33" i="2"/>
  <c r="G32" i="2"/>
  <c r="G29" i="2"/>
  <c r="G30" i="2"/>
  <c r="G31" i="2"/>
  <c r="G28" i="2"/>
  <c r="G14" i="2"/>
  <c r="G27" i="2"/>
  <c r="G16" i="2"/>
  <c r="G18" i="2"/>
  <c r="G22" i="2"/>
  <c r="G21" i="2"/>
  <c r="G15" i="2"/>
  <c r="G25" i="2"/>
  <c r="G23" i="2"/>
  <c r="G24" i="2"/>
  <c r="G26" i="2"/>
  <c r="G20" i="2"/>
  <c r="G19" i="2"/>
  <c r="G17" i="2"/>
  <c r="G12" i="2"/>
  <c r="G8" i="2"/>
  <c r="G6" i="2"/>
  <c r="G10" i="2"/>
  <c r="G5" i="2"/>
  <c r="G13" i="2"/>
  <c r="G9" i="2"/>
  <c r="G11" i="2"/>
  <c r="G7" i="2"/>
  <c r="G4" i="2"/>
  <c r="G1202" i="2"/>
  <c r="G1235" i="2"/>
  <c r="G1311" i="2"/>
  <c r="G1308" i="2"/>
  <c r="G1303" i="2"/>
  <c r="G1304" i="2"/>
  <c r="G1305" i="2"/>
  <c r="G1306" i="2"/>
  <c r="G1309" i="2"/>
  <c r="G1315" i="2"/>
  <c r="G1316" i="2"/>
  <c r="G1325" i="2"/>
  <c r="G1317" i="2"/>
  <c r="G1318" i="2"/>
  <c r="G1319" i="2"/>
  <c r="G1310" i="2"/>
  <c r="G1296" i="2"/>
  <c r="G1297" i="2"/>
  <c r="G1298" i="2"/>
  <c r="G1289" i="2"/>
  <c r="G1290" i="2"/>
  <c r="G1299" i="2"/>
  <c r="G1300" i="2"/>
  <c r="G1301" i="2"/>
  <c r="G1291" i="2"/>
  <c r="G1302" i="2"/>
  <c r="G1292" i="2"/>
  <c r="G1293" i="2"/>
  <c r="G1284" i="2"/>
  <c r="G1285" i="2"/>
  <c r="G1294" i="2"/>
  <c r="G1295" i="2"/>
  <c r="G1283" i="2"/>
  <c r="G1278" i="2"/>
  <c r="G1279" i="2"/>
  <c r="G1286" i="2"/>
  <c r="G1287" i="2"/>
  <c r="G1288" i="2"/>
  <c r="G1280" i="2"/>
  <c r="G1281" i="2"/>
  <c r="G1282" i="2"/>
  <c r="G1275" i="2"/>
  <c r="G1273" i="2"/>
  <c r="G1269" i="2"/>
  <c r="G1259" i="2"/>
  <c r="G1260" i="2"/>
  <c r="G1261" i="2"/>
  <c r="G1270" i="2"/>
  <c r="G1276" i="2"/>
  <c r="G1277" i="2"/>
  <c r="G1274" i="2"/>
  <c r="G1271" i="2"/>
  <c r="G1262" i="2"/>
  <c r="G1263" i="2"/>
  <c r="G1264" i="2"/>
  <c r="G1265" i="2"/>
  <c r="G1266" i="2"/>
  <c r="G1272" i="2"/>
  <c r="G1267" i="2"/>
  <c r="G1258" i="2"/>
  <c r="G1252" i="2"/>
  <c r="G1253" i="2"/>
  <c r="G1268" i="2"/>
  <c r="G1246" i="2"/>
  <c r="G1247" i="2"/>
  <c r="G1248" i="2"/>
  <c r="G1249" i="2"/>
  <c r="G1254" i="2"/>
  <c r="G1255" i="2"/>
  <c r="G1256" i="2"/>
  <c r="G1257" i="2"/>
  <c r="G1250" i="2"/>
  <c r="G1251" i="2"/>
  <c r="G1245" i="2"/>
  <c r="G1241" i="2"/>
  <c r="G1240" i="2"/>
  <c r="G1242" i="2"/>
  <c r="G1236" i="2"/>
  <c r="G1243" i="2"/>
  <c r="G1239" i="2"/>
  <c r="G1244" i="2"/>
  <c r="G1233" i="2"/>
  <c r="G1237" i="2"/>
  <c r="G1234" i="2"/>
  <c r="G1222" i="2"/>
  <c r="G1223" i="2"/>
  <c r="G1238" i="2"/>
  <c r="G1217" i="2"/>
  <c r="G1218" i="2"/>
  <c r="G1224" i="2"/>
  <c r="G1221" i="2"/>
  <c r="G1219" i="2"/>
  <c r="G1220" i="2"/>
  <c r="G1216" i="2"/>
  <c r="G1225" i="2"/>
  <c r="G1226" i="2"/>
  <c r="G1227" i="2"/>
  <c r="G1228" i="2"/>
  <c r="G1229" i="2"/>
  <c r="G1230" i="2"/>
  <c r="G1231" i="2"/>
  <c r="G1232" i="2"/>
  <c r="G1209" i="2"/>
  <c r="G1210" i="2"/>
  <c r="G1211" i="2"/>
  <c r="G1212" i="2"/>
  <c r="G1197" i="2"/>
  <c r="G1198" i="2"/>
  <c r="G1199" i="2"/>
  <c r="G1213" i="2"/>
  <c r="G1214" i="2"/>
  <c r="G1200" i="2"/>
  <c r="G1215" i="2"/>
  <c r="G1201" i="2"/>
  <c r="G1203" i="2"/>
  <c r="G1191" i="2"/>
  <c r="G1192" i="2"/>
  <c r="G1193" i="2"/>
  <c r="G1204" i="2"/>
  <c r="G1205" i="2"/>
  <c r="G1206" i="2"/>
  <c r="G1194" i="2"/>
  <c r="G1207" i="2"/>
  <c r="G1208" i="2"/>
  <c r="G1195" i="2"/>
  <c r="G1186" i="2"/>
  <c r="G1187" i="2"/>
  <c r="G1196" i="2"/>
  <c r="G1188" i="2"/>
  <c r="G1184" i="2"/>
  <c r="G1189" i="2"/>
  <c r="G1190" i="2"/>
  <c r="G1175" i="2"/>
  <c r="G1176" i="2"/>
  <c r="G1177" i="2"/>
  <c r="G1185" i="2"/>
  <c r="G1178" i="2"/>
  <c r="G1181" i="2"/>
  <c r="G1182" i="2"/>
  <c r="G1183" i="2"/>
  <c r="G1168" i="2"/>
  <c r="G1169" i="2"/>
  <c r="G1179" i="2"/>
  <c r="G1180" i="2"/>
  <c r="G1163" i="2"/>
  <c r="G1170" i="2"/>
  <c r="G1171" i="2"/>
  <c r="G1172" i="2"/>
  <c r="G1173" i="2"/>
  <c r="G1174" i="2"/>
  <c r="G1164" i="2"/>
  <c r="G1155" i="2"/>
  <c r="G1156" i="2"/>
  <c r="G1165" i="2"/>
  <c r="G1166" i="2"/>
  <c r="G1157" i="2"/>
  <c r="G1167" i="2"/>
  <c r="G1158" i="2"/>
  <c r="G1159" i="2"/>
  <c r="G1160" i="2"/>
  <c r="G1152" i="2"/>
  <c r="G1161" i="2"/>
  <c r="G1162" i="2"/>
  <c r="G1143" i="2"/>
  <c r="G1153" i="2"/>
  <c r="G1154" i="2"/>
  <c r="G1144" i="2"/>
  <c r="G1141" i="2"/>
  <c r="G1145" i="2"/>
  <c r="G1146" i="2"/>
  <c r="G1147" i="2"/>
  <c r="G1148" i="2"/>
  <c r="G1149" i="2"/>
  <c r="G1150" i="2"/>
  <c r="G1142" i="2"/>
  <c r="G1313" i="2"/>
  <c r="G1324" i="2"/>
  <c r="G1312" i="2"/>
  <c r="G1307" i="2"/>
  <c r="B20" i="8"/>
  <c r="C2" i="9"/>
  <c r="R75" i="4"/>
  <c r="G2257" i="2" l="1"/>
  <c r="I2257" i="2"/>
  <c r="G2256" i="2"/>
  <c r="I2256" i="2"/>
  <c r="G2254" i="2"/>
  <c r="I2254" i="2"/>
  <c r="G2253" i="2"/>
  <c r="I2253" i="2"/>
  <c r="G2251" i="2"/>
  <c r="I2251" i="2"/>
  <c r="G2249" i="2"/>
  <c r="I2249" i="2"/>
  <c r="G2248" i="2"/>
  <c r="I2248" i="2"/>
  <c r="G2247" i="2"/>
  <c r="I2247" i="2"/>
  <c r="G2246" i="2"/>
  <c r="I2246" i="2"/>
  <c r="G2244" i="2"/>
  <c r="I2244" i="2"/>
  <c r="G2243" i="2"/>
  <c r="I2243" i="2"/>
  <c r="G2242" i="2"/>
  <c r="I2242" i="2"/>
  <c r="G2237" i="2"/>
  <c r="I2237" i="2"/>
  <c r="G2234" i="2"/>
  <c r="I2234" i="2"/>
  <c r="G2233" i="2"/>
  <c r="I2233" i="2"/>
  <c r="G2232" i="2"/>
  <c r="I2232" i="2"/>
  <c r="G2231" i="2"/>
  <c r="I2231" i="2"/>
  <c r="G2230" i="2"/>
  <c r="I2230" i="2"/>
  <c r="G2228" i="2"/>
  <c r="I2228" i="2"/>
  <c r="G2227" i="2"/>
  <c r="I2227" i="2"/>
  <c r="G2226" i="2"/>
  <c r="I2226" i="2"/>
  <c r="G2225" i="2"/>
  <c r="I2225" i="2"/>
  <c r="G2224" i="2"/>
  <c r="I2224" i="2"/>
  <c r="G2223" i="2"/>
  <c r="I2223" i="2"/>
  <c r="G2222" i="2"/>
  <c r="I2222" i="2"/>
  <c r="G2220" i="2"/>
  <c r="I2220" i="2"/>
  <c r="G2219" i="2"/>
  <c r="I2219" i="2"/>
  <c r="G2218" i="2"/>
  <c r="I2218" i="2"/>
  <c r="G2216" i="2"/>
  <c r="I2216" i="2"/>
  <c r="G2215" i="2"/>
  <c r="I2215" i="2"/>
  <c r="G2214" i="2"/>
  <c r="I2214" i="2"/>
  <c r="G2213" i="2"/>
  <c r="I2213" i="2"/>
  <c r="G2212" i="2"/>
  <c r="I2212" i="2"/>
  <c r="G2211" i="2"/>
  <c r="I2211" i="2"/>
  <c r="G2210" i="2"/>
  <c r="I2210" i="2"/>
  <c r="G2209" i="2"/>
  <c r="I2209" i="2"/>
  <c r="G2208" i="2"/>
  <c r="I2208" i="2"/>
  <c r="G2207" i="2"/>
  <c r="I2207" i="2"/>
  <c r="G2206" i="2"/>
  <c r="I2206" i="2"/>
  <c r="G2205" i="2"/>
  <c r="I2205" i="2"/>
  <c r="G2202" i="2"/>
  <c r="I2202" i="2"/>
  <c r="G2201" i="2"/>
  <c r="I2201" i="2"/>
  <c r="G2200" i="2"/>
  <c r="I2200" i="2"/>
  <c r="G2199" i="2"/>
  <c r="I2199" i="2"/>
  <c r="G2198" i="2"/>
  <c r="I2198" i="2"/>
  <c r="G2197" i="2"/>
  <c r="I2197" i="2"/>
  <c r="G2193" i="2"/>
  <c r="I2193" i="2"/>
  <c r="G2190" i="2"/>
  <c r="I2190" i="2"/>
  <c r="G2188" i="2"/>
  <c r="I2188" i="2"/>
  <c r="G2183" i="2"/>
  <c r="I2183" i="2"/>
  <c r="G2182" i="2"/>
  <c r="I2182" i="2"/>
  <c r="G2181" i="2"/>
  <c r="I2181" i="2"/>
  <c r="G2180" i="2"/>
  <c r="I2180" i="2"/>
  <c r="G2179" i="2"/>
  <c r="I2179" i="2"/>
  <c r="G2177" i="2"/>
  <c r="I2177" i="2"/>
  <c r="G2176" i="2"/>
  <c r="I2176" i="2"/>
  <c r="G2175" i="2"/>
  <c r="I2175" i="2"/>
  <c r="G2174" i="2"/>
  <c r="I2174" i="2"/>
  <c r="G2173" i="2"/>
  <c r="I2173" i="2"/>
  <c r="G2172" i="2"/>
  <c r="I2172" i="2"/>
  <c r="G2169" i="2"/>
  <c r="I2169" i="2"/>
  <c r="G2168" i="2"/>
  <c r="I2168" i="2"/>
  <c r="G2165" i="2"/>
  <c r="I2165" i="2"/>
  <c r="G2162" i="2"/>
  <c r="I2162" i="2"/>
  <c r="G2160" i="2"/>
  <c r="I2160" i="2"/>
  <c r="G2159" i="2"/>
  <c r="I2159" i="2"/>
  <c r="G2158" i="2"/>
  <c r="I2158" i="2"/>
  <c r="G2155" i="2"/>
  <c r="I2155" i="2"/>
  <c r="G2153" i="2"/>
  <c r="I2153" i="2"/>
  <c r="G2152" i="2"/>
  <c r="I2152" i="2"/>
  <c r="G2151" i="2"/>
  <c r="I2151" i="2"/>
  <c r="G2150" i="2"/>
  <c r="I2150" i="2"/>
  <c r="G2149" i="2"/>
  <c r="I2149" i="2"/>
  <c r="G2148" i="2"/>
  <c r="I2148" i="2"/>
  <c r="G2147" i="2"/>
  <c r="I2147" i="2"/>
  <c r="G2146" i="2"/>
  <c r="I2146" i="2"/>
  <c r="G2144" i="2"/>
  <c r="I2144" i="2"/>
  <c r="G2143" i="2"/>
  <c r="I2143" i="2"/>
  <c r="G2140" i="2"/>
  <c r="I2140" i="2"/>
  <c r="G2138" i="2"/>
  <c r="I2138" i="2"/>
  <c r="G2137" i="2"/>
  <c r="I2137" i="2"/>
  <c r="G2136" i="2"/>
  <c r="I2136" i="2"/>
  <c r="G2135" i="2"/>
  <c r="I2135" i="2"/>
  <c r="G2134" i="2"/>
  <c r="I2134" i="2"/>
  <c r="G2131" i="2"/>
  <c r="I2131" i="2"/>
  <c r="G2129" i="2"/>
  <c r="I2129" i="2"/>
  <c r="G2128" i="2"/>
  <c r="I2128" i="2"/>
  <c r="G2127" i="2"/>
  <c r="I2127" i="2"/>
  <c r="G2123" i="2"/>
  <c r="I2123" i="2"/>
  <c r="G2121" i="2"/>
  <c r="I2121" i="2"/>
  <c r="G2120" i="2"/>
  <c r="I2120" i="2"/>
  <c r="G2119" i="2"/>
  <c r="I2119" i="2"/>
  <c r="G2118" i="2"/>
  <c r="I2118" i="2"/>
  <c r="G2117" i="2"/>
  <c r="I2117" i="2"/>
  <c r="G2116" i="2"/>
  <c r="I2116" i="2"/>
  <c r="G2115" i="2"/>
  <c r="I2115" i="2"/>
  <c r="G2112" i="2"/>
  <c r="I2112" i="2"/>
  <c r="G2111" i="2"/>
  <c r="I2111" i="2"/>
  <c r="G2110" i="2"/>
  <c r="I2110" i="2"/>
  <c r="G2109" i="2"/>
  <c r="I2109" i="2"/>
  <c r="G2108" i="2"/>
  <c r="I2108" i="2"/>
  <c r="G2107" i="2"/>
  <c r="I2107" i="2"/>
  <c r="G2106" i="2"/>
  <c r="I2106" i="2"/>
  <c r="G2105" i="2"/>
  <c r="I2105" i="2"/>
  <c r="G2104" i="2"/>
  <c r="I2104" i="2"/>
  <c r="G2103" i="2"/>
  <c r="I2103" i="2"/>
  <c r="G2102" i="2"/>
  <c r="I2102" i="2"/>
  <c r="G2100" i="2"/>
  <c r="I2100" i="2"/>
  <c r="G2099" i="2"/>
  <c r="I2099" i="2"/>
  <c r="G2098" i="2"/>
  <c r="I2098" i="2"/>
  <c r="G2096" i="2"/>
  <c r="I2096" i="2"/>
  <c r="G2095" i="2"/>
  <c r="I2095" i="2"/>
  <c r="G2094" i="2"/>
  <c r="I2094" i="2"/>
  <c r="G2093" i="2"/>
  <c r="I2093" i="2"/>
  <c r="G2092" i="2"/>
  <c r="I2092" i="2"/>
  <c r="G2091" i="2"/>
  <c r="I2091" i="2"/>
  <c r="G2090" i="2"/>
  <c r="I2090" i="2"/>
  <c r="G2089" i="2"/>
  <c r="I2089" i="2"/>
  <c r="G2079" i="2"/>
  <c r="I2079" i="2"/>
  <c r="G2080" i="2"/>
  <c r="I2080" i="2"/>
  <c r="G2066" i="2"/>
  <c r="I2066" i="2"/>
  <c r="G2067" i="2"/>
  <c r="I2067" i="2"/>
  <c r="G2068" i="2"/>
  <c r="I2068" i="2"/>
  <c r="G2081" i="2"/>
  <c r="I2081" i="2"/>
  <c r="G2082" i="2"/>
  <c r="I2082" i="2"/>
  <c r="G2069" i="2"/>
  <c r="I2069" i="2"/>
  <c r="G2083" i="2"/>
  <c r="I2083" i="2"/>
  <c r="G2070" i="2"/>
  <c r="I2070" i="2"/>
  <c r="G2084" i="2"/>
  <c r="I2084" i="2"/>
  <c r="G2085" i="2"/>
  <c r="I2085" i="2"/>
  <c r="G2086" i="2"/>
  <c r="I2086" i="2"/>
  <c r="G2087" i="2"/>
  <c r="I2087" i="2"/>
  <c r="G2088" i="2"/>
  <c r="I2088" i="2"/>
  <c r="G2071" i="2"/>
  <c r="I2071" i="2"/>
  <c r="G2072" i="2"/>
  <c r="I2072" i="2"/>
  <c r="G2062" i="2"/>
  <c r="I2062" i="2"/>
  <c r="G2063" i="2"/>
  <c r="I2063" i="2"/>
  <c r="G2073" i="2"/>
  <c r="I2073" i="2"/>
  <c r="G2064" i="2"/>
  <c r="I2064" i="2"/>
  <c r="G2074" i="2"/>
  <c r="I2074" i="2"/>
  <c r="G2075" i="2"/>
  <c r="I2075" i="2"/>
  <c r="G2076" i="2"/>
  <c r="I2076" i="2"/>
  <c r="G2077" i="2"/>
  <c r="I2077" i="2"/>
  <c r="G2078" i="2"/>
  <c r="I2078" i="2"/>
  <c r="G2055" i="2"/>
  <c r="I2055" i="2"/>
  <c r="G2056" i="2"/>
  <c r="I2056" i="2"/>
  <c r="G2057" i="2"/>
  <c r="I2057" i="2"/>
  <c r="G2058" i="2"/>
  <c r="I2058" i="2"/>
  <c r="G2065" i="2"/>
  <c r="I2065" i="2"/>
  <c r="G2059" i="2"/>
  <c r="I2059" i="2"/>
  <c r="G2060" i="2"/>
  <c r="I2060" i="2"/>
  <c r="G2061" i="2"/>
  <c r="I2061" i="2"/>
  <c r="G2044" i="2"/>
  <c r="I2044" i="2"/>
  <c r="G2045" i="2"/>
  <c r="I2045" i="2"/>
  <c r="G2046" i="2"/>
  <c r="I2046" i="2"/>
  <c r="G2047" i="2"/>
  <c r="I2047" i="2"/>
  <c r="G2048" i="2"/>
  <c r="I2048" i="2"/>
  <c r="G2049" i="2"/>
  <c r="I2049" i="2"/>
  <c r="G2050" i="2"/>
  <c r="I2050" i="2"/>
  <c r="G2051" i="2"/>
  <c r="I2051" i="2"/>
  <c r="G2052" i="2"/>
  <c r="I2052" i="2"/>
  <c r="G2039" i="2"/>
  <c r="I2039" i="2"/>
  <c r="G2040" i="2"/>
  <c r="I2040" i="2"/>
  <c r="G2041" i="2"/>
  <c r="I2041" i="2"/>
  <c r="G2042" i="2"/>
  <c r="I2042" i="2"/>
  <c r="G2043" i="2"/>
  <c r="I2043" i="2"/>
  <c r="G2053" i="2"/>
  <c r="I2053" i="2"/>
  <c r="G2054" i="2"/>
  <c r="I2054" i="2"/>
  <c r="G1949" i="2"/>
  <c r="I1949" i="2"/>
  <c r="G1948" i="2"/>
  <c r="I1948" i="2"/>
  <c r="G1947" i="2"/>
  <c r="I1947" i="2"/>
  <c r="G1946" i="2"/>
  <c r="I1946" i="2"/>
  <c r="G1965" i="2"/>
  <c r="I1965" i="2"/>
  <c r="G1964" i="2"/>
  <c r="I1964" i="2"/>
  <c r="G1861" i="2"/>
  <c r="I1861" i="2"/>
  <c r="G1857" i="2"/>
  <c r="I1857" i="2"/>
  <c r="G1858" i="2"/>
  <c r="I1858" i="2"/>
  <c r="G1862" i="2"/>
  <c r="I1862" i="2"/>
  <c r="G1863" i="2"/>
  <c r="I1863" i="2"/>
  <c r="G1864" i="2"/>
  <c r="I1864" i="2"/>
  <c r="G1871" i="2"/>
  <c r="I1871" i="2"/>
  <c r="G2029" i="2"/>
  <c r="I2029" i="2"/>
  <c r="G2038" i="2"/>
  <c r="I2038" i="2"/>
  <c r="G1859" i="2"/>
  <c r="I1859" i="2"/>
  <c r="G1860" i="2"/>
  <c r="I1860" i="2"/>
  <c r="G1788" i="2"/>
  <c r="I1788" i="2"/>
  <c r="G1789" i="2"/>
  <c r="I1789" i="2"/>
  <c r="G1709" i="2"/>
  <c r="I1709" i="2"/>
  <c r="G1710" i="2"/>
  <c r="I1710" i="2"/>
  <c r="G1711" i="2"/>
  <c r="I1711" i="2"/>
  <c r="G1712" i="2"/>
  <c r="I1712" i="2"/>
  <c r="G1713" i="2"/>
  <c r="I1713" i="2"/>
  <c r="G1705" i="2"/>
  <c r="I1705" i="2"/>
  <c r="G1704" i="2"/>
  <c r="I1704" i="2"/>
  <c r="G1706" i="2"/>
  <c r="I1706" i="2"/>
  <c r="G1714" i="2"/>
  <c r="I1714" i="2"/>
  <c r="G1715" i="2"/>
  <c r="I1715" i="2"/>
  <c r="G1716" i="2"/>
  <c r="I1716" i="2"/>
  <c r="G1717" i="2"/>
  <c r="I1717" i="2"/>
  <c r="G1718" i="2"/>
  <c r="I1718" i="2"/>
  <c r="G1719" i="2"/>
  <c r="I1719" i="2"/>
  <c r="G1720" i="2"/>
  <c r="I1720" i="2"/>
  <c r="G1721" i="2"/>
  <c r="I1721" i="2"/>
  <c r="G1722" i="2"/>
  <c r="I1722" i="2"/>
  <c r="G1723" i="2"/>
  <c r="I1723" i="2"/>
  <c r="G1724" i="2"/>
  <c r="I1724" i="2"/>
  <c r="G1725" i="2"/>
  <c r="I1725" i="2"/>
  <c r="G1726" i="2"/>
  <c r="I1726" i="2"/>
  <c r="G1727" i="2"/>
  <c r="I1727" i="2"/>
  <c r="G1848" i="2"/>
  <c r="I1848" i="2"/>
  <c r="G1849" i="2"/>
  <c r="I1849" i="2"/>
  <c r="G1854" i="2"/>
  <c r="I1854" i="2"/>
  <c r="G1855" i="2"/>
  <c r="I1855" i="2"/>
  <c r="G1856" i="2"/>
  <c r="I1856" i="2"/>
  <c r="G1850" i="2"/>
  <c r="I1850" i="2"/>
  <c r="G1844" i="2"/>
  <c r="I1844" i="2"/>
  <c r="G1845" i="2"/>
  <c r="I1845" i="2"/>
  <c r="G1851" i="2"/>
  <c r="I1851" i="2"/>
  <c r="G1846" i="2"/>
  <c r="I1846" i="2"/>
  <c r="G1852" i="2"/>
  <c r="I1852" i="2"/>
  <c r="G1847" i="2"/>
  <c r="I1847" i="2"/>
  <c r="G1853" i="2"/>
  <c r="I1853" i="2"/>
  <c r="G1841" i="2"/>
  <c r="I1841" i="2"/>
  <c r="G1837" i="2"/>
  <c r="I1837" i="2"/>
  <c r="G1842" i="2"/>
  <c r="I1842" i="2"/>
  <c r="G1838" i="2"/>
  <c r="I1838" i="2"/>
  <c r="G1825" i="2"/>
  <c r="I1825" i="2"/>
  <c r="G1826" i="2"/>
  <c r="I1826" i="2"/>
  <c r="G1839" i="2"/>
  <c r="I1839" i="2"/>
  <c r="G1840" i="2"/>
  <c r="I1840" i="2"/>
  <c r="G1822" i="2"/>
  <c r="I1822" i="2"/>
  <c r="G1823" i="2"/>
  <c r="I1823" i="2"/>
  <c r="G1824" i="2"/>
  <c r="I1824" i="2"/>
  <c r="G1827" i="2"/>
  <c r="I1827" i="2"/>
  <c r="G1828" i="2"/>
  <c r="I1828" i="2"/>
  <c r="G1829" i="2"/>
  <c r="I1829" i="2"/>
  <c r="G1830" i="2"/>
  <c r="I1830" i="2"/>
  <c r="G1831" i="2"/>
  <c r="I1831" i="2"/>
  <c r="G1832" i="2"/>
  <c r="I1832" i="2"/>
  <c r="G1833" i="2"/>
  <c r="I1833" i="2"/>
  <c r="G1834" i="2"/>
  <c r="I1834" i="2"/>
  <c r="G1835" i="2"/>
  <c r="I1835" i="2"/>
  <c r="G1836" i="2"/>
  <c r="I1836" i="2"/>
  <c r="G1802" i="2"/>
  <c r="I1802" i="2"/>
  <c r="G1801" i="2"/>
  <c r="I1801" i="2"/>
  <c r="G1800" i="2"/>
  <c r="I1800" i="2"/>
  <c r="G1799" i="2"/>
  <c r="I1799" i="2"/>
  <c r="G1798" i="2"/>
  <c r="I1798" i="2"/>
  <c r="G1794" i="2"/>
  <c r="I1794" i="2"/>
  <c r="G1797" i="2"/>
  <c r="I1797" i="2"/>
  <c r="G1796" i="2"/>
  <c r="I1796" i="2"/>
  <c r="G1809" i="2"/>
  <c r="I1809" i="2"/>
  <c r="G1808" i="2"/>
  <c r="I1808" i="2"/>
  <c r="G1807" i="2"/>
  <c r="I1807" i="2"/>
  <c r="G1806" i="2"/>
  <c r="I1806" i="2"/>
  <c r="G1805" i="2"/>
  <c r="I1805" i="2"/>
  <c r="G1795" i="2"/>
  <c r="I1795" i="2"/>
  <c r="G1813" i="2"/>
  <c r="I1813" i="2"/>
  <c r="G1812" i="2"/>
  <c r="I1812" i="2"/>
  <c r="G1804" i="2"/>
  <c r="I1804" i="2"/>
  <c r="G1803" i="2"/>
  <c r="I1803" i="2"/>
  <c r="G1817" i="2"/>
  <c r="I1817" i="2"/>
  <c r="G1816" i="2"/>
  <c r="I1816" i="2"/>
  <c r="G1811" i="2"/>
  <c r="I1811" i="2"/>
  <c r="G1810" i="2"/>
  <c r="I1810" i="2"/>
  <c r="G1815" i="2"/>
  <c r="I1815" i="2"/>
  <c r="G1821" i="2"/>
  <c r="I1821" i="2"/>
  <c r="G1814" i="2"/>
  <c r="I1814" i="2"/>
  <c r="G1820" i="2"/>
  <c r="I1820" i="2"/>
  <c r="G1819" i="2"/>
  <c r="I1819" i="2"/>
  <c r="G1818" i="2"/>
  <c r="I1818" i="2"/>
  <c r="G1728" i="2"/>
  <c r="I1728" i="2"/>
  <c r="G1729" i="2"/>
  <c r="I1729" i="2"/>
  <c r="G1730" i="2"/>
  <c r="I1730" i="2"/>
  <c r="G1731" i="2"/>
  <c r="I1731" i="2"/>
  <c r="G1732" i="2"/>
  <c r="I1732" i="2"/>
  <c r="G1733" i="2"/>
  <c r="I1733" i="2"/>
  <c r="G1734" i="2"/>
  <c r="I1734" i="2"/>
  <c r="G1735" i="2"/>
  <c r="I1735" i="2"/>
  <c r="G1736" i="2"/>
  <c r="I1736" i="2"/>
  <c r="G1737" i="2"/>
  <c r="I1737" i="2"/>
  <c r="G1738" i="2"/>
  <c r="I1738" i="2"/>
  <c r="G1739" i="2"/>
  <c r="I1739" i="2"/>
  <c r="G1740" i="2"/>
  <c r="I1740" i="2"/>
  <c r="G1741" i="2"/>
  <c r="I1741" i="2"/>
  <c r="G1742" i="2"/>
  <c r="I1742" i="2"/>
  <c r="G1743" i="2"/>
  <c r="I1743" i="2"/>
  <c r="G1744" i="2"/>
  <c r="I1744" i="2"/>
  <c r="G1745" i="2"/>
  <c r="I1745" i="2"/>
  <c r="G1746" i="2"/>
  <c r="I1746" i="2"/>
  <c r="G1747" i="2"/>
  <c r="I1747" i="2"/>
  <c r="G1748" i="2"/>
  <c r="I1748" i="2"/>
  <c r="G1749" i="2"/>
  <c r="I1749" i="2"/>
  <c r="G1750" i="2"/>
  <c r="I1750" i="2"/>
  <c r="G1751" i="2"/>
  <c r="I1751" i="2"/>
  <c r="G1752" i="2"/>
  <c r="I1752" i="2"/>
  <c r="G1753" i="2"/>
  <c r="I1753" i="2"/>
  <c r="G1754" i="2"/>
  <c r="I1754" i="2"/>
  <c r="G1755" i="2"/>
  <c r="I1755" i="2"/>
  <c r="G1756" i="2"/>
  <c r="I1756" i="2"/>
  <c r="G1757" i="2"/>
  <c r="I1757" i="2"/>
  <c r="G1758" i="2"/>
  <c r="I1758" i="2"/>
  <c r="G1759" i="2"/>
  <c r="I1759" i="2"/>
  <c r="G1760" i="2"/>
  <c r="I1760" i="2"/>
  <c r="G1761" i="2"/>
  <c r="I1761" i="2"/>
  <c r="G1762" i="2"/>
  <c r="I1762" i="2"/>
  <c r="G1763" i="2"/>
  <c r="I1763" i="2"/>
  <c r="G1764" i="2"/>
  <c r="I1764" i="2"/>
  <c r="G1765" i="2"/>
  <c r="I1765" i="2"/>
  <c r="G1766" i="2"/>
  <c r="I1766" i="2"/>
  <c r="G1767" i="2"/>
  <c r="I1767" i="2"/>
  <c r="G1768" i="2"/>
  <c r="I1768" i="2"/>
  <c r="G1769" i="2"/>
  <c r="I1769" i="2"/>
  <c r="G1770" i="2"/>
  <c r="I1770" i="2"/>
  <c r="G1771" i="2"/>
  <c r="I1771" i="2"/>
  <c r="G1772" i="2"/>
  <c r="I1772" i="2"/>
  <c r="G1773" i="2"/>
  <c r="I1773" i="2"/>
  <c r="G1774" i="2"/>
  <c r="I1774" i="2"/>
  <c r="G1775" i="2"/>
  <c r="I1775" i="2"/>
  <c r="G1776" i="2"/>
  <c r="I1776" i="2"/>
  <c r="G1777" i="2"/>
  <c r="I1777" i="2"/>
  <c r="G1778" i="2"/>
  <c r="I1778" i="2"/>
  <c r="G1779" i="2"/>
  <c r="I1779" i="2"/>
  <c r="G1780" i="2"/>
  <c r="I1780" i="2"/>
  <c r="G1781" i="2"/>
  <c r="I1781" i="2"/>
  <c r="G1782" i="2"/>
  <c r="I1782" i="2"/>
  <c r="G1783" i="2"/>
  <c r="I1783" i="2"/>
  <c r="G1784" i="2"/>
  <c r="I1784" i="2"/>
  <c r="G1785" i="2"/>
  <c r="I1785" i="2"/>
  <c r="G1786" i="2"/>
  <c r="I1786" i="2"/>
  <c r="G1787" i="2"/>
  <c r="I1787" i="2"/>
  <c r="G1790" i="2"/>
  <c r="I1790" i="2"/>
  <c r="G1791" i="2"/>
  <c r="I1791" i="2"/>
  <c r="G1792" i="2"/>
  <c r="I1792" i="2"/>
  <c r="G1793" i="2"/>
  <c r="I1793" i="2"/>
  <c r="G1676" i="2"/>
  <c r="I1676" i="2"/>
  <c r="G1678" i="2"/>
  <c r="I1678" i="2"/>
  <c r="G1679" i="2"/>
  <c r="I1679" i="2"/>
  <c r="G1681" i="2"/>
  <c r="I1681" i="2"/>
  <c r="G1682" i="2"/>
  <c r="I1682" i="2"/>
  <c r="G1689" i="2"/>
  <c r="I1689" i="2"/>
  <c r="H1529" i="2"/>
  <c r="F1529" i="2"/>
  <c r="G1670" i="2"/>
  <c r="I1670" i="2"/>
  <c r="G1671" i="2"/>
  <c r="I1671" i="2"/>
  <c r="G1672" i="2"/>
  <c r="I1672" i="2"/>
  <c r="G1673" i="2"/>
  <c r="I1673" i="2"/>
  <c r="G1674" i="2"/>
  <c r="I1674" i="2"/>
  <c r="G1675" i="2"/>
  <c r="I1675" i="2"/>
  <c r="G1668" i="2"/>
  <c r="I1668" i="2"/>
  <c r="G1662" i="2"/>
  <c r="I1662" i="2"/>
  <c r="G1663" i="2"/>
  <c r="I1663" i="2"/>
  <c r="G1665" i="2"/>
  <c r="I1665" i="2"/>
  <c r="G1655" i="2"/>
  <c r="I1655" i="2"/>
  <c r="G1658" i="2"/>
  <c r="I1658" i="2"/>
  <c r="G1659" i="2"/>
  <c r="I1659" i="2"/>
  <c r="G1650" i="2"/>
  <c r="I1650" i="2"/>
  <c r="G1651" i="2"/>
  <c r="I1651" i="2"/>
  <c r="G1657" i="2"/>
  <c r="I1657" i="2"/>
  <c r="G1652" i="2"/>
  <c r="I1652" i="2"/>
  <c r="G1653" i="2"/>
  <c r="I1653" i="2"/>
  <c r="G1654" i="2"/>
  <c r="I1654" i="2"/>
  <c r="G1640" i="2"/>
  <c r="I1640" i="2"/>
  <c r="G1641" i="2"/>
  <c r="I1641" i="2"/>
  <c r="G1637" i="2"/>
  <c r="I1637" i="2"/>
  <c r="G1635" i="2"/>
  <c r="I1635" i="2"/>
  <c r="G1632" i="2"/>
  <c r="I1632" i="2"/>
  <c r="G1644" i="2"/>
  <c r="I1644" i="2"/>
  <c r="G1645" i="2"/>
  <c r="I1645" i="2"/>
  <c r="G1647" i="2"/>
  <c r="I1647" i="2"/>
  <c r="G1648" i="2"/>
  <c r="I1648" i="2"/>
  <c r="G1649" i="2"/>
  <c r="I1649" i="2"/>
  <c r="G1636" i="2"/>
  <c r="I1636" i="2"/>
  <c r="G1633" i="2"/>
  <c r="I1633" i="2"/>
  <c r="G1634" i="2"/>
  <c r="I1634" i="2"/>
  <c r="G1629" i="2"/>
  <c r="I1629" i="2"/>
  <c r="G1630" i="2"/>
  <c r="I1630" i="2"/>
  <c r="G1631" i="2"/>
  <c r="I1631" i="2"/>
  <c r="G1625" i="2"/>
  <c r="I1625" i="2"/>
  <c r="G1627" i="2"/>
  <c r="I1627" i="2"/>
  <c r="G1611" i="2"/>
  <c r="I1611" i="2"/>
  <c r="G1616" i="2"/>
  <c r="I1616" i="2"/>
  <c r="G1617" i="2"/>
  <c r="I1617" i="2"/>
  <c r="G1618" i="2"/>
  <c r="I1618" i="2"/>
  <c r="G1619" i="2"/>
  <c r="I1619" i="2"/>
  <c r="G1620" i="2"/>
  <c r="I1620" i="2"/>
  <c r="G1621" i="2"/>
  <c r="I1621" i="2"/>
  <c r="G1622" i="2"/>
  <c r="I1622" i="2"/>
  <c r="G1623" i="2"/>
  <c r="I1623" i="2"/>
  <c r="G1613" i="2"/>
  <c r="I1613" i="2"/>
  <c r="G1614" i="2"/>
  <c r="I1614" i="2"/>
  <c r="G1603" i="2"/>
  <c r="I1603" i="2"/>
  <c r="G1604" i="2"/>
  <c r="I1604" i="2"/>
  <c r="G1605" i="2"/>
  <c r="I1605" i="2"/>
  <c r="G1610" i="2"/>
  <c r="I1610" i="2"/>
  <c r="G1596" i="2"/>
  <c r="I1596" i="2"/>
  <c r="G1600" i="2"/>
  <c r="I1600" i="2"/>
  <c r="G1601" i="2"/>
  <c r="I1601" i="2"/>
  <c r="G1587" i="2"/>
  <c r="I1587" i="2"/>
  <c r="G1581" i="2"/>
  <c r="I1581" i="2"/>
  <c r="G1583" i="2"/>
  <c r="I1583" i="2"/>
  <c r="G1592" i="2"/>
  <c r="I1592" i="2"/>
  <c r="G1593" i="2"/>
  <c r="I1593" i="2"/>
  <c r="G1594" i="2"/>
  <c r="I1594" i="2"/>
  <c r="G1595" i="2"/>
  <c r="I1595" i="2"/>
  <c r="G1577" i="2"/>
  <c r="I1577" i="2"/>
  <c r="G1585" i="2"/>
  <c r="I1585" i="2"/>
  <c r="G1561" i="2"/>
  <c r="I1561" i="2"/>
  <c r="G1562" i="2"/>
  <c r="I1562" i="2"/>
  <c r="G1563" i="2"/>
  <c r="I1563" i="2"/>
  <c r="G1564" i="2"/>
  <c r="I1564" i="2"/>
  <c r="G1579" i="2"/>
  <c r="I1579" i="2"/>
  <c r="G1567" i="2"/>
  <c r="I1567" i="2"/>
  <c r="G1569" i="2"/>
  <c r="I1569" i="2"/>
  <c r="G1552" i="2"/>
  <c r="I1552" i="2"/>
  <c r="G1560" i="2"/>
  <c r="I1560" i="2"/>
  <c r="G1553" i="2"/>
  <c r="I1553" i="2"/>
  <c r="G1554" i="2"/>
  <c r="I1554" i="2"/>
  <c r="G1572" i="2"/>
  <c r="I1572" i="2"/>
  <c r="G1573" i="2"/>
  <c r="I1573" i="2"/>
  <c r="G1574" i="2"/>
  <c r="I1574" i="2"/>
  <c r="G1575" i="2"/>
  <c r="I1575" i="2"/>
  <c r="G1555" i="2"/>
  <c r="I1555" i="2"/>
  <c r="G1540" i="2"/>
  <c r="I1540" i="2"/>
  <c r="G1541" i="2"/>
  <c r="I1541" i="2"/>
  <c r="G1542" i="2"/>
  <c r="I1542" i="2"/>
  <c r="G1538" i="2"/>
  <c r="I1538" i="2"/>
  <c r="G1544" i="2"/>
  <c r="I1544" i="2"/>
  <c r="G1539" i="2"/>
  <c r="I1539" i="2"/>
  <c r="G1545" i="2"/>
  <c r="I1545" i="2"/>
  <c r="G1546" i="2"/>
  <c r="I1546" i="2"/>
  <c r="G1535" i="2"/>
  <c r="I1535" i="2"/>
  <c r="H1536" i="2"/>
  <c r="D1533" i="2" a="1"/>
  <c r="D1533" i="2" s="1"/>
  <c r="D1524" i="2" a="1"/>
  <c r="D1524" i="2" s="1"/>
  <c r="D1502" i="2" a="1"/>
  <c r="D1502" i="2" s="1"/>
  <c r="F1502" i="2" s="1"/>
  <c r="I1502" i="2" s="1"/>
  <c r="D1522" i="2" a="1"/>
  <c r="D1522" i="2" s="1"/>
  <c r="F1522" i="2" s="1"/>
  <c r="D1525" i="2" a="1"/>
  <c r="D1525" i="2" s="1"/>
  <c r="F1525" i="2" s="1"/>
  <c r="B74" i="5"/>
  <c r="D1512" i="2" a="1"/>
  <c r="D1512" i="2" s="1"/>
  <c r="G1526" i="2"/>
  <c r="G1531" i="2"/>
  <c r="I1531" i="2"/>
  <c r="G1534" i="2"/>
  <c r="I1534" i="2"/>
  <c r="G1523" i="2"/>
  <c r="I1523" i="2"/>
  <c r="G1515" i="2"/>
  <c r="I1515" i="2"/>
  <c r="D1481" i="2" a="1"/>
  <c r="D1481" i="2" s="1"/>
  <c r="H1481" i="2" s="1"/>
  <c r="D1480" i="2" a="1"/>
  <c r="D1480" i="2" s="1"/>
  <c r="H1480" i="2" s="1"/>
  <c r="D1496" i="2" a="1"/>
  <c r="D1496" i="2" s="1"/>
  <c r="D1516" i="2" a="1"/>
  <c r="D1516" i="2" s="1"/>
  <c r="H1516" i="2" s="1"/>
  <c r="D1501" i="2" a="1"/>
  <c r="D1501" i="2" s="1"/>
  <c r="F1501" i="2" s="1"/>
  <c r="I1501" i="2" s="1"/>
  <c r="D1513" i="2" a="1"/>
  <c r="D1513" i="2" s="1"/>
  <c r="H1513" i="2" s="1"/>
  <c r="D1500" i="2" a="1"/>
  <c r="D1500" i="2" s="1"/>
  <c r="H1500" i="2" s="1"/>
  <c r="D1527" i="2" a="1"/>
  <c r="D1527" i="2" s="1"/>
  <c r="D1503" i="2" a="1"/>
  <c r="D1503" i="2" s="1"/>
  <c r="H1503" i="2" s="1"/>
  <c r="D1528" i="2" a="1"/>
  <c r="D1528" i="2" s="1"/>
  <c r="I1530" i="2"/>
  <c r="E2" i="9"/>
  <c r="H1521" i="2"/>
  <c r="H1520" i="2"/>
  <c r="F1520" i="2"/>
  <c r="H1519" i="2"/>
  <c r="F1519" i="2"/>
  <c r="H1518" i="2"/>
  <c r="B23" i="8"/>
  <c r="B8" i="10"/>
  <c r="S7" i="4" s="1"/>
  <c r="G1410" i="2"/>
  <c r="G1435" i="2"/>
  <c r="G1109" i="2"/>
  <c r="F1514" i="2"/>
  <c r="H1511" i="2"/>
  <c r="G1511" i="2"/>
  <c r="I1511" i="2"/>
  <c r="H1512" i="2"/>
  <c r="F1504" i="2"/>
  <c r="F1499" i="2"/>
  <c r="H1501" i="2"/>
  <c r="G1483" i="2"/>
  <c r="G1443" i="2"/>
  <c r="G813" i="2"/>
  <c r="I1425" i="2"/>
  <c r="B2" i="9"/>
  <c r="E4" i="9" s="1"/>
  <c r="BK23" i="8"/>
  <c r="BK22" i="8"/>
  <c r="H1491" i="2"/>
  <c r="F1491" i="2"/>
  <c r="G1491" i="2" s="1"/>
  <c r="G1444" i="2"/>
  <c r="G971" i="2"/>
  <c r="I1447" i="2"/>
  <c r="G879" i="2"/>
  <c r="G1012" i="2"/>
  <c r="G1040" i="2"/>
  <c r="I1343" i="2"/>
  <c r="G1438" i="2"/>
  <c r="G1452" i="2"/>
  <c r="I1357" i="2"/>
  <c r="I1322" i="2"/>
  <c r="I1390" i="2"/>
  <c r="G1379" i="2"/>
  <c r="G1360" i="2"/>
  <c r="G1091" i="2"/>
  <c r="I1341" i="2"/>
  <c r="I1408" i="2"/>
  <c r="G1422" i="2"/>
  <c r="G1380" i="2"/>
  <c r="G1067" i="2"/>
  <c r="G753" i="2"/>
  <c r="G744" i="2"/>
  <c r="G872" i="2"/>
  <c r="G1082" i="2"/>
  <c r="G1090" i="2"/>
  <c r="I1349" i="2"/>
  <c r="I1407" i="2"/>
  <c r="G1128" i="2"/>
  <c r="G729" i="2"/>
  <c r="G752" i="2"/>
  <c r="G907" i="2"/>
  <c r="G1081" i="2"/>
  <c r="I1406" i="2"/>
  <c r="G1337" i="2"/>
  <c r="I936" i="2"/>
  <c r="G1126" i="2"/>
  <c r="I1381" i="2"/>
  <c r="G1327" i="2"/>
  <c r="G782" i="2"/>
  <c r="G826" i="2"/>
  <c r="G902" i="2"/>
  <c r="G1092" i="2"/>
  <c r="G1326" i="2"/>
  <c r="G1361" i="2"/>
  <c r="I1449" i="2"/>
  <c r="G1436" i="2"/>
  <c r="I1418" i="2"/>
  <c r="G1424" i="2"/>
  <c r="G834" i="2"/>
  <c r="G890" i="2"/>
  <c r="G950" i="2"/>
  <c r="I1417" i="2"/>
  <c r="G833" i="2"/>
  <c r="G1391" i="2"/>
  <c r="G693" i="2"/>
  <c r="G997" i="2"/>
  <c r="I1383" i="2"/>
  <c r="G696" i="2"/>
  <c r="G903" i="2"/>
  <c r="I1367" i="2"/>
  <c r="I1382" i="2"/>
  <c r="G1389" i="2"/>
  <c r="I1338" i="2"/>
  <c r="G789" i="2"/>
  <c r="G1008" i="2"/>
  <c r="I1351" i="2"/>
  <c r="G715" i="2"/>
  <c r="G980" i="2"/>
  <c r="G1007" i="2"/>
  <c r="G1135" i="2"/>
  <c r="I1330" i="2"/>
  <c r="G1344" i="2"/>
  <c r="G838" i="2"/>
  <c r="G1328" i="2"/>
  <c r="I1321" i="2"/>
  <c r="G1401" i="2"/>
  <c r="G777" i="2"/>
  <c r="G870" i="2"/>
  <c r="G849" i="2"/>
  <c r="G926" i="2"/>
  <c r="G995" i="2"/>
  <c r="G1097" i="2"/>
  <c r="G1121" i="2"/>
  <c r="I1334" i="2"/>
  <c r="I1354" i="2"/>
  <c r="I1376" i="2"/>
  <c r="I1399" i="2"/>
  <c r="G1375" i="2"/>
  <c r="G1430" i="2"/>
  <c r="G1129" i="2"/>
  <c r="G697" i="2"/>
  <c r="G733" i="2"/>
  <c r="G735" i="2"/>
  <c r="G832" i="2"/>
  <c r="G935" i="2"/>
  <c r="G959" i="2"/>
  <c r="G982" i="2"/>
  <c r="G994" i="2"/>
  <c r="G1011" i="2"/>
  <c r="G1052" i="2"/>
  <c r="G1055" i="2"/>
  <c r="G1065" i="2"/>
  <c r="G1120" i="2"/>
  <c r="I1346" i="2"/>
  <c r="I1353" i="2"/>
  <c r="I1398" i="2"/>
  <c r="G1323" i="2"/>
  <c r="G1429" i="2"/>
  <c r="G1434" i="2"/>
  <c r="G795" i="2"/>
  <c r="G821" i="2"/>
  <c r="I1397" i="2"/>
  <c r="G707" i="2"/>
  <c r="G946" i="2"/>
  <c r="G1094" i="2"/>
  <c r="G1409" i="2"/>
  <c r="G1111" i="2"/>
  <c r="G776" i="2"/>
  <c r="G850" i="2"/>
  <c r="G1098" i="2"/>
  <c r="G820" i="2"/>
  <c r="G815" i="2"/>
  <c r="G898" i="2"/>
  <c r="G934" i="2"/>
  <c r="G958" i="2"/>
  <c r="G1073" i="2"/>
  <c r="I1345" i="2"/>
  <c r="I1362" i="2"/>
  <c r="I1359" i="2"/>
  <c r="I1384" i="2"/>
  <c r="G1350" i="2"/>
  <c r="G704" i="2"/>
  <c r="G695" i="2"/>
  <c r="G814" i="2"/>
  <c r="G829" i="2"/>
  <c r="G860" i="2"/>
  <c r="G880" i="2"/>
  <c r="G909" i="2"/>
  <c r="G933" i="2"/>
  <c r="G1000" i="2"/>
  <c r="G1117" i="2"/>
  <c r="G1136" i="2"/>
  <c r="I1396" i="2"/>
  <c r="G1420" i="2"/>
  <c r="G1332" i="2"/>
  <c r="G780" i="2"/>
  <c r="G920" i="2"/>
  <c r="I1377" i="2"/>
  <c r="G1331" i="2"/>
  <c r="G1106" i="2"/>
  <c r="G1134" i="2"/>
  <c r="G1133" i="2"/>
  <c r="I1416" i="2"/>
  <c r="I1448" i="2"/>
  <c r="G1421" i="2"/>
  <c r="G1412" i="2"/>
  <c r="I1412" i="2"/>
  <c r="G694" i="2"/>
  <c r="G865" i="2"/>
  <c r="G887" i="2"/>
  <c r="G919" i="2"/>
  <c r="G1339" i="2"/>
  <c r="G1386" i="2"/>
  <c r="G1392" i="2"/>
  <c r="I1437" i="2"/>
  <c r="G825" i="2"/>
  <c r="G869" i="2"/>
  <c r="G746" i="2"/>
  <c r="G811" i="2"/>
  <c r="G1024" i="2"/>
  <c r="G859" i="2"/>
  <c r="G989" i="2"/>
  <c r="I1335" i="2"/>
  <c r="G702" i="2"/>
  <c r="G788" i="2"/>
  <c r="G775" i="2"/>
  <c r="G797" i="2"/>
  <c r="G802" i="2"/>
  <c r="G836" i="2"/>
  <c r="G852" i="2"/>
  <c r="G943" i="2"/>
  <c r="G966" i="2"/>
  <c r="G979" i="2"/>
  <c r="G1027" i="2"/>
  <c r="G1104" i="2"/>
  <c r="G1116" i="2"/>
  <c r="G1130" i="2"/>
  <c r="G863" i="2"/>
  <c r="G1030" i="2"/>
  <c r="G1084" i="2"/>
  <c r="G1086" i="2"/>
  <c r="G1102" i="2"/>
  <c r="G1113" i="2"/>
  <c r="G1119" i="2"/>
  <c r="G827" i="2"/>
  <c r="G830" i="2"/>
  <c r="G842" i="2"/>
  <c r="G861" i="2"/>
  <c r="G885" i="2"/>
  <c r="G906" i="2"/>
  <c r="G947" i="2"/>
  <c r="G1022" i="2"/>
  <c r="G1038" i="2"/>
  <c r="G1083" i="2"/>
  <c r="G1101" i="2"/>
  <c r="G1112" i="2"/>
  <c r="G1110" i="2"/>
  <c r="G1138" i="2"/>
  <c r="I1364" i="2"/>
  <c r="I1374" i="2"/>
  <c r="I1368" i="2"/>
  <c r="G1446" i="2"/>
  <c r="G726" i="2"/>
  <c r="G954" i="2"/>
  <c r="G723" i="2"/>
  <c r="G751" i="2"/>
  <c r="G841" i="2"/>
  <c r="G868" i="2"/>
  <c r="G912" i="2"/>
  <c r="G1036" i="2"/>
  <c r="G1062" i="2"/>
  <c r="I1451" i="2"/>
  <c r="G1451" i="2"/>
  <c r="I1445" i="2"/>
  <c r="G1445" i="2"/>
  <c r="H1497" i="2"/>
  <c r="I1450" i="2"/>
  <c r="G758" i="2"/>
  <c r="G853" i="2"/>
  <c r="G967" i="2"/>
  <c r="G1056" i="2"/>
  <c r="G1070" i="2"/>
  <c r="G1131" i="2"/>
  <c r="G1427" i="2"/>
  <c r="I2" i="2"/>
  <c r="G722" i="2"/>
  <c r="G929" i="2"/>
  <c r="G957" i="2"/>
  <c r="G1002" i="2"/>
  <c r="G1411" i="2"/>
  <c r="G778" i="2"/>
  <c r="G816" i="2"/>
  <c r="G808" i="2"/>
  <c r="G960" i="2"/>
  <c r="G1001" i="2"/>
  <c r="G1010" i="2"/>
  <c r="G1019" i="2"/>
  <c r="G1051" i="2"/>
  <c r="G1039" i="2"/>
  <c r="G1077" i="2"/>
  <c r="G1088" i="2"/>
  <c r="G1127" i="2"/>
  <c r="G1320" i="2"/>
  <c r="G1439" i="2"/>
  <c r="G747" i="2"/>
  <c r="G873" i="2"/>
  <c r="G1072" i="2"/>
  <c r="G783" i="2"/>
  <c r="G916" i="2"/>
  <c r="G951" i="2"/>
  <c r="G1123" i="2"/>
  <c r="G883" i="2"/>
  <c r="G1025" i="2"/>
  <c r="G1093" i="2"/>
  <c r="I1484" i="2"/>
  <c r="H1496" i="2"/>
  <c r="F1496" i="2"/>
  <c r="G716" i="2"/>
  <c r="G750" i="2"/>
  <c r="G787" i="2"/>
  <c r="G819" i="2"/>
  <c r="G866" i="2"/>
  <c r="G917" i="2"/>
  <c r="G953" i="2"/>
  <c r="G941" i="2"/>
  <c r="G1075" i="2"/>
  <c r="I1329" i="2"/>
  <c r="G1333" i="2"/>
  <c r="G1348" i="2"/>
  <c r="G1387" i="2"/>
  <c r="G1426" i="2"/>
  <c r="G749" i="2"/>
  <c r="G794" i="2"/>
  <c r="G818" i="2"/>
  <c r="G824" i="2"/>
  <c r="G911" i="2"/>
  <c r="G952" i="2"/>
  <c r="G988" i="2"/>
  <c r="G1003" i="2"/>
  <c r="G1061" i="2"/>
  <c r="G1115" i="2"/>
  <c r="G1340" i="2"/>
  <c r="G1366" i="2"/>
  <c r="G1378" i="2"/>
  <c r="G721" i="2"/>
  <c r="G714" i="2"/>
  <c r="G763" i="2"/>
  <c r="G793" i="2"/>
  <c r="G817" i="2"/>
  <c r="G823" i="2"/>
  <c r="G843" i="2"/>
  <c r="G848" i="2"/>
  <c r="G875" i="2"/>
  <c r="G888" i="2"/>
  <c r="G889" i="2"/>
  <c r="G905" i="2"/>
  <c r="G897" i="2"/>
  <c r="G910" i="2"/>
  <c r="G915" i="2"/>
  <c r="G970" i="2"/>
  <c r="G962" i="2"/>
  <c r="G973" i="2"/>
  <c r="G991" i="2"/>
  <c r="G1023" i="2"/>
  <c r="G1017" i="2"/>
  <c r="G1035" i="2"/>
  <c r="G1050" i="2"/>
  <c r="G1071" i="2"/>
  <c r="G1066" i="2"/>
  <c r="G1080" i="2"/>
  <c r="G1100" i="2"/>
  <c r="G1114" i="2"/>
  <c r="G1122" i="2"/>
  <c r="G1125" i="2"/>
  <c r="G1347" i="2"/>
  <c r="G1365" i="2"/>
  <c r="G1394" i="2"/>
  <c r="G1388" i="2"/>
  <c r="G713" i="2"/>
  <c r="G810" i="2"/>
  <c r="G855" i="2"/>
  <c r="G874" i="2"/>
  <c r="G904" i="2"/>
  <c r="G969" i="2"/>
  <c r="G1356" i="2"/>
  <c r="G1393" i="2"/>
  <c r="G1400" i="2"/>
  <c r="G1405" i="2"/>
  <c r="I1428" i="2"/>
  <c r="I1419" i="2"/>
  <c r="I1453" i="2"/>
  <c r="G725" i="2"/>
  <c r="G743" i="2"/>
  <c r="G760" i="2"/>
  <c r="G784" i="2"/>
  <c r="G796" i="2"/>
  <c r="G809" i="2"/>
  <c r="G801" i="2"/>
  <c r="G840" i="2"/>
  <c r="G862" i="2"/>
  <c r="G854" i="2"/>
  <c r="G927" i="2"/>
  <c r="G968" i="2"/>
  <c r="G1031" i="2"/>
  <c r="G1048" i="2"/>
  <c r="G1058" i="2"/>
  <c r="G1352" i="2"/>
  <c r="G1402" i="2"/>
  <c r="G1403" i="2"/>
  <c r="G724" i="2"/>
  <c r="G759" i="2"/>
  <c r="G839" i="2"/>
  <c r="G717" i="2"/>
  <c r="G737" i="2"/>
  <c r="G757" i="2"/>
  <c r="G773" i="2"/>
  <c r="G781" i="2"/>
  <c r="G851" i="2"/>
  <c r="G884" i="2"/>
  <c r="G900" i="2"/>
  <c r="G918" i="2"/>
  <c r="G942" i="2"/>
  <c r="G1026" i="2"/>
  <c r="G1076" i="2"/>
  <c r="G1103" i="2"/>
  <c r="G1137" i="2"/>
  <c r="G1132" i="2"/>
  <c r="H1490" i="2"/>
  <c r="F1490" i="2"/>
  <c r="H1495" i="2"/>
  <c r="F1495" i="2"/>
  <c r="H1482" i="2"/>
  <c r="F1482" i="2"/>
  <c r="H1494" i="2"/>
  <c r="F1494" i="2"/>
  <c r="B85" i="5"/>
  <c r="D1457" i="2" s="1" a="1"/>
  <c r="D1457" i="2" s="1"/>
  <c r="H1457" i="2" s="1"/>
  <c r="D1456" i="2" a="1"/>
  <c r="D1456" i="2" s="1"/>
  <c r="F1456" i="2" s="1"/>
  <c r="D1455" i="2" a="1"/>
  <c r="D1455" i="2" s="1"/>
  <c r="H1455" i="2" s="1"/>
  <c r="D1454" i="2" a="1"/>
  <c r="D1454" i="2" s="1"/>
  <c r="H1454" i="2" s="1"/>
  <c r="D1462" i="2" a="1"/>
  <c r="D1462" i="2" s="1"/>
  <c r="F1462" i="2" s="1"/>
  <c r="D1465" i="2" a="1"/>
  <c r="D1465" i="2" s="1"/>
  <c r="H1465" i="2" s="1"/>
  <c r="D1471" i="2" a="1"/>
  <c r="D1471" i="2" s="1"/>
  <c r="H1471" i="2" s="1"/>
  <c r="B30" i="5"/>
  <c r="D1461" i="2" a="1"/>
  <c r="D1461" i="2" s="1"/>
  <c r="H1461" i="2" s="1"/>
  <c r="X23" i="8"/>
  <c r="X22" i="8"/>
  <c r="W23" i="8"/>
  <c r="W22" i="8"/>
  <c r="V23" i="8"/>
  <c r="V22" i="8"/>
  <c r="U23" i="8"/>
  <c r="U22" i="8"/>
  <c r="T23" i="8"/>
  <c r="T22" i="8"/>
  <c r="S23" i="8"/>
  <c r="S22" i="8"/>
  <c r="R23" i="8"/>
  <c r="R22" i="8"/>
  <c r="Q23" i="8"/>
  <c r="Q22" i="8"/>
  <c r="P23" i="8"/>
  <c r="P22" i="8"/>
  <c r="O23" i="8"/>
  <c r="O22" i="8"/>
  <c r="N23" i="8"/>
  <c r="N22" i="8"/>
  <c r="M23" i="8"/>
  <c r="M22" i="8"/>
  <c r="L23" i="8"/>
  <c r="L22" i="8"/>
  <c r="K23" i="8"/>
  <c r="K22" i="8"/>
  <c r="J23" i="8"/>
  <c r="J22" i="8"/>
  <c r="I23" i="8"/>
  <c r="I22" i="8"/>
  <c r="H23" i="8"/>
  <c r="H22" i="8"/>
  <c r="G23" i="8"/>
  <c r="G22" i="8"/>
  <c r="F23" i="8"/>
  <c r="F22" i="8"/>
  <c r="E23" i="8"/>
  <c r="E22" i="8"/>
  <c r="D23" i="8"/>
  <c r="D22" i="8"/>
  <c r="C23" i="8"/>
  <c r="C22" i="8"/>
  <c r="BN23" i="8"/>
  <c r="BN22" i="8"/>
  <c r="BM23" i="8"/>
  <c r="BM22" i="8"/>
  <c r="BL23" i="8"/>
  <c r="BL22" i="8"/>
  <c r="BJ23" i="8"/>
  <c r="BJ22" i="8"/>
  <c r="BI23" i="8"/>
  <c r="BI22" i="8"/>
  <c r="BH23" i="8"/>
  <c r="BH22" i="8"/>
  <c r="BG23" i="8"/>
  <c r="BG22" i="8"/>
  <c r="BF23" i="8"/>
  <c r="BF22" i="8"/>
  <c r="BE23" i="8"/>
  <c r="BE22" i="8"/>
  <c r="BD23" i="8"/>
  <c r="BD22" i="8"/>
  <c r="BC23" i="8"/>
  <c r="BC22" i="8"/>
  <c r="BB23" i="8"/>
  <c r="BB22" i="8"/>
  <c r="BA23" i="8"/>
  <c r="BA22" i="8"/>
  <c r="AZ23" i="8"/>
  <c r="AZ22" i="8"/>
  <c r="AY23" i="8"/>
  <c r="AY22" i="8"/>
  <c r="AX23" i="8"/>
  <c r="AX22" i="8"/>
  <c r="AW23" i="8"/>
  <c r="AW22" i="8"/>
  <c r="AV23" i="8"/>
  <c r="AV22" i="8"/>
  <c r="AU23" i="8"/>
  <c r="AU22" i="8"/>
  <c r="AT23" i="8"/>
  <c r="AT22" i="8"/>
  <c r="AS23" i="8"/>
  <c r="AS22" i="8"/>
  <c r="AR23" i="8"/>
  <c r="AR22" i="8"/>
  <c r="AQ23" i="8"/>
  <c r="AQ22" i="8"/>
  <c r="AP23" i="8"/>
  <c r="AP22" i="8"/>
  <c r="AO23" i="8"/>
  <c r="AO22" i="8"/>
  <c r="AN23" i="8"/>
  <c r="AN22" i="8"/>
  <c r="AM23" i="8"/>
  <c r="AM22" i="8"/>
  <c r="AL23" i="8"/>
  <c r="AL22" i="8"/>
  <c r="AK23" i="8"/>
  <c r="AK22" i="8"/>
  <c r="AJ23" i="8"/>
  <c r="AJ22" i="8"/>
  <c r="AI22" i="8"/>
  <c r="AI23" i="8"/>
  <c r="AH23" i="8"/>
  <c r="AH22" i="8"/>
  <c r="AG23" i="8"/>
  <c r="AG22" i="8"/>
  <c r="AF23" i="8"/>
  <c r="AF22" i="8"/>
  <c r="AE23" i="8"/>
  <c r="AE22" i="8"/>
  <c r="AD23" i="8"/>
  <c r="AD22" i="8"/>
  <c r="AC23" i="8"/>
  <c r="AC22" i="8"/>
  <c r="AB23" i="8"/>
  <c r="AB22" i="8"/>
  <c r="AA23" i="8"/>
  <c r="AA22" i="8"/>
  <c r="Z23" i="8"/>
  <c r="Z22" i="8"/>
  <c r="Y23" i="8"/>
  <c r="Y22" i="8"/>
  <c r="H1470" i="2"/>
  <c r="F1470" i="2"/>
  <c r="H1475" i="2"/>
  <c r="H1472" i="2"/>
  <c r="H1477" i="2"/>
  <c r="H1478" i="2"/>
  <c r="F1478" i="2"/>
  <c r="F1479" i="2"/>
  <c r="H1473" i="2"/>
  <c r="H1474" i="2"/>
  <c r="F1474" i="2"/>
  <c r="H1464" i="2"/>
  <c r="F1464" i="2"/>
  <c r="H1466" i="2"/>
  <c r="F1466" i="2"/>
  <c r="H1467" i="2"/>
  <c r="F1467" i="2"/>
  <c r="H1468" i="2"/>
  <c r="H1469" i="2"/>
  <c r="F1469" i="2"/>
  <c r="H1463" i="2"/>
  <c r="F1463" i="2"/>
  <c r="H1458" i="2"/>
  <c r="B31" i="5"/>
  <c r="B20" i="5"/>
  <c r="B21" i="5"/>
  <c r="B57" i="5"/>
  <c r="B52" i="5"/>
  <c r="B44" i="5"/>
  <c r="B42" i="5"/>
  <c r="I1068" i="2"/>
  <c r="G1068" i="2"/>
  <c r="H2" i="2"/>
  <c r="H1528" i="2" l="1"/>
  <c r="F1528" i="2"/>
  <c r="H1527" i="2"/>
  <c r="F1527" i="2"/>
  <c r="H1524" i="2"/>
  <c r="F1524" i="2"/>
  <c r="H1533" i="2"/>
  <c r="F1533" i="2"/>
  <c r="H1502" i="2"/>
  <c r="I1533" i="2"/>
  <c r="I1524" i="2"/>
  <c r="G1501" i="2"/>
  <c r="D1476" i="2" a="1"/>
  <c r="D1476" i="2" s="1"/>
  <c r="H1476" i="2" s="1"/>
  <c r="D1532" i="2" a="1"/>
  <c r="D1532" i="2" s="1"/>
  <c r="H1525" i="2"/>
  <c r="H1522" i="2"/>
  <c r="F1480" i="2"/>
  <c r="I1480" i="2" s="1"/>
  <c r="F1465" i="2"/>
  <c r="G1465" i="2" s="1"/>
  <c r="F1516" i="2"/>
  <c r="G1516" i="2" s="1"/>
  <c r="F1481" i="2"/>
  <c r="G1481" i="2" s="1"/>
  <c r="F1500" i="2"/>
  <c r="G1500" i="2" s="1"/>
  <c r="I1527" i="2"/>
  <c r="F1513" i="2"/>
  <c r="G1513" i="2" s="1"/>
  <c r="F1503" i="2"/>
  <c r="G1503" i="2" s="1"/>
  <c r="D1498" i="2" a="1"/>
  <c r="D1498" i="2" s="1"/>
  <c r="D1510" i="2" a="1"/>
  <c r="D1510" i="2" s="1"/>
  <c r="I1528" i="2"/>
  <c r="B9" i="10"/>
  <c r="E3" i="9"/>
  <c r="E7" i="9" s="1"/>
  <c r="S5" i="4" s="1"/>
  <c r="I1529" i="2"/>
  <c r="G1529" i="2"/>
  <c r="G1518" i="2"/>
  <c r="I1518" i="2"/>
  <c r="G1519" i="2"/>
  <c r="I1519" i="2"/>
  <c r="G1520" i="2"/>
  <c r="I1520" i="2"/>
  <c r="G1521" i="2"/>
  <c r="I1521" i="2"/>
  <c r="H1456" i="2"/>
  <c r="G1502" i="2"/>
  <c r="G1514" i="2"/>
  <c r="I1514" i="2"/>
  <c r="G1499" i="2"/>
  <c r="I1499" i="2"/>
  <c r="G1504" i="2"/>
  <c r="I1504" i="2"/>
  <c r="G1512" i="2"/>
  <c r="I1512" i="2"/>
  <c r="I1491" i="2"/>
  <c r="F1457" i="2"/>
  <c r="G1457" i="2" s="1"/>
  <c r="H1462" i="2"/>
  <c r="F1454" i="2"/>
  <c r="G1454" i="2" s="1"/>
  <c r="F1455" i="2"/>
  <c r="I1455" i="2" s="1"/>
  <c r="F1471" i="2"/>
  <c r="G1471" i="2" s="1"/>
  <c r="I1497" i="2"/>
  <c r="G1497" i="2"/>
  <c r="I1496" i="2"/>
  <c r="G1496" i="2"/>
  <c r="G1494" i="2"/>
  <c r="I1494" i="2"/>
  <c r="G1482" i="2"/>
  <c r="I1482" i="2"/>
  <c r="G1495" i="2"/>
  <c r="I1495" i="2"/>
  <c r="G1490" i="2"/>
  <c r="I1490" i="2"/>
  <c r="G1456" i="2"/>
  <c r="I1456" i="2"/>
  <c r="G1458" i="2"/>
  <c r="I1458" i="2"/>
  <c r="G1463" i="2"/>
  <c r="I1463" i="2"/>
  <c r="G1469" i="2"/>
  <c r="I1469" i="2"/>
  <c r="G1468" i="2"/>
  <c r="I1468" i="2"/>
  <c r="G1467" i="2"/>
  <c r="I1467" i="2"/>
  <c r="G1466" i="2"/>
  <c r="I1466" i="2"/>
  <c r="G1462" i="2"/>
  <c r="I1462" i="2"/>
  <c r="G1461" i="2"/>
  <c r="I1461" i="2"/>
  <c r="G1464" i="2"/>
  <c r="I1464" i="2"/>
  <c r="G1474" i="2"/>
  <c r="I1474" i="2"/>
  <c r="G1473" i="2"/>
  <c r="I1473" i="2"/>
  <c r="G1479" i="2"/>
  <c r="I1479" i="2"/>
  <c r="G1478" i="2"/>
  <c r="I1478" i="2"/>
  <c r="G1477" i="2"/>
  <c r="I1477" i="2"/>
  <c r="G1472" i="2"/>
  <c r="I1472" i="2"/>
  <c r="G1476" i="2"/>
  <c r="I1476" i="2"/>
  <c r="G1475" i="2"/>
  <c r="I1475" i="2"/>
  <c r="G1470" i="2"/>
  <c r="I1470" i="2"/>
  <c r="B48" i="5"/>
  <c r="B45" i="5"/>
  <c r="B69" i="5"/>
  <c r="B76" i="5" s="1"/>
  <c r="B23" i="5"/>
  <c r="B22" i="5"/>
  <c r="B40" i="5"/>
  <c r="H1532" i="2" l="1"/>
  <c r="G1533" i="2"/>
  <c r="I1481" i="2"/>
  <c r="G1524" i="2"/>
  <c r="G1480" i="2"/>
  <c r="G1522" i="2"/>
  <c r="I1522" i="2"/>
  <c r="G1525" i="2"/>
  <c r="I1525" i="2"/>
  <c r="I1465" i="2"/>
  <c r="I1516" i="2"/>
  <c r="I1500" i="2"/>
  <c r="I1513" i="2"/>
  <c r="G1527" i="2"/>
  <c r="G1528" i="2"/>
  <c r="I1503" i="2"/>
  <c r="F1510" i="2"/>
  <c r="H1510" i="2"/>
  <c r="H1498" i="2"/>
  <c r="F1498" i="2"/>
  <c r="E8" i="9"/>
  <c r="I1457" i="2"/>
  <c r="G1455" i="2"/>
  <c r="I1454" i="2"/>
  <c r="I1471" i="2"/>
  <c r="D1459" i="2" a="1"/>
  <c r="D1459" i="2" s="1"/>
  <c r="B61" i="5"/>
  <c r="D1517" i="2" s="1" a="1"/>
  <c r="D1517" i="2" s="1"/>
  <c r="G1532" i="2" l="1"/>
  <c r="I1532" i="2"/>
  <c r="G1498" i="2"/>
  <c r="I1498" i="2"/>
  <c r="F1517" i="2"/>
  <c r="H1517" i="2"/>
  <c r="G1510" i="2"/>
  <c r="I1510" i="2"/>
  <c r="H1459" i="2"/>
  <c r="F1459" i="2"/>
  <c r="B64" i="5"/>
  <c r="I1517" i="2" l="1"/>
  <c r="G1517" i="2"/>
  <c r="G1459" i="2"/>
  <c r="I145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Christoff Rotty</author>
  </authors>
  <commentList>
    <comment ref="A19" authorId="0" shapeId="0" xr:uid="{9188EA15-1FBA-4E5F-B249-F5FE1EA6175E}">
      <text>
        <r>
          <rPr>
            <b/>
            <sz val="9"/>
            <color indexed="81"/>
            <rFont val="Tahoma"/>
            <family val="2"/>
          </rPr>
          <t>Christoff Rotty:</t>
        </r>
        <r>
          <rPr>
            <sz val="9"/>
            <color indexed="81"/>
            <rFont val="Tahoma"/>
            <family val="2"/>
          </rPr>
          <t xml:space="preserve">
cellen van negatief naar positief omgezet voor verdere verwerking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<sst xmlns="http://schemas.openxmlformats.org/spreadsheetml/2006/main" count="4463" uniqueCount="1139">
  <si>
    <t>category</t>
  </si>
  <si>
    <t>Vast</t>
  </si>
  <si>
    <t>Variabel</t>
  </si>
  <si>
    <t>voeding</t>
  </si>
  <si>
    <t>Eindtotaal</t>
  </si>
  <si>
    <t>maand</t>
  </si>
  <si>
    <t>bedrag</t>
  </si>
  <si>
    <t>omschrijving</t>
  </si>
  <si>
    <t>verzekering</t>
  </si>
  <si>
    <t>restaurant</t>
  </si>
  <si>
    <t>hypotheek</t>
  </si>
  <si>
    <t>gas/elektriciteit</t>
  </si>
  <si>
    <t>Water</t>
  </si>
  <si>
    <t>Laadbeurt</t>
  </si>
  <si>
    <t>Louis/Vis</t>
  </si>
  <si>
    <t>datum</t>
  </si>
  <si>
    <t>in/uitgave</t>
  </si>
  <si>
    <t>Inkomst</t>
  </si>
  <si>
    <t>Uitgave</t>
  </si>
  <si>
    <t>Bankkost</t>
  </si>
  <si>
    <t>vast/variabel</t>
  </si>
  <si>
    <t>uitstapkes</t>
  </si>
  <si>
    <t>Parkeren</t>
  </si>
  <si>
    <t>Telenet</t>
  </si>
  <si>
    <t>afbetaling fiets</t>
  </si>
  <si>
    <t>NMBS</t>
  </si>
  <si>
    <t>automaat De Lijn</t>
  </si>
  <si>
    <t>Laserontharing</t>
  </si>
  <si>
    <t>AXA</t>
  </si>
  <si>
    <t>belasting</t>
  </si>
  <si>
    <t>GSM Bram</t>
  </si>
  <si>
    <t>GSM Christoff</t>
  </si>
  <si>
    <t>kledij</t>
  </si>
  <si>
    <t>pensioensparen</t>
  </si>
  <si>
    <t>trein</t>
  </si>
  <si>
    <t>school Bram</t>
  </si>
  <si>
    <t>dietiste</t>
  </si>
  <si>
    <t>-</t>
  </si>
  <si>
    <t>vakbond</t>
  </si>
  <si>
    <t>krant</t>
  </si>
  <si>
    <t>visa</t>
  </si>
  <si>
    <t>omnium</t>
  </si>
  <si>
    <t>Te Bepalen</t>
  </si>
  <si>
    <t>kapster</t>
  </si>
  <si>
    <t>cadeautjes</t>
  </si>
  <si>
    <t>Coolblue</t>
  </si>
  <si>
    <t>Euromex</t>
  </si>
  <si>
    <t>Ikea</t>
  </si>
  <si>
    <t>ICT</t>
  </si>
  <si>
    <t>Streamz</t>
  </si>
  <si>
    <t>Cardif</t>
  </si>
  <si>
    <t>Ramenwas</t>
  </si>
  <si>
    <t>Bol</t>
  </si>
  <si>
    <t>Brico</t>
  </si>
  <si>
    <t>car wash</t>
  </si>
  <si>
    <t>kruidvat</t>
  </si>
  <si>
    <t>EuroShop</t>
  </si>
  <si>
    <t>controle</t>
  </si>
  <si>
    <t>DPG</t>
  </si>
  <si>
    <t>Amazon</t>
  </si>
  <si>
    <t>molecule</t>
  </si>
  <si>
    <t>decathlon</t>
  </si>
  <si>
    <t>Action</t>
  </si>
  <si>
    <t>AVA</t>
  </si>
  <si>
    <t>Dreamland</t>
  </si>
  <si>
    <t>inkomst</t>
  </si>
  <si>
    <t>BETALING VIA BANCONTACT              03-07 03-07-2025 OM 13.45 UUR DIE KEURE BE8000 BRUGGE MET KBC-DEBETKAART 5127 88XX XXXX 8113 KAARTHOUDER: BOMBAERT BRAM</t>
  </si>
  <si>
    <t>Kine</t>
  </si>
  <si>
    <t>Koffie</t>
  </si>
  <si>
    <t>Ouders Bram</t>
  </si>
  <si>
    <t>standaardboekhandel</t>
  </si>
  <si>
    <t>Mediahuis</t>
  </si>
  <si>
    <t>Gamma</t>
  </si>
  <si>
    <t>Leasing Auto</t>
  </si>
  <si>
    <t>Deborah/nieuwkuis</t>
  </si>
  <si>
    <t>Allerlei</t>
  </si>
  <si>
    <t>Hema</t>
  </si>
  <si>
    <t>Jysk</t>
  </si>
  <si>
    <t>Rituals</t>
  </si>
  <si>
    <t>Onderhoud huis</t>
  </si>
  <si>
    <t>muze</t>
  </si>
  <si>
    <t>keyaki</t>
  </si>
  <si>
    <t>Gezondheid</t>
  </si>
  <si>
    <t>Inkomsten Loon</t>
  </si>
  <si>
    <t>BETALING VIA BANCONTACT              22-07 20-07-2025 OM 12.00 UUR CONRAD ELECTRONIC BENE NL7575 EJ OLDENZAAL MET KBC-DEBETKAART 5127 88XX XXXX 8113 KAARTHOUDER: BOMBAERT BRAM</t>
  </si>
  <si>
    <t>BETALING VIA DEBIT MASTERCARD        22-07 19-07-2025 OM 15.41 UUR ACTION 2009 BE8560 WEVELGEM MET APPLE PAY 5127 88XX XXXX 8113 VIRTUEEL KAARTNUMMER CONTACTLOZE BETALING: 5354 00XX XXXX 7841 KAARTHOUDER: BOMBAERT BRAM</t>
  </si>
  <si>
    <t>BETALING VIA DEBIT MASTERCARD        22-07 19-07-2025 OM 13.36 UUR AU POISSON D'OR BE07700 MOUSCRON MET KBC-DEBETKAART 5127 88XX XXXX 8113 KAARTHOUDER: BOMBAERT BRAM</t>
  </si>
  <si>
    <t>BETALING VIA DEBIT MASTERCARD        22-07 18-07-2025 OM 16.30 UUR MOLECULE BE8570 VICHTE MET APPLE PAY 5127 88XX XXXX 8113 VIRTUEEL KAARTNUMMER CONTACTLOZE BETALING: 5354 00XX XXXX 8030 KAARTHOUDER: BOMBAERT BRAM</t>
  </si>
  <si>
    <t>BETALING VIA DEBIT MASTERCARD        22-07 18-07-2025 OM 16.27 UUR CASH PLUS BE8570 VICHTE MET APPLE PAY 5127 88XX XXXX 8113 VIRTUEEL KAARTNUMMER CONTACTLOZE BETALING: 5354 00XX XXXX 8030 KAARTHOUDER: BOMBAERT BRAM</t>
  </si>
  <si>
    <t>BETALING VIA DEBIT MASTERCARD        22-07 18-07-2025 OM 14.28 UUR DECATHLON 384 KORTRIJK BE8500 KORTRIJK MET APPLE PAY 5127 88XX XXXX 8113 VIRTUEEL KAARTNUMMER CONTACTLOZE BETALING: 5354 00XX XXXX 8030 KAARTHOUDER: BOMBAERT BRAM</t>
  </si>
  <si>
    <t>BETALING VIA DEBIT MASTERCARD        22-07 18-07-2025 OM 17.39 UUR DE KLEINE BASSIN KORTR BE8500 KORTRIJK MET APPLE PAY 5127 88XX XXXX 8113 VIRTUEEL KAARTNUMMER CONTACTLOZE BETALING: 5354 00XX XXXX 8030 KAARTHOUDER: BOMBAERT BRAM</t>
  </si>
  <si>
    <t>BETALING VIA DEBIT MASTERCARD        22-07 18-07-2025 OM 18.13 UUR SPAR KORTRIJK BE8500 KORTRIJK MET APPLE PAY 5127 88XX XXXX 8113 VIRTUEEL KAARTNUMMER CONTACTLOZE BETALING: 5354 00XX XXXX 8030 KAARTHOUDER: BOMBAERT BRAM</t>
  </si>
  <si>
    <t>BETALING VIA DEBIT MASTERCARD        22-07 18-07-2025 OM 18.04 UUR LIDL 803 KORTRIJK 2 BE8500 KORTRIJK MET APPLE PAY 5127 88XX XXXX 8113 VIRTUEEL KAARTNUMMER CONTACTLOZE BETALING: 5354 00XX XXXX 8030 KAARTHOUDER: BOMBAERT BRAM</t>
  </si>
  <si>
    <t>BETALING VIA DEBIT MASTERCARD        22-07 18-07-2025 OM 18.27 UUR CARREFOUR MARKE BE8510 MARKE MET APPLE PAY 5127 88XX XXXX 8113 VIRTUEEL KAARTNUMMER CONTACTLOZE BETALING: 5354 00XX XXXX 8030 KAARTHOUDER: BOMBAERT BRAM</t>
  </si>
  <si>
    <t>BETALING VIA DEBIT MASTERCARD        22-07 18-07-2025 OM 13.31 UUR CARREFOUR MARKE BE8510 MARKE MET APPLE PAY 5127 88XX XXXX 8113 VIRTUEEL KAARTNUMMER CONTACTLOZE BETALING: 5354 00XX XXXX 8030 KAARTHOUDER: BOMBAERT BRAM</t>
  </si>
  <si>
    <t>BETALING VIA DEBIT MASTERCARD        18-07 17-07-2025 OM 13.47 UUR VOGEL &amp; VIJVERCENTRUM BE8531 HULSTE MET APPLE PAY 5127 88XX XXXX 8113 VIRTUEEL KAARTNUMMER CONTACTLOZE BETALING: 5354 00XX XXXX 8030 KAARTHOUDER: BOMBAERT BRAM</t>
  </si>
  <si>
    <t>BETALING VIA DEBIT MASTERCARD        18-07 17-07-2025 OM 18.11 UUR LIDL 803 KORTRIJK 2 BE8500 KORTRIJK MET APPLE PAY 5127 88XX XXXX 8113 VIRTUEEL KAARTNUMMER CONTACTLOZE BETALING: 5354 00XX XXXX 8030 KAARTHOUDER: BOMBAERT BRAM</t>
  </si>
  <si>
    <t>BETALING VIA DEBIT MASTERCARD        18-07 17-07-2025 OM 11.22 UUR CARREFOUR MARKE BE8510 MARKE MET APPLE PAY 5127 88XX XXXX 8113 VIRTUEEL KAARTNUMMER CONTACTLOZE BETALING: 5354 00XX XXXX 8030 KAARTHOUDER: BOMBAERT BRAM</t>
  </si>
  <si>
    <t>BETALING VIA BANCONTACT              18-07 18-07-2025 OM 11.04 UUR BOL.COM NL3528 BJ UTRECHT MET KBC-DEBETKAART 5127 88XX XXXX 8113 KAARTHOUDER: BOMBAERT BRAM</t>
  </si>
  <si>
    <t>EUROPESE DOMICILIERING               18-07 SCHULDEISER     : SHELL EV CHARGING SOLUTIONS BELGIUM REF. SCHULDEISER: BE25TID123756 FEITEL. BEGUNST.: SHELL EV CHARGING SOLUTIONS BELGIUM MANDAATREFERTE  : 22MA139064 MEDEDELING      : BE25SI077240</t>
  </si>
  <si>
    <t>INSTANTOVERSCHRIJVING VAN            17-07 BE62 7370 5211 9961 BANKIER OPDRACHTGEVER: KREDBEBBXXX DE MEYER-LAVENDOMME J &amp; M OM 23.23 UUR</t>
  </si>
  <si>
    <t>BETALING VIA DEBIT MASTERCARD        17-07 16-07-2025 OM 12.43 UUR CCV*MARKIES TANDARTSEN BE8510 KORTRIJK MET APPLE PAY 5127 88XX XXXX 8113 VIRTUEEL KAARTNUMMER CONTACTLOZE BETALING: 5354 00XX XXXX 8030 KAARTHOUDER: BOMBAERT BRAM</t>
  </si>
  <si>
    <t>BETALING VIA MAESTRO                 17-07 16-07-2025 OM 10.35 UUR AZ GROENINGE VZW BE KORTRIJK MET APPLE PAY 6703 42XX XXXX X901 0 VIRTUEEL KAARTNUMMER CONTACTLOZE BETALING: 6790 28XX XXXX X658 7 KAARTHOUDER: ROTTY CHRISTOFF</t>
  </si>
  <si>
    <t>OVERSCHRIJVING VAN                   17-07 BE10 1325 4851 1904 BANKIER OPDRACHTGEVER: BNAGBEBBXXX SOLIDARIS W.-VLAANDEREN /C/ (1619945)   ZORG VAN 16/07/25 TACK E 93032216582 REFERENTIE: 175</t>
  </si>
  <si>
    <t>BETALING VIA BANCONTACT              17-07 17-07-2025 OM 15.15 UUR BROUWERIJ HAESEVELD BE9040 SINT-AMANDSBE MET KBC-DEBETKAART 6703 42XX XXXX X901 0 KAARTHOUDER: ROTTY CHRISTOFF INFO VAN DE HANDELAAR: 7825852 BY MULTISAFEPAY</t>
  </si>
  <si>
    <t>BETALING VIA BANCONTACT              17-07 17-07-2025 OM 14.38 UUR BROUWERIJ HAESEVELD BE9040 SINT-AMANDSBE MET KBC-DEBETKAART 6703 42XX XXXX X901 0 KAARTHOUDER: ROTTY CHRISTOFF INFO VAN DE HANDELAAR: 7825265 BY MULTISAFEPAY</t>
  </si>
  <si>
    <t>BETALING VIA DEBIT MASTERCARD        17-07 16-07-2025 OM 18.13 UUR HAWAIIAN POKE BOWL BE8500 KORTRIJK MET APPLE PAY 5127 88XX XXXX 8113 VIRTUEEL KAARTNUMMER CONTACTLOZE BETALING: 5354 00XX XXXX 8030 KAARTHOUDER: BOMBAERT BRAM</t>
  </si>
  <si>
    <t>BETALING VIA DEBIT MASTERCARD        17-07 16-07-2025 OM 15.49 UUR INTRATUIN ZWEVEGEM BE8550 ZWEVEGEM MET APPLE PAY 5127 88XX XXXX 8113 VIRTUEEL KAARTNUMMER CONTACTLOZE BETALING: 5354 00XX XXXX 8030 KAARTHOUDER: BOMBAERT BRAM</t>
  </si>
  <si>
    <t>BETALING VIA DEBIT MASTERCARD        17-07 16-07-2025 OM 13.01 UUR CARREFOUR MARKE BE8510 MARKE MET APPLE PAY 5127 88XX XXXX 8113 VIRTUEEL KAARTNUMMER CONTACTLOZE BETALING: 5354 00XX XXXX 8030 KAARTHOUDER: BOMBAERT BRAM</t>
  </si>
  <si>
    <t>BETALING VIA BANCONTACT              17-07 17-07-2025 OM 10.18 UUR MIJN.HOST NL1066JR AMSTERDAM MET KBC-DEBETKAART 6703 42XX XXXX X901 0 KAARTHOUDER: ROTTY CHRISTOFF INFO VAN DE HANDELAAR: 73BRPBE MIJN.HOST FACTUURNR. 2</t>
  </si>
  <si>
    <t>BETALING VIA BANCONTACT              17-07 16-07-2025 OM 18.02 UUR MEDI-MARKET KORTRIJK BE8500 KORTRIJK MET KBC-DEBETKAART 5127 88XX XXXX 8113 KAARTHOUDER: BOMBAERT BRAM</t>
  </si>
  <si>
    <t>BETALING VIA DEBIT MASTERCARD        17-07 16-07-2025 OM 08.08 UUR COOLBLUE N.V. BE2600 BERCHEM MET APPLE PAY 5127 88XX XXXX 8113 VIRTUEEL KAARTNUMMER CONTACTLOZE BETALING: 5354 00XX XXXX 7841 KAARTHOUDER: BOMBAERT BRAM</t>
  </si>
  <si>
    <t>BETALING VIA DEBIT MASTERCARD        16-07 15-07-2025 OM 12.14 UUR CARREFOUR MARKE BE8510 MARKE MET KBC-DEBETKAART 5127 88XX XXXX 8113 KAARTHOUDER: BOMBAERT BRAM</t>
  </si>
  <si>
    <t>BETALING VIA DEBIT MASTERCARD        16-07 15-07-2025 OM 10.15 UUR CARREFOUR MARKE BE8510 MARKE MET APPLE PAY 5127 88XX XXXX 8113 VIRTUEEL KAARTNUMMER CONTACTLOZE BETALING: 5354 00XX XXXX 7841 KAARTHOUDER: BOMBAERT BRAM</t>
  </si>
  <si>
    <t>BETALING VIA DEBIT MASTERCARD        16-07 15-07-2025 OM 13.55 UUR SPAR KORTRIJK BE8500 KORTRIJK MET APPLE PAY 5127 88XX XXXX 8113 VIRTUEEL KAARTNUMMER CONTACTLOZE BETALING: 5354 00XX XXXX 8030 KAARTHOUDER: BOMBAERT BRAM</t>
  </si>
  <si>
    <t>BETALING VIA DEBIT MASTERCARD        16-07 15-07-2025 OM 14.24 UUR LIDL 803 KORTRIJK 2 BE8500 KORTRIJK MET APPLE PAY 5127 88XX XXXX 8113 VIRTUEEL KAARTNUMMER CONTACTLOZE BETALING: 5354 00XX XXXX 8030 KAARTHOUDER: BOMBAERT BRAM</t>
  </si>
  <si>
    <t>OVERSCHRIJVING VAN                   16-07 BE10 1325 4851 1904 BANKIER OPDRACHTGEVER: BNAGBEBBXXX SOLIDARIS W.-VLAANDEREN /C/ (1619945)   ZORG VAN 14/07/25 VEYS E 93032216582 REFERENTIE: 176</t>
  </si>
  <si>
    <t>BETALING VIA MAESTRO                 16-07 15-07-2025 OM 16.10 UUR VALINSOPAY NL NL WIJK EN AALBU MET APPLE PAY 6703 42XX XXXX X901 0 VIRTUEEL KAARTNUMMER CONTACTLOZE BETALING: 6790 28XX XXXX X658 7 KAARTHOUDER: ROTTY CHRISTOFF</t>
  </si>
  <si>
    <t>BETALING VIA DEBIT MASTERCARD        16-07 14-07-2025 OM 17.29 UUR IKEA GENT-FOOD BE9051 SINT-DENIJS-W MET APPLE PAY 5127 88XX XXXX 8113 VIRTUEEL KAARTNUMMER CONTACTLOZE BETALING: 5354 00XX XXXX 8030 KAARTHOUDER: BOMBAERT BRAM</t>
  </si>
  <si>
    <t>BETALING VIA DEBIT MASTERCARD        16-07 14-07-2025 OM 17.50 UUR IKEA GENT-STORE BE9051 SINT-DENIJS-W MET APPLE PAY 5127 88XX XXXX 8113 VIRTUEEL KAARTNUMMER CONTACTLOZE BETALING: 5354 00XX XXXX 8030 KAARTHOUDER: BOMBAERT BRAM</t>
  </si>
  <si>
    <t>EUROPESE DOMICILIERING               16-07 SCHULDEISER     : DIGI COMMUNICATIONS BELGIUM NV REF. SCHULDEISER: 000009716467-705461 MANDAATREFERTE  : 1D574ED99E164823 MEDEDELING      : DIGI FACTUUR - JULI 2025</t>
  </si>
  <si>
    <t>EUROPESE DOMICILIERING               16-07 SCHULDEISER     : BALOISE BELGIUM NV REF. SCHULDEISER: 0000000000000024342672584 MANDAATREFERTE  : 202025682289 MEDEDELING      : POL.1A02635 VERV.10/07/25 9833</t>
  </si>
  <si>
    <t>EUROPESE DOMICILIERING               16-07 SCHULDEISER     : BALOISE BELGIUM NV REF. SCHULDEISER: 0000000000000024308945987 MANDAATREFERTE  : 202025687747 MEDEDELING      : POL.1B57806 VERV.10/07/25 9833</t>
  </si>
  <si>
    <t>trefwoord</t>
  </si>
  <si>
    <t>SPAR</t>
  </si>
  <si>
    <t>LIDL</t>
  </si>
  <si>
    <t>CONRAD</t>
  </si>
  <si>
    <t>ACTION</t>
  </si>
  <si>
    <t>DECATHLON</t>
  </si>
  <si>
    <t>POISSON</t>
  </si>
  <si>
    <t>MOLECULE</t>
  </si>
  <si>
    <t>SHELL</t>
  </si>
  <si>
    <t>OVERSCHRIJVING VAN                   31-12 BE57 3751 1109 9435 BANKIER OPDRACHTGEVER: BBRUBEBB OV HULPREKENING /A/E002543 - 19303221177-118257-311 BETALING-12/2024- -- REFERENTIE: 241201-002543-/A/E002543</t>
  </si>
  <si>
    <t>EUROPESE DOMICILIERING               31-12 SCHULDEISER     : KBC VERZEKERINGEN REF. SCHULDEISER: 390794481282 MANDAATREFERTE  : L00194638787V0001 EIGEN OMSCHR.   : HOSPITALISATIEVERZEKERING MEDEDELING      : POL.54467509 31/12/2024-31/01/2025 HOSPITALISATIEVERZEKERING</t>
  </si>
  <si>
    <t>OVERSCHRIJVING VAN                   30-12 BE64 3751 1173 1652 BANKIER OPDRACHTGEVER: BBRUBEBB VVM DE LIJN ALGEMENE REK /A/ 29076 LOON VVM 12/2024</t>
  </si>
  <si>
    <t>HULPREKENING</t>
  </si>
  <si>
    <t>type</t>
  </si>
  <si>
    <t>+/-</t>
  </si>
  <si>
    <t>OVO</t>
  </si>
  <si>
    <t>VVM</t>
  </si>
  <si>
    <t>CARREFOUR</t>
  </si>
  <si>
    <t>TORFS</t>
  </si>
  <si>
    <t>BOSSUWE</t>
  </si>
  <si>
    <t>TELENET</t>
  </si>
  <si>
    <t>LEASING</t>
  </si>
  <si>
    <t>EURO SHOP</t>
  </si>
  <si>
    <t>DUPONZOO</t>
  </si>
  <si>
    <t>GIKS</t>
  </si>
  <si>
    <t xml:space="preserve">JBC </t>
  </si>
  <si>
    <t>ZALANDO PAYMENTS</t>
  </si>
  <si>
    <t>KBC VERZEKERINGEN REF</t>
  </si>
  <si>
    <t>BOL</t>
  </si>
  <si>
    <t>VAN ESCH</t>
  </si>
  <si>
    <t>STD BH</t>
  </si>
  <si>
    <t>FAMIFLORA</t>
  </si>
  <si>
    <t>KRUIDVAT</t>
  </si>
  <si>
    <t>CATTEEUW LUDOVIC</t>
  </si>
  <si>
    <t>DREAMLAND</t>
  </si>
  <si>
    <t>TOM&amp;CO</t>
  </si>
  <si>
    <t>ELLIS GOURMET</t>
  </si>
  <si>
    <t>MERIJN</t>
  </si>
  <si>
    <t>VALINSOPAY</t>
  </si>
  <si>
    <t>TARCIS</t>
  </si>
  <si>
    <t>SLAGERIJ</t>
  </si>
  <si>
    <t>PROXIMUS</t>
  </si>
  <si>
    <t>VIJVERCENTRUM</t>
  </si>
  <si>
    <t>COOLBLUE</t>
  </si>
  <si>
    <t>WARI</t>
  </si>
  <si>
    <t>APOTHEEK</t>
  </si>
  <si>
    <t>ALDI</t>
  </si>
  <si>
    <t>KIMS CORNER</t>
  </si>
  <si>
    <t>BURGER KING</t>
  </si>
  <si>
    <t>OKAY</t>
  </si>
  <si>
    <t>HEMA</t>
  </si>
  <si>
    <t>BALOISE</t>
  </si>
  <si>
    <t>CARDIF</t>
  </si>
  <si>
    <t>PIZZA HUT</t>
  </si>
  <si>
    <t>STREAMZ</t>
  </si>
  <si>
    <t>CHARGEMAP</t>
  </si>
  <si>
    <t>VERLINDE LAUREN</t>
  </si>
  <si>
    <t>ONESTO</t>
  </si>
  <si>
    <t>Hypotheek</t>
  </si>
  <si>
    <t>FRITUUR NATUUR</t>
  </si>
  <si>
    <t>EUROMEX</t>
  </si>
  <si>
    <t>ACOD</t>
  </si>
  <si>
    <t>ACV-CSC</t>
  </si>
  <si>
    <t>COLRUYT</t>
  </si>
  <si>
    <t>LASER LINE</t>
  </si>
  <si>
    <t>ENGIE</t>
  </si>
  <si>
    <t>STARBUCKS</t>
  </si>
  <si>
    <t>CARWASH</t>
  </si>
  <si>
    <t>DKV</t>
  </si>
  <si>
    <t>BRICO</t>
  </si>
  <si>
    <t>LUNCH GARDEN</t>
  </si>
  <si>
    <t>CO&amp;GO</t>
  </si>
  <si>
    <t>BONNET</t>
  </si>
  <si>
    <t>LUKA</t>
  </si>
  <si>
    <t>DATS  24</t>
  </si>
  <si>
    <t>SOLIDARIS</t>
  </si>
  <si>
    <t>ABVV</t>
  </si>
  <si>
    <t>CORNER</t>
  </si>
  <si>
    <t>DELHAIZE</t>
  </si>
  <si>
    <t>IKEA</t>
  </si>
  <si>
    <t>BROOD</t>
  </si>
  <si>
    <t>ALLEGO</t>
  </si>
  <si>
    <t>FOURNIER</t>
  </si>
  <si>
    <t>PANOS</t>
  </si>
  <si>
    <t xml:space="preserve">SANTY </t>
  </si>
  <si>
    <t>BON'AP</t>
  </si>
  <si>
    <t>Hospitalisatie</t>
  </si>
  <si>
    <t>categorie</t>
  </si>
  <si>
    <t>Inkomsten</t>
  </si>
  <si>
    <t xml:space="preserve">juli </t>
  </si>
  <si>
    <t xml:space="preserve">augustus </t>
  </si>
  <si>
    <t xml:space="preserve">juni </t>
  </si>
  <si>
    <t xml:space="preserve">mei </t>
  </si>
  <si>
    <t xml:space="preserve">april </t>
  </si>
  <si>
    <t xml:space="preserve">maart </t>
  </si>
  <si>
    <t xml:space="preserve">februari </t>
  </si>
  <si>
    <t xml:space="preserve">januari </t>
  </si>
  <si>
    <t xml:space="preserve">december </t>
  </si>
  <si>
    <t xml:space="preserve">november </t>
  </si>
  <si>
    <t xml:space="preserve">oktober </t>
  </si>
  <si>
    <t>Rijlabels</t>
  </si>
  <si>
    <t>Kolomlabels</t>
  </si>
  <si>
    <t>gemmideld/maand</t>
  </si>
  <si>
    <t>reeds verbruikt</t>
  </si>
  <si>
    <t>saldo</t>
  </si>
  <si>
    <t>% verbruikt</t>
  </si>
  <si>
    <t>Kolom1</t>
  </si>
  <si>
    <t>Kolom2</t>
  </si>
  <si>
    <t>Kolom3</t>
  </si>
  <si>
    <t>Kolom4</t>
  </si>
  <si>
    <t>Kolom5</t>
  </si>
  <si>
    <t>Kolom6</t>
  </si>
  <si>
    <t>Kolom7</t>
  </si>
  <si>
    <t>Kolom8</t>
  </si>
  <si>
    <t>Kolom9</t>
  </si>
  <si>
    <t>Kolom10</t>
  </si>
  <si>
    <t>Kolom11</t>
  </si>
  <si>
    <t>Kolom12</t>
  </si>
  <si>
    <t>Kolom13</t>
  </si>
  <si>
    <t>Kolom14</t>
  </si>
  <si>
    <t>Kolom15</t>
  </si>
  <si>
    <t>Kolom16</t>
  </si>
  <si>
    <t>Kolom17</t>
  </si>
  <si>
    <t>Kolom18</t>
  </si>
  <si>
    <t>Kolom19</t>
  </si>
  <si>
    <t>Kolom20</t>
  </si>
  <si>
    <t>Kolom21</t>
  </si>
  <si>
    <t>Kolom22</t>
  </si>
  <si>
    <t>Kolom23</t>
  </si>
  <si>
    <t>Kolom24</t>
  </si>
  <si>
    <t>Kolom25</t>
  </si>
  <si>
    <t>Kolom26</t>
  </si>
  <si>
    <t>Kolom27</t>
  </si>
  <si>
    <t>Kolom28</t>
  </si>
  <si>
    <t>Kolom29</t>
  </si>
  <si>
    <t>Kolom30</t>
  </si>
  <si>
    <t>Kolom31</t>
  </si>
  <si>
    <t>Kolom32</t>
  </si>
  <si>
    <t>Kolom33</t>
  </si>
  <si>
    <t>Kolom34</t>
  </si>
  <si>
    <t>Kolom35</t>
  </si>
  <si>
    <t>Kolom36</t>
  </si>
  <si>
    <t>Kolom37</t>
  </si>
  <si>
    <t>Kolom38</t>
  </si>
  <si>
    <t>Kolom39</t>
  </si>
  <si>
    <t>Kolom40</t>
  </si>
  <si>
    <t>Kolom41</t>
  </si>
  <si>
    <t>Kolom42</t>
  </si>
  <si>
    <t>Kolom43</t>
  </si>
  <si>
    <t>Kolom44</t>
  </si>
  <si>
    <t>Kolom45</t>
  </si>
  <si>
    <t>Kolom46</t>
  </si>
  <si>
    <t>Kolom47</t>
  </si>
  <si>
    <t>Kolom48</t>
  </si>
  <si>
    <t>Kolom49</t>
  </si>
  <si>
    <t>Kolom50</t>
  </si>
  <si>
    <t>Kolom51</t>
  </si>
  <si>
    <t>Kolom52</t>
  </si>
  <si>
    <t>Kolom53</t>
  </si>
  <si>
    <t>Kolom54</t>
  </si>
  <si>
    <t>Kolom55</t>
  </si>
  <si>
    <t>Kolom56</t>
  </si>
  <si>
    <t>Kolom57</t>
  </si>
  <si>
    <t>Kolom58</t>
  </si>
  <si>
    <t>Kolom59</t>
  </si>
  <si>
    <t>Kolom60</t>
  </si>
  <si>
    <t>Kolom61</t>
  </si>
  <si>
    <t>Kolom62</t>
  </si>
  <si>
    <t>Kolom63</t>
  </si>
  <si>
    <t>Kolom64</t>
  </si>
  <si>
    <t>Kolom65</t>
  </si>
  <si>
    <t>Kolom66</t>
  </si>
  <si>
    <t>Kolom67</t>
  </si>
  <si>
    <t>BETALING VIA BANCONTACT              25-07 25-07-2025 OM 06.28 UUR ENGIE BE1000 BRUSSEL MET KBC-DEBETKAART 6703 42XX XXXX X901 0 KAARTHOUDER: ROTTY CHRISTOFF</t>
  </si>
  <si>
    <t>EUROPESE DOMICILIERING               25-07 SCHULDEISER     : AXA REF. SCHULDEISER: 20250718010842671923011292 MANDAATREFERTE  : 010624258692001 MEDEDELING      : 0106242586921042025-07-252025070000 0010624258692</t>
  </si>
  <si>
    <t>OVERSCHRIJVING VAN                   24-07 NL27 INGB 0000 0265 00 BANKIER OPDRACHTGEVER: INGBNL2A BOLCOM BV ARTIKEL GERETOURNEERD VOOR FACTUUR 3913732120357 REFERENTIE: 0BA06622187E46DCB0D7925D5B632AB9</t>
  </si>
  <si>
    <t>OVERSCHRIJVING VAN                   24-07 BE10 1325 4851 1904 BANKIER OPDRACHTGEVER: BNAGBEBBXXX SOLIDARIS W.-VLAANDEREN /C/ (1619945)   ZORG VAN 23/07/25 TACK E 93032216582 REFERENTIE: 112</t>
  </si>
  <si>
    <t>BETALING VIA DEBIT MASTERCARD        24-07 23-07-2025 OM 12.14 UUR CARREFOUR MARKE BE8510 MARKE MET APPLE PAY 5127 88XX XXXX 8113 VIRTUEEL KAARTNUMMER CONTACTLOZE BETALING: 5354 00XX XXXX 7841 KAARTHOUDER: BOMBAERT BRAM</t>
  </si>
  <si>
    <t>BETALING VIA DEBIT MASTERCARD        24-07 23-07-2025 OM 14.57 UUR CCV*MARKIES TANDARTSEN BE8510 KORTRIJK MET APPLE PAY 5127 88XX XXXX 8113 VIRTUEEL KAARTNUMMER CONTACTLOZE BETALING: 5354 00XX XXXX 8030 KAARTHOUDER: BOMBAERT BRAM</t>
  </si>
  <si>
    <t>BETALING VIA MAESTRO                 24-07 23-07-2025 OM 18.44 UUR CCV*BAR DU SOLEIL BE MIDDELKERKE MET APPLE PAY 6703 42XX XXXX X901 0 VIRTUEEL KAARTNUMMER CONTACTLOZE BETALING: 6790 28XX XXXX X658 7 KAARTHOUDER: ROTTY CHRISTOFF</t>
  </si>
  <si>
    <t>BETALING VIA MAESTRO                 24-07 23-07-2025 OM 20.00 UUR TIEN OM TE ZIEN BE GRIMBERGEN MET APPLE PAY 6703 42XX XXXX X901 0 VIRTUEEL KAARTNUMMER CONTACTLOZE BETALING: 6790 28XX XXXX X658 7 KAARTHOUDER: ROTTY CHRISTOFF</t>
  </si>
  <si>
    <t>BETALING VIA MAESTRO                 24-07 23-07-2025 OM 09.56 UUR OVO CHARGE ANYWH GB BRISTOL MET KBC-DEBETKAART 6703 42XX XXXX X901 0 KAARTHOUDER: ROTTY CHRISTOFF</t>
  </si>
  <si>
    <t>BETALING VIA BANCONTACT              24-07 23-07-2025 OM 22.57 UUR SPOTS BE8434 MIDDELKERK MET KBC-DEBETKAART 5127 88XX XXXX 8113 KAARTHOUDER: BOMBAERT BRAM</t>
  </si>
  <si>
    <t>OVERSCHRIJVING NAAR                  23-07 BE23 7330 6155 2691 BANKIER BEGUNSTIGDE: KREDBEBB 4411 4411 MIDDELKERKE MID2 2CMY158 - OLMPA100100 - NBKPNI1 BJNHQ MET KBC MOBILE</t>
  </si>
  <si>
    <t>BETALING VIA DEBIT MASTERCARD        24-07 22-07-2025 OM 12.28 UUR LIDL 803 KORTRIJK 2 BE8500 KORTRIJK MET APPLE PAY 5127 88XX XXXX 8113 VIRTUEEL KAARTNUMMER CONTACTLOZE BETALING: 5354 00XX XXXX 8030 KAARTHOUDER: BOMBAERT BRAM</t>
  </si>
  <si>
    <t>BETALING VIA DEBIT MASTERCARD        23-07 22-07-2025 OM 12.40 UUR CARREFOUR MARKE BE8510 MARKE MET APPLE PAY 5127 88XX XXXX 8113 VIRTUEEL KAARTNUMMER CONTACTLOZE BETALING: 5354 00XX XXXX 8030 KAARTHOUDER: BOMBAERT BRAM</t>
  </si>
  <si>
    <t>BETALING VIA DEBIT MASTERCARD        22-07 21-07-2025 OM 11.44 UUR VOGEL &amp; VIJVERCENTRUM BE8531 HULSTE MET APPLE PAY 5127 88XX XXXX 8113 VIRTUEEL KAARTNUMMER CONTACTLOZE BETALING: 5354 00XX XXXX 8030 KAARTHOUDER: BOMBAERT BRAM</t>
  </si>
  <si>
    <t>BETALING VIA DEBIT MASTERCARD        22-07 21-07-2025 OM 13.48 UUR BELL FRITE BE7730 ESTAIMPUIS MET APPLE PAY 5127 88XX XXXX 8113 VIRTUEEL KAARTNUMMER CONTACTLOZE BETALING: 5354 00XX XXXX 8030 KAARTHOUDER: BOMBAERT BRAM</t>
  </si>
  <si>
    <t>BETALING VIA DEBIT MASTERCARD        22-07 21-07-2025 OM 14.37 UUR FAMIFLORA  CAISSE 26 BE7711 MOUSCRON MET APPLE PAY 5127 88XX XXXX 8113 VIRTUEEL KAARTNUMMER CONTACTLOZE BETALING: 5354 00XX XXXX 8030 KAARTHOUDER: BOMBAERT BRAM</t>
  </si>
  <si>
    <t>BETALING VIA DEBIT MASTERCARD        22-07 21-07-2025 OM 17.00 UUR CARREFOUR MARKE BE8510 MARKE MET APPLE PAY 5127 88XX XXXX 8113 VIRTUEEL KAARTNUMMER CONTACTLOZE BETALING: 5354 00XX XXXX 7841 KAARTHOUDER: BOMBAERT BRAM</t>
  </si>
  <si>
    <t>BETALING VIA MAESTRO                 22-07 18-07-2025 OM 15.21 UUR MOLECULE BE VICHTE MET APPLE PAY 6703 42XX XXXX X901 0 VIRTUEEL KAARTNUMMER CONTACTLOZE BETALING: 6790 28XX XXXX X658 7 KAARTHOUDER: ROTTY CHRISTOFF</t>
  </si>
  <si>
    <t>BETALING VIA MAESTRO                 22-07 19-07-2025 OM 14.42 UUR BEUGNIES LES CHOCOLATS BE KORTRIJK MET APPLE PAY 6703 42XX XXXX X901 0 VIRTUEEL KAARTNUMMER CONTACTLOZE BETALING: 6790 28XX XXXX X658 7 KAARTHOUDER: ROTTY CHRISTOFF</t>
  </si>
  <si>
    <t>OVERSCHRIJVING VAN                   22-07 BE76 3350 5545 9895 BANKIER OPDRACHTGEVER: BBRUBEBB LUMINUS NV LUMINUS TERUGBET 4834178099 0415334214 REFERENTIE: 000165443362</t>
  </si>
  <si>
    <t>EUROPESE DOMICILIERING               22-07 SCHULDEISER     : AXA REF. SCHULDEISER: 20250715010935524060002695 MANDAATREFERTE  : 010817143526001 MEDEDELING      : 0108171435261042025-07-222025070000 0010817143526</t>
  </si>
  <si>
    <t>BETALING VIA DEBIT MASTERCARD        22-07 20-07-2025 OM 09.59 UUR SP EDGARD &amp; COOPER BE8500 KORTRIJK MET APPLE PAY 5127 88XX XXXX 8113 VIRTUEEL KAARTNUMMER CONTACTLOZE BETALING: 5354 00XX XXXX 7841 KAARTHOUDER: BOMBAERT BRAM</t>
  </si>
  <si>
    <t>BETALING VIA DEBIT MASTERCARD        22-07 19-07-2025 OM 16.00 UUR CARREFOUR MARKE BE8510 MARKE MET APPLE PAY 5127 88XX XXXX 8113 VIRTUEEL KAARTNUMMER CONTACTLOZE BETALING: 5354 00XX XXXX 7841 KAARTHOUDER: BOMBAERT BRAM</t>
  </si>
  <si>
    <t>BETALING VIA DEBIT MASTERCARD        22-07 19-07-2025 OM 12.03 UUR CARREFOUR MARKE BE8510 MARKE MET APPLE PAY 5127 88XX XXXX 8113 VIRTUEEL KAARTNUMMER CONTACTLOZE BETALING: 5354 00XX XXXX 7841 KAARTHOUDER: BOMBAERT BRAM</t>
  </si>
  <si>
    <t>EUROPESE DOMICILIERING               21-07 SCHULDEISER     : CARDIF -ASSURANCE VIE REF. SCHULDEISER: RF63250543867488235418399 MANDAATREFERTE  : CARDIF-8742994/01 MEDEDELING      : SCOR                   ISO                   RF63250543867488235418399</t>
  </si>
  <si>
    <t>EDGARD</t>
  </si>
  <si>
    <t>BEUGNIES</t>
  </si>
  <si>
    <t>BETALING VIA DEBIT MASTERCARD        24-07 23-07-2025 OM 00.00 tickets TOTZ</t>
  </si>
  <si>
    <t>Bedrag +/-</t>
  </si>
  <si>
    <t>Som van Bedrag +/-</t>
  </si>
  <si>
    <t>maaltijdchecques</t>
  </si>
  <si>
    <t>Totale inkomsten (maand)</t>
  </si>
  <si>
    <t>totale uitgaven (maand)</t>
  </si>
  <si>
    <t>Gespaard bedrag (maand)</t>
  </si>
  <si>
    <t>Vaste lasten (maand)</t>
  </si>
  <si>
    <t>Spaarrekening totaal</t>
  </si>
  <si>
    <t>Totaal schulden</t>
  </si>
  <si>
    <t>Spaargedrag (≥10% van inkomen)</t>
  </si>
  <si>
    <t>Vaste lasten ≤ 50% van inkomen</t>
  </si>
  <si>
    <t>Meer inkomsten dan uitgaven</t>
  </si>
  <si>
    <t>Buffer ≥ 3x maanduitgaven</t>
  </si>
  <si>
    <t>Geen of lage schulden</t>
  </si>
  <si>
    <t>Totale score</t>
  </si>
  <si>
    <t>Beoordeling</t>
  </si>
  <si>
    <t>SCORE</t>
  </si>
  <si>
    <t>Financieel  overzicht BoRoLo</t>
  </si>
  <si>
    <t>volgende keer eind oktober</t>
  </si>
  <si>
    <t>nieuwsblad</t>
  </si>
  <si>
    <t>Maandinkomen</t>
  </si>
  <si>
    <t>Vaste lasten per maand</t>
  </si>
  <si>
    <t>Schulden totaal</t>
  </si>
  <si>
    <t>Spaarsaldo</t>
  </si>
  <si>
    <t>gemiddeld maandsaldo over 11 maand</t>
  </si>
  <si>
    <t>Betalingsachterstanden</t>
  </si>
  <si>
    <t>Krediet</t>
  </si>
  <si>
    <t>nee</t>
  </si>
  <si>
    <t>opmerkingen</t>
  </si>
  <si>
    <t>water (m³)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</si>
  <si>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</si>
  <si>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</si>
  <si>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</si>
  <si>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</si>
  <si>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</si>
  <si>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</si>
  <si>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</si>
  <si>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</si>
  <si>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</si>
  <si>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</si>
  <si>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</si>
  <si>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</si>
  <si>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Water (m³) netto</t>
  </si>
  <si>
    <t>netto verbruik met december manueel uitrekenen</t>
  </si>
  <si>
    <t>Som van Water (m³) netto</t>
  </si>
  <si>
    <t>BETALING VIA DEBIT MASTERCARD        28-07 26-07-2025 OM 12.13 UUR LIDL 803 KORTRIJK 2 BE8500 KORTRIJK MET APPLE PAY 5127 88XX XXXX 8113 VIRTUEEL KAARTNUMMER CONTACTLOZE BETALING: 5354 00XX XXXX 8030 KAARTHOUDER: BOMBAERT BRAM</t>
  </si>
  <si>
    <t>BETALING VIA DEBIT MASTERCARD        28-07 25-07-2025 OM 17.00 UUR LIDL 803 KORTRIJK 2 BE8500 KORTRIJK MET APPLE PAY 5127 88XX XXXX 8113 VIRTUEEL KAARTNUMMER CONTACTLOZE BETALING: 5354 00XX XXXX 8030 KAARTHOUDER: BOMBAERT BRAM</t>
  </si>
  <si>
    <t>BETALING VIA DEBIT MASTERCARD        28-07 25-07-2025 OM 12.05 UUR ERIC KAYSER FR59000 LILLE MET APPLE PAY 5127 88XX XXXX 8113 VIRTUEEL KAARTNUMMER CONTACTLOZE BETALING: 5354 00XX XXXX 8030 KAARTHOUDER: BOMBAERT BRAM</t>
  </si>
  <si>
    <t>BETALING VIA DEBIT MASTERCARD        28-07 25-07-2025 OM 12.06 UUR ERIC KAYSER FR59000 LILLE MET APPLE PAY 5127 88XX XXXX 8113 VIRTUEEL KAARTNUMMER CONTACTLOZE BETALING: 5354 00XX XXXX 8030 KAARTHOUDER: BOMBAERT BRAM</t>
  </si>
  <si>
    <t>BETALING VIA DEBIT MASTERCARD        28-07 25-07-2025 OM 16.12 UUR CCV*S&amp;R KORTRIJK-ZWEVE BE8500 KORTRIJK MET APPLE PAY 5127 88XX XXXX 8113 VIRTUEEL KAARTNUMMER CONTACTLOZE BETALING: 5354 00XX XXXX 8030 KAARTHOUDER: BOMBAERT BRAM</t>
  </si>
  <si>
    <t>BETALING VIA BANCONTACT              28-07 26-07-2025 OM 15.37 UUR CARWASH DE SINGEL KUUR BE8250 KUUME MET KBC-DEBETKAART 5127 88XX XXXX 8113 KAARTHOUDER: BOMBAERT BRAM</t>
  </si>
  <si>
    <t>BETALING VIA DEBIT MASTERCARD        25-07 24-07-2025 OM 18.29 UUR CARREFOUR MARKE BE8510 MARKE MET APPLE PAY 5127 88XX XXXX 8113 VIRTUEEL KAARTNUMMER CONTACTLOZE BETALING: 5354 00XX XXXX 7841 KAARTHOUDER: BOMBAERT BRAM</t>
  </si>
  <si>
    <t>BETALING VIA DEBIT MASTERCARD        25-07 24-07-2025 OM 12.06 UUR CARREFOUR MARKE BE8510 MARKE MET APPLE PAY 5127 88XX XXXX 8113 VIRTUEEL KAARTNUMMER CONTACTLOZE BETALING: 5354 00XX XXXX 7841 KAARTHOUDER: BOMBAERT BRAM</t>
  </si>
  <si>
    <t>OVERSCHRIJVING VAN                   25-07 BE17 7350 6873 7521 BANKIER OPDRACHTGEVER: KREDBEBB BEYOND ORDERING BV REFUND 71324844524635444236686431554B3178593252 BESTANDSREF. 2C1BE8280D43429985D4D35223F86126 OPDRACHTREF. Q2HDRF5DB6HD1UK1XY2R</t>
  </si>
  <si>
    <t>BETALING VIA MAESTRO                 25-07 24-07-2025 OM 17.15 UUR CCV*S&amp;R KORTRIJK-ZWEVE BE KORTRIJK MET APPLE PAY 6703 42XX XXXX X901 0 VIRTUEEL KAARTNUMMER CONTACTLOZE BETALING: 6790 28XX XXXX X658 7 KAARTHOUDER: ROTTY CHRISTOFF</t>
  </si>
  <si>
    <t>BETALING VIA MAESTRO                 25-07 24-07-2025 OM 17.00 UUR CCV*S&amp;R KORTRIJK-ZWEVE BE KORTRIJK MET APPLE PAY 6703 42XX XXXX X901 0 VIRTUEEL KAARTNUMMER CONTACTLOZE BETALING: 6790 28XX XXXX X658 7 KAARTHOUDER: ROTTY CHRISTOFF</t>
  </si>
  <si>
    <t>BETALING VIA MAESTRO                 28-07 27-07-2025 OM 07.29 UUR OVO CHARGE ANYWHERE GB BRISTOL MET APPLE PAY 6703 42XX XXXX X901 0 VIRTUEEL KAARTNUMMER CONTACTLOZE BETALING: 6790 28XX XXXX X658 7 KAARTHOUDER: ROTTY CHRISTOFF</t>
  </si>
  <si>
    <t>BETALING VIA MAESTRO                 28-07 25-07-2025 OM 04.13 UUR OVO CHARGE ANYWHERE GB BRISTOL MET APPLE PAY 6703 42XX XXXX X901 0 VIRTUEEL KAARTNUMMER CONTACTLOZE BETALING: 6790 28XX XXXX X658 7 KAARTHOUDER: ROTTY CHRISTOFF</t>
  </si>
  <si>
    <t>EUROPESE DOMICILIERING               28-07 SCHULDEISER     : ORANGE REF. SCHULDEISER: A68O81EA MANDAATREFERTE  : 7808001 MEDEDELING      : SCOR                   BBA                   111846299230</t>
  </si>
  <si>
    <t>Totaal Inkomsten</t>
  </si>
  <si>
    <t>Totaal Vast</t>
  </si>
  <si>
    <t>Totaal Variabel</t>
  </si>
  <si>
    <t>BETALING VIA DEBIT MASTERCARD        28-07 27-07-2025 OM 16.09 UUR CARREFOUR MARKE BE8510 MARKE MET APPLE PAY 5127 88XX XXXX 8113 VIRTUEEL KAARTNUMMER CONTACTLOZE BETALING: 5354 00XX XXXX 8030 KAARTHOUDER: BOMBAERT BRAM</t>
  </si>
  <si>
    <t>BETALING VIA DEBIT MASTERCARD        28-07 27-07-2025 OM 19.35 UUR LSP*MOOCHIE FROZEN YOG BE9000 GENT MET APPLE PAY 5127 88XX XXXX 8113 VIRTUEEL KAARTNUMMER CONTACTLOZE BETALING: 5354 00XX XXXX 8030 KAARTHOUDER: BOMBAERT BRAM</t>
  </si>
  <si>
    <t>BETALING VIA MAESTRO                 29-07 28-07-2025 OM 02.51 UUR OVO CHARGE ANYWHERE GB BRISTOL MET APPLE PAY 6703 42XX XXXX X901 0 VIRTUEEL KAARTNUMMER CONTACTLOZE BETALING: 6790 28XX XXXX X658 7 KAARTHOUDER: ROTTY CHRISTOFF</t>
  </si>
  <si>
    <t>BETALING VIA DEBIT MASTERCARD        29-07 25-07-2025 OM 12.42 UUR EFFIA FR59000 LILLE MET APPLE PAY 5127 88XX XXXX 8113 VIRTUEEL KAARTNUMMER CONTACTLOZE BETALING: 5354 00XX XXXX 8030 KAARTHOUDER: BOMBAERT BRAM</t>
  </si>
  <si>
    <t>BETALING LEASING                     30-07 0001/0001/BE/2502240437</t>
  </si>
  <si>
    <t>BETALING VIA DEBIT MASTERCARD        29-07 28-07-2025 OM 14.34 UUR TOM&amp;CO KORTRIJK BE8500 KORTRIJK MET APPLE PAY 5127 88XX XXXX 8113 VIRTUEEL KAARTNUMMER CONTACTLOZE BETALING: 5354 00XX XXXX 7841 KAARTHOUDER: BOMBAERT BRAM</t>
  </si>
  <si>
    <t>BETALING VIA DEBIT MASTERCARD        29-07 28-07-2025 OM 14.43 UUR LIDL 803 KORTRIJK 2 BE8500 KORTRIJK MET APPLE PAY 5127 88XX XXXX 8113 VIRTUEEL KAARTNUMMER CONTACTLOZE BETALING: 5354 00XX XXXX 7841 KAARTHOUDER: BOMBAERT BRAM</t>
  </si>
  <si>
    <t>BETALING VIA DEBIT MASTERCARD        29-07 28-07-2025 OM 01.06 UUR VALINSOPAY NL NL4261 LN WIJK EN AALBU MET APPLE PAY 5127 88XX XXXX 8113 VIRTUEEL KAARTNUMMER CONTACTLOZE BETALING: 5354 00XX XXXX 8030 KAARTHOUDER: BOMBAERT BRAM</t>
  </si>
  <si>
    <t>BETALING VIA DEBIT MASTERCARD        29-07 28-07-2025 OM 01.05 UUR VALINSOPAY NL NL4261 LN WIJK EN AALBU MET APPLE PAY 5127 88XX XXXX 8113 VIRTUEEL KAARTNUMMER CONTACTLOZE BETALING: 5354 00XX XXXX 8030 KAARTHOUDER: BOMBAERT BRAM</t>
  </si>
  <si>
    <t>BETALING VIA MAESTRO                 29-07 28-07-2025 OM 15.05 UUR TOM&amp;CO KORTRIJK BE KORTRIJK MET APPLE PAY 6703 42XX XXXX X901 0 VIRTUEEL KAARTNUMMER CONTACTLOZE BETALING: 6790 28XX XXXX X658 7 KAARTHOUDER: ROTTY CHRISTOFF</t>
  </si>
  <si>
    <t>BETALING VIA MAESTRO                 29-07 28-07-2025 OM 16.43 UUR LIDL 803 KORTRIJK 2 BE KORTRIJK MET APPLE PAY 6703 42XX XXXX X901 0 VIRTUEEL KAARTNUMMER CONTACTLOZE BETALING: 6790 28XX XXXX X658 7 KAARTHOUDER: ROTTY CHRISTOFF</t>
  </si>
  <si>
    <t>BETALING VIA BANCONTACT              29-07 29-07-2025 OM 14.24 UUR APOTHEEK ARIE BE8510 MARKE MET KBC-DEBETKAART 5127 88XX XXXX 8113 KAARTHOUDER: BOMBAERT BRAM</t>
  </si>
  <si>
    <t>BETALING VIA DEBIT MASTERCARD        29-07 28-07-2025 OM 18.33 UUR CARREFOUR MARKE BE8510 MARKE MET KBC-DEBETKAART 5127 88XX XXXX 8113 KAARTHOUDER: BOMBAERT BRAM</t>
  </si>
  <si>
    <t>BETALING VIA DEBIT MASTERCARD        29-07 28-07-2025 OM 12.07 UUR CARREFOUR MARKE BE8510 MARKE MET APPLE PAY 5127 88XX XXXX 8113 VIRTUEEL KAARTNUMMER CONTACTLOZE BETALING: 5354 00XX XXXX 7841 KAARTHOUDER: BOMBAERT BRAM</t>
  </si>
  <si>
    <t>BETALING VIA DEBIT MASTERCARD        29-07 28-07-2025 OM 14.22 UUR CCV*DIERENARTSENPRAKTI BE8500 KORTRIJK MET APPLE PAY 5127 88XX XXXX 8113 VIRTUEEL KAARTNUMMER CONTACTLOZE BETALING: 5354 00XX XXXX 7841 KAARTHOUDER: BOMBAERT BRAM</t>
  </si>
  <si>
    <t>BETALING VIA DEBIT MASTERCARD        30-07 29-07-2025 OM 12.35 UUR MOL*VIVA SARA BE8570 3256777776 MET APPLE PAY 5127 88XX XXXX 8113 VIRTUEEL KAARTNUMMER CONTACTLOZE BETALING: 5354 00XX XXXX 7841 KAARTHOUDER: BOMBAERT BRAM</t>
  </si>
  <si>
    <t>BETALING VIA MAESTRO                 30-07 29-07-2025 OM 16.20 UUR COLRUYT LEDEBERG BE GENT MET APPLE PAY 6703 42XX XXXX X901 0 VIRTUEEL KAARTNUMMER CONTACTLOZE BETALING: 6790 28XX XXXX X658 7 KAARTHOUDER: ROTTY CHRISTOFF</t>
  </si>
  <si>
    <t>BETALING VIA BANCONTACT              30-07 30-07-2025 OM 15.30 UUR MEDI-MARKET KORTRIJK BE8500 KORTRIJK MET KBC-DEBETKAART 5127 88XX XXXX 8113 KAARTHOUDER: BOMBAERT BRAM</t>
  </si>
  <si>
    <t>BETALING VIA BANCONTACT              30-07 30-07-2025 OM 12.52 UUR TOTAL NB002038 MARKE C BE8510 MARKE (KORTRI MET KBC-DEBETKAART 5127 88XX XXXX 8113 KAARTHOUDER: BOMBAERT BRAM</t>
  </si>
  <si>
    <t>EUROPESE DOMICILIERING               30-07 SCHULDEISER     : TELENET BV REF. SCHULDEISER: 115343185310657366763 MANDAATREFERTE  : 001285135 MEDEDELING      : ACCOUNT: 115343185 REF : 3106573667 63</t>
  </si>
  <si>
    <t>BETALING VIA MAESTRO                 31-07 30-07-2025 OM 17.18 UUR CARREFOUR MARKE BE MARKE MET APPLE PAY 6703 42XX XXXX X901 0 VIRTUEEL KAARTNUMMER CONTACTLOZE BETALING: 6790 28XX XXXX X658 7 KAARTHOUDER: ROTTY CHRISTOFF</t>
  </si>
  <si>
    <t>BETALING VIA MAESTRO                 31-07 30-07-2025 OM 05.48 UUR OVO CHARGE ANYWHERE GB BRISTOL MET APPLE PAY 6703 42XX XXXX X901 0 VIRTUEEL KAARTNUMMER CONTACTLOZE BETALING: 6790 28XX XXXX X658 7 KAARTHOUDER: ROTTY CHRISTOFF</t>
  </si>
  <si>
    <t>EUROPESE DOMICILIERING               31-07 SCHULDEISER     : KBC VERZEKERINGEN REF. SCHULDEISER: 392129685878 MANDAATREFERTE  : L00194638787V0001 EIGEN OMSCHR.   : HOSPITALISATIEVERZEKERING MEDEDELING      : POL.54467509 31/07/2025-31/08/2025 HOSPITALISATIEVERZEKERING</t>
  </si>
  <si>
    <t>BETALING VIA BANCONTACT              31-07 31-07-2025 OM 10.30 UUR LIEN P2P MOBILE MET KBC-DEBETKAART 5127 88XX XXXX 8113 KAARTHOUDER: BOMBAERT BRAM</t>
  </si>
  <si>
    <t>totaal uitgaven</t>
  </si>
  <si>
    <t>OVERSCHRIJVING VAN                   31-07 BE64 3751 1173 1652 BANKIER OPDRACHTGEVER: BBRUBEBB VVM DE LIJN ALGEMENE REK ATTENTIE ZIEK/OVERL 50 EURO</t>
  </si>
  <si>
    <t>OVERSCHRIJVING VAN                   31-07 BE10 1325 4851 1904 BANKIER OPDRACHTGEVER: BNAGBEBBXXX SOLIDARIS W.-VLAANDEREN /C/ (1619945)   ZORG VAN 30/07/25 TACK E 93032216582 REFERENTIE: 109</t>
  </si>
  <si>
    <t>BETALING VIA MAESTRO                 31-07 30-07-2025 OM 14.09 UUR VALINSOPAY NL NL WIJK EN AALBU MET APPLE PAY 6703 42XX XXXX X901 0 VIRTUEEL KAARTNUMMER CONTACTLOZE BETALING: 6790 28XX XXXX X658 7 KAARTHOUDER: ROTTY CHRISTOFF</t>
  </si>
  <si>
    <t>BETALING VIA BANCONTACT              31-07 31-07-2025 OM 13.50 UUR KWARTO  N.V. BE9000 GENT MET KBC-DEBETKAART 5127 88XX XXXX 8113 KAARTHOUDER: BOMBAERT BRAM</t>
  </si>
  <si>
    <t>BETALING VIA DEBIT MASTERCARD        31-07 30-07-2025 OM 16.56 UUR CARREFOUR MARKE BE8510 MARKE MET APPLE PAY 5127 88XX XXXX 8113 VIRTUEEL KAARTNUMMER CONTACTLOZE BETALING: 5354 00XX XXXX 7841 KAARTHOUDER: BOMBAERT BRAM</t>
  </si>
  <si>
    <t>BETALING VIA DEBIT MASTERCARD        31-07 30-07-2025 OM 14.28 UUR CCV*MARKIES TANDARTSEN BE8510 KORTRIJK MET APPLE PAY 5127 88XX XXXX 8113 VIRTUEEL KAARTNUMMER CONTACTLOZE BETALING: 5354 00XX XXXX 8030 KAARTHOUDER: BOMBAERT BRAM</t>
  </si>
  <si>
    <t>BETALING VIA DEBIT MASTERCARD        31-07 30-07-2025 OM 15.37 UUR HEMA EV409 KORTRIJK BE8520 KORTRIJK MET APPLE PAY 5127 88XX XXXX 8113 VIRTUEEL KAARTNUMMER CONTACTLOZE BETALING: 5354 00XX XXXX 8030 KAARTHOUDER: BOMBAERT BRAM</t>
  </si>
  <si>
    <t>BETALING VIA DEBIT MASTERCARD        31-07 29-07-2025 OM 14.14 UUR LIDL 803 KORTRIJK 2 BE8500 KORTRIJK MET APPLE PAY 5127 88XX XXXX 8113 VIRTUEEL KAARTNUMMER CONTACTLOZE BETALING: 5354 00XX XXXX 8030 KAARTHOUDER: BOMBAERT BRAM</t>
  </si>
  <si>
    <t>EUROPESE DOMICILIERING               01-08 SCHULDEISER     : DKV BELGIUM REF. SCHULDEISER: 2025200345523551X000000000000001 MANDAATREFERTE  : 345523551/002 MEDEDELING      : 0825-0925 PREMIE</t>
  </si>
  <si>
    <t>EUROPESE DOMICILIERING               01-08 SCHULDEISER     : LUMINUS SA REF. SCHULDEISER: 002992755583 MANDAATREFERTE  : 0087006660811 MEDEDELING      : LUMINUS VOORSCHOT 3434131195</t>
  </si>
  <si>
    <t>AUTOMATISCHE BETALING                01-08 FLEX BUDGET 420-6319589-46</t>
  </si>
  <si>
    <t>BETALING VIA DEBIT MASTERCARD        01-08 30-07-2025 OM 16.00 UUR EURO SHOP KORTRIJK BE8800 ROESELARE MET APPLE PAY 5127 88XX XXXX 8113 VIRTUEEL KAARTNUMMER CONTACTLOZE BETALING: 5354 00XX XXXX 8030 KAARTHOUDER: BOMBAERT BRAM</t>
  </si>
  <si>
    <t>BETALING VIA DEBIT MASTERCARD        01-08 30-07-2025 OM 14.47 UUR LIDL 803 KORTRIJK 2 BE8500 KORTRIJK MET APPLE PAY 5127 88XX XXXX 8113 VIRTUEEL KAARTNUMMER CONTACTLOZE BETALING: 5354 00XX XXXX 8030 KAARTHOUDER: BOMBAERT BRAM</t>
  </si>
  <si>
    <t>BETALING VIA BANCONTACT              01-08 01-08-2025 OM 08.49 UUR VERLINDE LAUREN BE8510 MARKE MET KBC-DEBETKAART 5127 88XX XXXX 8113 KAARTHOUDER: BOMBAERT BRAM</t>
  </si>
  <si>
    <t>BETALING VIA DEBIT MASTERCARD        04-08 02-08-2025 OM 20.16 UUR KINEPOLIS KORTRIJK BE8500 KORTRIJK MET APPLE PAY 5127 88XX XXXX 8113 VIRTUEEL KAARTNUMMER CONTACTLOZE BETALING: 5354 00XX XXXX 8030 KAARTHOUDER: BOMBAERT BRAM</t>
  </si>
  <si>
    <t>BETALING VIA DEBIT MASTERCARD        04-08 01-08-2025 OM 12.07 UUR BRICO PLAN-IT 4210 BE8500 KORTRIJK MET APPLE PAY 5127 88XX XXXX 8113 VIRTUEEL KAARTNUMMER CONTACTLOZE BETALING: 5354 00XX XXXX 8030 KAARTHOUDER: BOMBAERT BRAM</t>
  </si>
  <si>
    <t>BETALING VIA DEBIT MASTERCARD        04-08 01-08-2025 OM 17.38 UUR CARREFOUR MARKE BE8510 MARKE MET APPLE PAY 5127 88XX XXXX 8113 VIRTUEEL KAARTNUMMER CONTACTLOZE BETALING: 5354 00XX XXXX 7841 KAARTHOUDER: BOMBAERT BRAM</t>
  </si>
  <si>
    <t>BETALING VIA BANCONTACT              04-08 02-08-2025 OM 18.55 UUR KINEPOLIS MULTI BE8500 KORTRIJK MET KBC-DEBETKAART 5127 88XX XXXX 8113 KAARTHOUDER: BOMBAERT BRAM</t>
  </si>
  <si>
    <t>BETALING VIA BANCONTACT              04-08 02-08-2025 OM 17.50 UUR CORPORATE BENEFITS BEN BE3500 HASSELT MET KBC-DEBETKAART 5127 88XX XXXX 8113 KAARTHOUDER: BOMBAERT BRAM INFO VAN DE HANDELAAR: 73KIP46 E-BENELUX-25-833718</t>
  </si>
  <si>
    <t>BETALING VIA DEBIT MASTERCARD        04-08 01-08-2025 OM 16.46 UUR COOLBLUE N.V. BE2600 BERCHEM MET APPLE PAY 5127 88XX XXXX 8113 VIRTUEEL KAARTNUMMER CONTACTLOZE BETALING: 5354 00XX XXXX 7841 KAARTHOUDER: BOMBAERT BRAM</t>
  </si>
  <si>
    <t>BETALING VIA BANCONTACT              04-08 01-08-2025 OM 21.37 UUR ORANGE BRUXELLES BE1140 BRUSSEL MET KBC-DEBETKAART 6703 42XX XXXX X901 0 KAARTHOUDER: ROTTY CHRISTOFF</t>
  </si>
  <si>
    <t>BETALING VIA DEBIT MASTERCARD        01-08 31-07-2025 OM 14.36 UUR LIDL 803 KORTRIJK 2 BE8500 KORTRIJK MET APPLE PAY 5127 88XX XXXX 8113 VIRTUEEL KAARTNUMMER CONTACTLOZE BETALING: 5354 00XX XXXX 7841 KAARTHOUDER: BOMBAERT BRAM</t>
  </si>
  <si>
    <t>BETALING VIA MAESTRO                 01-08 31-07-2025 OM 14.48 UUR VALINSOPAY NL NL WIJK EN AALBU MET APPLE PAY 6703 42XX XXXX X901 0 VIRTUEEL KAARTNUMMER CONTACTLOZE BETALING: 6790 28XX XXXX X005 7 KAARTHOUDER: ROTTY CHRISTOFF</t>
  </si>
  <si>
    <t>BETALING VIA DEBIT MASTERCARD        01-08 31-07-2025 OM 14.47 UUR CARREFOUR MARKE BE8510 MARKE MET APPLE PAY 5127 88XX XXXX 8113 VIRTUEEL KAARTNUMMER CONTACTLOZE BETALING: 5354 00XX XXXX 8030 KAARTHOUDER: BOMBAERT BRAM</t>
  </si>
  <si>
    <t>%</t>
  </si>
  <si>
    <t>OVERSCHRIJVING NAAR                  04-08 BE23 9731 1727 8791 BANKIER BEGUNSTIGDE: ARSPBE22 NATACHA LEMAN KINE BOMBAERT B MET KBC MOBILE</t>
  </si>
  <si>
    <t>OVERSCHRIJVING VAN                   04-08 BE42 8782 7051 0154 BANKIER OPDRACHTGEVER: BNAGBEBBXXX SOLIDARIS W.-VLAANDEREN /C/ 40278250801/RAADPL OP 210525/LEMAN NATACHA    /25 0731821895008 REFERENTIE: 48</t>
  </si>
  <si>
    <t>BETALING VIA BANCONTACT              04-08 04-08-2025 OM 16.33 UUR BOL.COM NL3528 BJ UTRECHT MET KBC-DEBETKAART 5127 88XX XXXX 8113 KAARTHOUDER: BOMBAERT BRAM</t>
  </si>
  <si>
    <t>BETALING VIA BANCONTACT              04-08 04-08-2025 OM 14.22 UUR ZALANDO PAYMENTS GMBH DE10243 BERLIN MET KBC-DEBETKAART 6703 42XX XXXX X901 0 KAARTHOUDER: ROTTY CHRISTOFF</t>
  </si>
  <si>
    <t>BETALING VIA DEBIT MASTERCARD        04-08 02-08-2025 OM 16.25 UUR CARREFOUR MARKE BE8510 MARKE MET APPLE PAY 5127 88XX XXXX 8113 VIRTUEEL KAARTNUMMER CONTACTLOZE BETALING: 5354 00XX XXXX 8030 KAARTHOUDER: BOMBAERT BRAM</t>
  </si>
  <si>
    <t>BETALING VIA DEBIT MASTERCARD        04-08 03-08-2025 OM 11.01 UUR CARREFOUR MARKE BE8510 MARKE MET KBC-DEBETKAART 5127 88XX XXXX 8113 KAARTHOUDER: BOMBAERT BRAM</t>
  </si>
  <si>
    <t>BETALING VIA DEBIT MASTERCARD        04-08 02-08-2025 OM 11.54 UUR CARREFOUR MARKE BE8510 MARKE MET APPLE PAY 5127 88XX XXXX 8113 VIRTUEEL KAARTNUMMER CONTACTLOZE BETALING: 5354 00XX XXXX 8030 KAARTHOUDER: BOMBAERT BRAM</t>
  </si>
  <si>
    <t>BETALING VIA DEBIT MASTERCARD        04-08 02-08-2025 OM 15.50 UUR HEMA EV409 KORTRIJK BE8520 KORTRIJK MET APPLE PAY 5127 88XX XXXX 8113 VIRTUEEL KAARTNUMMER CONTACTLOZE BETALING: 5354 00XX XXXX 8030 KAARTHOUDER: BOMBAERT BRAM</t>
  </si>
  <si>
    <t>BETALING VIA MAESTRO                 04-08 03-08-2025 OM 16.48 UUR CCV*GRYMONPREZ STEVE BE DADIZELE MET APPLE PAY 6703 42XX XXXX X901 0 VIRTUEEL KAARTNUMMER CONTACTLOZE BETALING: 6790 28XX XXXX X658 7 KAARTHOUDER: ROTTY CHRISTOFF</t>
  </si>
  <si>
    <t>BETALING VIA MAESTRO                 04-08 02-08-2025 OM 15.39 UUR MATHOT MICHELINE BE OPWIJK MET APPLE PAY 6703 42XX XXXX X901 0 VIRTUEEL KAARTNUMMER CONTACTLOZE BETALING: 6790 28XX XXXX X658 7 KAARTHOUDER: ROTTY CHRISTOFF</t>
  </si>
  <si>
    <t>BETALING VIA MAESTRO                 04-08 01-08-2025 OM 09.07 UUR VALINSOPAY NL NL WIJK EN AALBU MET APPLE PAY 6703 42XX XXXX X901 0 VIRTUEEL KAARTNUMMER CONTACTLOZE BETALING: 6790 28XX XXXX X658 7 KAARTHOUDER: ROTTY CHRISTOFF</t>
  </si>
  <si>
    <t>BETALING VIA MAESTRO                 04-08 01-08-2025 OM 16.29 UUR VALINSOPAY NL NL WIJK EN AALBU MET APPLE PAY 6703 42XX XXXX X901 0 VIRTUEEL KAARTNUMMER CONTACTLOZE BETALING: 6790 28XX XXXX X005 7 KAARTHOUDER: ROTTY CHRISTOFF</t>
  </si>
  <si>
    <t>BETALING VIA MAESTRO                 04-08 01-08-2025 OM 14.04 UUR VALINSOPAY NL NL WIJK EN AALBU MET APPLE PAY 6703 42XX XXXX X901 0 VIRTUEEL KAARTNUMMER CONTACTLOZE BETALING: 6790 28XX XXXX X658 7 KAARTHOUDER: ROTTY CHRISTOFF</t>
  </si>
  <si>
    <t>EUROPESE DOMICILIERING               04-08 SCHULDEISER     : ACV-CSC REF. SCHULDEISER: 0825 BIJDRAGEN 082025-082025 MANDAATREFERTE  : N00814013 MEDEDELING      : SCOR                   BBA                   081760860769</t>
  </si>
  <si>
    <t>EUROPESE DOMICILIERING               04-08 SCHULDEISER     : MEDIAHUIS NV - NB REF. SCHULDEISER: J9841209 MANDAATREFERTE  : 101000942759 MEDEDELING      : ABONR. 5862848 : 04/08/25 - 03/09/2 5</t>
  </si>
  <si>
    <t>BETALING VIA DEBIT MASTERCARD        04-08 02-08-2025 OM 11.41 UUR LIDL 803 KORTRIJK 2 BE8500 KORTRIJK MET APPLE PAY 5127 88XX XXXX 8113 VIRTUEEL KAARTNUMMER CONTACTLOZE BETALING: 5354 00XX XXXX 8030 KAARTHOUDER: BOMBAERT BRAM</t>
  </si>
  <si>
    <t>BETALING VIA DEBIT MASTERCARD        04-08 02-08-2025 OM 15.34 UUR MEDI-MARKET KORTRIJK BE8500 KORTRIJK MET APPLE PAY 5127 88XX XXXX 8113 VIRTUEEL KAARTNUMMER CONTACTLOZE BETALING: 5354 00XX XXXX 8030 KAARTHOUDER: BOMBAERT BRAM</t>
  </si>
  <si>
    <t>BETALING VIA DEBIT MASTERCARD        05-08 04-08-2025 OM 13.22 UUR VOGEL &amp; VIJVERCENTRUM BE8531 HULSTE MET APPLE PAY 5127 88XX XXXX 8113 VIRTUEEL KAARTNUMMER CONTACTLOZE BETALING: 5354 00XX XXXX 8030 KAARTHOUDER: BOMBAERT BRAM</t>
  </si>
  <si>
    <t>BETALING VIA DEBIT MASTERCARD        05-08 04-08-2025 OM 14.14 UUR TOM&amp;CO KORTRIJK BE8500 KORTRIJK MET APPLE PAY 5127 88XX XXXX 8113 VIRTUEEL KAARTNUMMER CONTACTLOZE BETALING: 5354 00XX XXXX 7841 KAARTHOUDER: BOMBAERT BRAM</t>
  </si>
  <si>
    <t>BETALING VIA DEBIT MASTERCARD        05-08 04-08-2025 OM 10.12 UUR LIDL 803 KORTRIJK 2 BE8500 KORTRIJK MET APPLE PAY 5127 88XX XXXX 8113 VIRTUEEL KAARTNUMMER CONTACTLOZE BETALING: 5354 00XX XXXX 8030 KAARTHOUDER: BOMBAERT BRAM</t>
  </si>
  <si>
    <t>BETALING VIA DEBIT MASTERCARD        05-08 04-08-2025 OM 10.25 UUR CARREFOUR MARKE BE8510 MARKE MET APPLE PAY 5127 88XX XXXX 8113 VIRTUEEL KAARTNUMMER CONTACTLOZE BETALING: 5354 00XX XXXX 8030 KAARTHOUDER: BOMBAERT BRAM</t>
  </si>
  <si>
    <t>BETALING VIA DEBIT MASTERCARD        05-08 04-08-2025 OM 14.04 UUR CCV*DIERENARTSENPRAKTI BE8500 KORTRIJK MET APPLE PAY 5127 88XX XXXX 8113 VIRTUEEL KAARTNUMMER CONTACTLOZE BETALING: 5354 00XX XXXX 8030 KAARTHOUDER: BOMBAERT BRAM</t>
  </si>
  <si>
    <t>BETALING VIA BANCONTACT              05-08 05-08-2025 OM 11.09 UUR BOL.COM NL3528 BJ UTRECHT MET KBC-DEBETKAART 5127 88XX XXXX 8113 KAARTHOUDER: BOMBAERT BRAM</t>
  </si>
  <si>
    <t>EUROPESE DOMICILIERING               05-08 SCHULDEISER     : CHARGEMAP SAS REF. SCHULDEISER: STR16NASNCISP0S7Y1SZQRANTPBHZAEDCH MANDAATREFERTE  : YGAYU1XCULZ4UQUA MEDEDELING      : CHARGEMAP</t>
  </si>
  <si>
    <t>INSTANTOVERSCHRIJVING NAAR           05-08 BE95 7360 7034 3858 BANKIER BEGUNSTIGDE: KREDBEBBXXX SOLUTIONS FOR YOU OM 07.18 UUR MET KBC MOBILE</t>
  </si>
  <si>
    <t>EUROPESE DOMICILIERING               06-08 SCHULDEISER     : SOLIDARIS WEST-VLAANDEREN REF. SCHULDEISER: 507549947583 MANDAATREFERTE  : SDD30984112213972202203030070 MEDEDELING      : 507549947583 - DENTAPLAN TOT 301120 25/5591566</t>
  </si>
  <si>
    <t>TERUGBETALING                        06-08 LENING OP AFBETALING VOLGENS AFLOSSINGSPLAN REFERENTIE 420-6466664-69</t>
  </si>
  <si>
    <t>BETALING VIA DEBIT MASTERCARD        06-08 05-08-2025 OM 15.49 UUR APOTHEEK ARIE FREDERIK BE8510 MARKE MET APPLE PAY 5127 88XX XXXX 8113 VIRTUEEL KAARTNUMMER CONTACTLOZE BETALING: 5354 00XX XXXX 8030 KAARTHOUDER: BOMBAERT BRAM</t>
  </si>
  <si>
    <t>BETALING VIA BANCONTACT              06-08 06-08-2025 OM 15.12 UUR BOL.COM NL3528 BJ UTRECHT MET KBC-DEBETKAART 5127 88XX XXXX 8113 KAARTHOUDER: BOMBAERT BRAM</t>
  </si>
  <si>
    <t>BETALING VIA MAESTRO                 07-08 06-08-2025 OM 07.43 UUR OVO CHARGE ANYWHERE GB BRISTOL MET APPLE PAY 6703 42XX XXXX X901 0 VIRTUEEL KAARTNUMMER CONTACTLOZE BETALING: 6790 28XX XXXX X658 7 KAARTHOUDER: ROTTY CHRISTOFF</t>
  </si>
  <si>
    <t>BETALING VIA MAESTRO                 07-08 06-08-2025 OM 16.12 UUR ACTION 2002 BE KUURNE MET APPLE PAY 6703 42XX XXXX X901 0 VIRTUEEL KAARTNUMMER CONTACTLOZE BETALING: 6790 28XX XXXX X005 7 KAARTHOUDER: ROTTY CHRISTOFF</t>
  </si>
  <si>
    <t>EUROPESE DOMICILIERING               07-08 SCHULDEISER     : ONESTO KREDIETMAATSCHAPPIJ REF. SCHULDEISER: CASHFLOW-60000247 MANDAATREFERTE  : BE96SDA077001313774 MEDEDELING      : DOSSIER 077001313774 - 01082025</t>
  </si>
  <si>
    <t>BETALING VIA MAESTRO                 08-08 07-08-2025 OM 06.01 UUR OVO CHARGE ANYWH GB BRISTOL MET KBC-DEBETKAART 6703 42XX XXXX X901 0 KAARTHOUDER: ROTTY CHRISTOFF</t>
  </si>
  <si>
    <t>EUROPESE DOMICILIERING               08-08 SCHULDEISER     : EUROMEX NV REF. SCHULDEISER: BALN-BE-EMX-P-D4JQXAQEUT4JCQ MANDAATREFERTE  : 30507E MEDEDELING      : SCOR                   BBA                   250882071104</t>
  </si>
  <si>
    <t>INSTANTOVERSCHRIJVING NAAR           07-08 BE19 4468 6772 0112 BANKIER BEGUNSTIGDE: KREDBEBBXXX MONIQUE VAN ESCH OM 20.31 UUR MET KBC MOBILE</t>
  </si>
  <si>
    <t>BETALING VIA DEBIT MASTERCARD        08-08 06-08-2025 OM 18.26 UUR CARREFOUR MARKE BE8510 MARKE MET APPLE PAY 5127 88XX XXXX 8113 VIRTUEEL KAARTNUMMER CONTACTLOZE BETALING: 5354 00XX XXXX 8030 KAARTHOUDER: BOMBAERT BRAM</t>
  </si>
  <si>
    <t>BETALING VIA DEBIT MASTERCARD        07-08 06-08-2025 OM 16.19 UUR MEDI-MARKET KORTRIJK BE8500 KORTRIJK MET APPLE PAY 5127 88XX XXXX 8113 VIRTUEEL KAARTNUMMER CONTACTLOZE BETALING: 5354 00XX XXXX 8030 KAARTHOUDER: BOMBAERT BRAM</t>
  </si>
  <si>
    <t>BETALING VIA DEBIT MASTERCARD        07-08 06-08-2025 OM 18.00 UUR LIDL 803 KORTRIJK 2 BE8500 KORTRIJK MET APPLE PAY 5127 88XX XXXX 8113 VIRTUEEL KAARTNUMMER CONTACTLOZE BETALING: 5354 00XX XXXX 8030 KAARTHOUDER: BOMBAERT BRAM</t>
  </si>
  <si>
    <t>BETALING VIA BANCONTACT              07-08 07-08-2025 OM 15.30 UUR PLANTENTUIN MEISE BE1860 MEISE MET KBC-DEBETKAART 6703 42XX XXXX X901 0 KAARTHOUDER: ROTTY CHRISTOFF INFO VAN DE HANDELAAR: 8110590 BY MULTISAFEPAY</t>
  </si>
  <si>
    <t>INSTANTOVERSCHRIJVING VAN            07-08 BE19 4468 6772 0112 BANKIER OPDRACHTGEVER: KREDBEBBXXX BOMBAERT-VAN ESCH J &amp; M OM 13.54 UUR</t>
  </si>
  <si>
    <t>BETALING VIA BANCONTACT              07-08 07-08-2025 OM 13.34 UUR AGENTSCHAP PLANTENTUIN BE1860 MEISE MET KBC-DEBETKAART 5127 88XX XXXX 8113 KAARTHOUDER: BOMBAERT BRAM</t>
  </si>
  <si>
    <t>BETALING VIA BANCONTACT              07-08 07-08-2025 OM 11.15 UUR BOL.COM NL3528 BJ UTRECHT MET KBC-DEBETKAART 5127 88XX XXXX 8113 KAARTHOUDER: BOMBAERT BRAM</t>
  </si>
  <si>
    <t>BETALING VIA MAESTRO                 08-08 07-08-2025 OM 14.35 UUR CCV*AGENTSCHAP PLANTEN BE MEISE MET APPLE PAY 6703 42XX XXXX X901 0 VIRTUEEL KAARTNUMMER CONTACTLOZE BETALING: 6790 28XX XXXX X658 7 KAARTHOUDER: ROTTY CHRISTOFF</t>
  </si>
  <si>
    <t>BIJDRAGE 01-07-2025 - 31-07-2025     31-07 KBC-PLUSREKENING</t>
  </si>
  <si>
    <t>BETALING VIA DEBIT MASTERCARD        13-08 11-08-2025 OM 12.17 UUR LIDL 803 KORTRIJK 2 BE8500 KORTRIJK MET APPLE PAY 5127 88XX XXXX 8113 VIRTUEEL KAARTNUMMER CONTACTLOZE BETALING: 5354 00XX XXXX 7841 KAARTHOUDER: BOMBAERT BRAM</t>
  </si>
  <si>
    <t>OVERSCHRIJVING VAN                   12-08 NL92 ADYB 2017 4009 98 BANKIER OPDRACHTGEVER: ADYBNL2AXXX ZALANDO PAYMENTS GMBH TX122615090XT REFUND FOR ZALANDO PAYMENTS GMBH REF:DE 18B3C7-DAAD-3265-9E65-A3EE1A7BAE53 REFERENTIE: TX122615090XT</t>
  </si>
  <si>
    <t>OVERSCHRIJVING VAN                   12-08 NL92 ADYB 2017 4009 98 BANKIER OPDRACHTGEVER: ADYBNL2AXXX ZALANDO PAYMENTS GMBH TX122590490XT REFUND FOR ZALANDO PAYMENTS GMBH REF:DE 18B3C7-DAAD-3265-9E65-A3EE1A7BAE53 REFERENTIE: TX122590490XT</t>
  </si>
  <si>
    <t>BETALING VIA MAESTRO                 12-08 11-08-2025 OM 13.51 UUR VALINSOPAY NL NL WIJK EN AALBU MET APPLE PAY 6703 42XX XXXX X901 0 VIRTUEEL KAARTNUMMER CONTACTLOZE BETALING: 6790 28XX XXXX X658 7 KAARTHOUDER: ROTTY CHRISTOFF</t>
  </si>
  <si>
    <t>BETALING VIA MAESTRO                 12-08 11-08-2025 OM 16.19 UUR VALINSOPAY NL NL WIJK EN AALBU MET APPLE PAY 6703 42XX XXXX X901 0 VIRTUEEL KAARTNUMMER CONTACTLOZE BETALING: 6790 28XX XXXX X658 7 KAARTHOUDER: ROTTY CHRISTOFF</t>
  </si>
  <si>
    <t>BETALING VIA MAESTRO                 12-08 11-08-2025 OM 12.32 UUR VALINSOPAY NL NL WIJK EN AALBU MET APPLE PAY 6703 42XX XXXX X901 0 VIRTUEEL KAARTNUMMER CONTACTLOZE BETALING: 6790 28XX XXXX X658 7 KAARTHOUDER: ROTTY CHRISTOFF</t>
  </si>
  <si>
    <t>BETALING VIA MAESTRO                 12-08 11-08-2025 OM 11.21 UUR OVO CHARGE ANYWHERE GB BRISTOL MET APPLE PAY 6703 42XX XXXX X901 0 VIRTUEEL KAARTNUMMER CONTACTLOZE BETALING: 6790 28XX XXXX X658 7 KAARTHOUDER: ROTTY CHRISTOFF</t>
  </si>
  <si>
    <t>BETALING VIA MAESTRO                 12-08 11-08-2025 OM 04.20 UUR OVO CHARGE ANYWHERE GB BRISTOL MET APPLE PAY 6703 42XX XXXX X901 0 VIRTUEEL KAARTNUMMER CONTACTLOZE BETALING: 6790 28XX XXXX X658 7 KAARTHOUDER: ROTTY CHRISTOFF</t>
  </si>
  <si>
    <t>BETALING VIA BANCONTACT              11-08 11-08-2025 OM 14.31 UUR DESCAPLANT BE8500 KORTRIJK MET KBC-DEBETKAART 5127 88XX XXXX 8113 KAARTHOUDER: BOMBAERT BRAM</t>
  </si>
  <si>
    <t>BETALING VIA DEBIT MASTERCARD        11-08 10-08-2025 OM 14.03 UUR GEMEENTE WEVELGEM BE8560 WEVELGEM MET APPLE PAY 5127 88XX XXXX 8113 VIRTUEEL KAARTNUMMER CONTACTLOZE BETALING: 5354 00XX XXXX 8030 KAARTHOUDER: BOMBAERT BRAM</t>
  </si>
  <si>
    <t>BETALING VIA MAESTRO                 11-08 09-08-2025 OM 04.50 UUR OVO CHARGE ANYWHERE GB BRISTOL MET APPLE PAY 6703 42XX XXXX X901 0 VIRTUEEL KAARTNUMMER CONTACTLOZE BETALING: 6790 28XX XXXX X658 7 KAARTHOUDER: ROTTY CHRISTOFF</t>
  </si>
  <si>
    <t>EUROPESE DOMICILIERING               11-08 SCHULDEISER     : DATS 24  NV REF. SCHULDEISER: 030604907577 REF: 2476545 MANDAATREFERTE  : DAKL-000000538161-5-1 MEDEDELING      : 2476545 DATS24 00737137</t>
  </si>
  <si>
    <t>BETALING VIA BANCONTACT              11-08 10-08-2025 OM 16.16 UUR HOEVE DE KERPEL BE8501 BISSEGEM MET KBC-DEBETKAART 6703 42XX XXXX X901 0 KAARTHOUDER: ROTTY CHRISTOFF</t>
  </si>
  <si>
    <t>BETALING VIA DEBIT MASTERCARD        11-08 09-08-2025 OM 15.27 UUR S019 ZEB WAREGEM BE8793 SINT-ELOOIS-V MET APPLE PAY 5127 88XX XXXX 8113 VIRTUEEL KAARTNUMMER CONTACTLOZE BETALING: 5354 00XX XXXX 8030 KAARTHOUDER: BOMBAERT BRAM</t>
  </si>
  <si>
    <t>BETALING VIA DEBIT MASTERCARD        11-08 09-08-2025 OM 13.52 UUR SPAR KORTRIJK BE8500 KORTRIJK MET APPLE PAY 5127 88XX XXXX 8113 VIRTUEEL KAARTNUMMER CONTACTLOZE BETALING: 5354 00XX XXXX 8030 KAARTHOUDER: BOMBAERT BRAM</t>
  </si>
  <si>
    <t>BETALING VIA DEBIT MASTERCARD        11-08 09-08-2025 OM 12.09 UUR LIDL 803 KORTRIJK 2 BE8500 KORTRIJK MET APPLE PAY 5127 88XX XXXX 8113 VIRTUEEL KAARTNUMMER CONTACTLOZE BETALING: 5354 00XX XXXX 8030 KAARTHOUDER: BOMBAERT BRAM</t>
  </si>
  <si>
    <t>BETALING VIA DEBIT MASTERCARD        11-08 09-08-2025 OM 16.03 UUR HEMA EV2168 WETTEREN BEB-9230 WETTEREN MET APPLE PAY 5127 88XX XXXX 8113 VIRTUEEL KAARTNUMMER CONTACTLOZE BETALING: 5354 00XX XXXX 8030 KAARTHOUDER: BOMBAERT BRAM</t>
  </si>
  <si>
    <t>BETALING VIA BANCONTACT              11-08 10-08-2025 OM 15.52 UUR HOEVE DE KERPEL BE8501 BISSEGEM MET KBC-DEBETKAART 6703 42XX XXXX X901 0 KAARTHOUDER: ROTTY CHRISTOFF</t>
  </si>
  <si>
    <t>BETALING VIA BANCONTACT              11-08 10-08-2025 OM 10.34 UUR EYESWIM NL4931 DH GEERTRUIDENBE MET KBC-DEBETKAART 5127 88XX XXXX 8113 KAARTHOUDER: BOMBAERT BRAM INFO VAN DE HANDELAAR: 73OPV0A ORDER 12321</t>
  </si>
  <si>
    <t>BETALING VIA BANCONTACT              11-08 10-08-2025 OM 11.31 UUR DECATHLON BELGIUM BE1140 EVERE MET KBC-DEBETKAART 5127 88XX XXXX 8113 KAARTHOUDER: BOMBAERT BRAM</t>
  </si>
  <si>
    <t>BETALING VIA DEBIT MASTERCARD        11-08 08-08-2025 OM 19.39 UUR LIDL 861 WEVELGEM BE8560 WEVELGEM MET APPLE PAY 5127 88XX XXXX 8113 VIRTUEEL KAARTNUMMER CONTACTLOZE BETALING: 5354 00XX XXXX 8030 KAARTHOUDER: BOMBAERT BRAM</t>
  </si>
  <si>
    <t>BETALING VIA DEBIT MASTERCARD        11-08 08-08-2025 OM 18.05 UUR GEMEENTE WEVELGEM BE8560 WEVELGEM MET APPLE PAY 5127 88XX XXXX 8113 VIRTUEEL KAARTNUMMER CONTACTLOZE BETALING: 5354 00XX XXXX 8030 KAARTHOUDER: BOMBAERT BRAM</t>
  </si>
  <si>
    <t>OVERSCHRIJVING NAAR                  08-08 BE79 3632 2576 6833 BANKIER BEGUNSTIGDE: CARAMELLO PAYCONIQ 56BB47716FC8B352920F107B CARAMELLO MET PAYCONIQ IN KBC MOBILE</t>
  </si>
  <si>
    <t>Zwemmen</t>
  </si>
  <si>
    <t>BETALING VIA DEBIT MASTERCARD        18-08 14-08-2025 OM 11.39 UUR TINY'S HOBBY BE8500 KORTRIJK MET APPLE PAY 5127 88XX XXXX 8113 VIRTUEEL KAARTNUMMER CONTACTLOZE BETALING: 5354 00XX XXXX 8030 KAARTHOUDER: BOMBAERT BRAM</t>
  </si>
  <si>
    <t>BETALING VIA DEBIT MASTERCARD        18-08 14-08-2025 OM 12.03 UUR BRICO PLAN-IT 4210 BE8500 KORTRIJK MET APPLE PAY 5127 88XX XXXX 8113 VIRTUEEL KAARTNUMMER CONTACTLOZE BETALING: 5354 00XX XXXX 8030 KAARTHOUDER: BOMBAERT BRAM</t>
  </si>
  <si>
    <t>BETALING VIA DEBIT MASTERCARD        18-08 14-08-2025 OM 12.14 UUR LIDL 803 KORTRIJK 2 BE8500 KORTRIJK MET APPLE PAY 5127 88XX XXXX 8113 VIRTUEEL KAARTNUMMER CONTACTLOZE BETALING: 5354 00XX XXXX 8030 KAARTHOUDER: BOMBAERT BRAM</t>
  </si>
  <si>
    <t>OVERSCHRIJVING VAN                   15-08 NL92 ADYB 2017 4009 98 BANKIER OPDRACHTGEVER: ADYBNL2AXXX ZALANDO PAYMENTS GMBH TX123975190XT REFUND FOR ZALANDO PAYMENTS GMBH REF:DE 18B3C7-DAAD-3265-9E65-A3EE1A7BAE53 REFERENTIE: TX123975190XT</t>
  </si>
  <si>
    <t>BETALING VIA MAESTRO                 14-08 13-08-2025 OM 14.52 UUR VALINSOPAY NL NL WIJK EN AALBU MET APPLE PAY 6703 42XX XXXX X901 0 VIRTUEEL KAARTNUMMER CONTACTLOZE BETALING: 6790 28XX XXXX X658 7 KAARTHOUDER: ROTTY CHRISTOFF</t>
  </si>
  <si>
    <t>BETALING VIA BANCONTACT              14-08 13-08-2025 OM 20.09 UUR FRANK P2P MOBILE MET KBC-DEBETKAART 5127 88XX XXXX 8113 KAARTHOUDER: BOMBAERT BRAM</t>
  </si>
  <si>
    <t>BETALING VIA MAESTRO                 13-08 12-08-2025 OM 10.52 UUR VALINSOPAY NL NL WIJK EN AALBU MET APPLE PAY 6703 42XX XXXX X901 0 VIRTUEEL KAARTNUMMER CONTACTLOZE BETALING: 6790 28XX XXXX X658 7 KAARTHOUDER: ROTTY CHRISTOFF</t>
  </si>
  <si>
    <t>OVERSCHRIJVING NAAR                  13-08 BE86 9733 9742 0350 BANKIER BEGUNSTIGDE: DOMINIQUE DE CLERCQ PAYCONIQ 2C3E301B11C6D50EF19342AD DOMINIQUE DE CLERCQ  CHRISTOFF ROTTY MET PAYCONIQ IN KBC MOBILE</t>
  </si>
  <si>
    <t>BETALING VIA MAESTRO                 13-08 11-08-2025 OM 15.45 UUR COLRUYT LEDEBERG BE GENT MET APPLE PAY 6703 42XX XXXX X901 0 VIRTUEEL KAARTNUMMER CONTACTLOZE BETALING: 6790 28XX XXXX X658 7 KAARTHOUDER: ROTTY CHRISTOFF</t>
  </si>
  <si>
    <t>inkomsten</t>
  </si>
  <si>
    <t>BETALING VIA MAESTRO                 25-08 24-08-2025 OM 13.01 UUR CARREFOUR MARKE BE MARKE MET APPLE PAY 6703 42XX XXXX X901 0 VIRTUEEL KAARTNUMMER CONTACTLOZE BETALING: 6790 28XX XXXX X658 7 KAARTHOUDER: ROTTY CHRISTOFF</t>
  </si>
  <si>
    <t>BETALING VIA DEBIT MASTERCARD        25-08 23-08-2025 OM 13.57 UUR JULES 1130 BE8500 KORTRIJK MET APPLE PAY 5127 88XX XXXX 8113 VIRTUEEL KAARTNUMMER CONTACTLOZE BETALING: 5354 00XX XXXX 8030 KAARTHOUDER: BOMBAERT BRAM</t>
  </si>
  <si>
    <t>BETALING VIA MAESTRO                 25-08 24-08-2025 OM 05.50 UUR OVO CHARGE ANYWHERE GB BRISTOL MET APPLE PAY 6703 42XX XXXX X901 0 VIRTUEEL KAARTNUMMER CONTACTLOZE BETALING: 6790 28XX XXXX X658 7 KAARTHOUDER: ROTTY CHRISTOFF</t>
  </si>
  <si>
    <t>BETALING VIA MAESTRO                 25-08 23-08-2025 OM 08.47 UUR OVO CHARGE ANYWH GB BRISTOL MET KBC-DEBETKAART 6703 42XX XXXX X901 0 KAARTHOUDER: ROTTY CHRISTOFF</t>
  </si>
  <si>
    <t>BETALING VIA MAESTRO                 25-08 23-08-2025 OM 03.55 UUR OVO CHARGE ANYWH GB BRISTOL MET KBC-DEBETKAART 6703 42XX XXXX X901 0 KAARTHOUDER: ROTTY CHRISTOFF</t>
  </si>
  <si>
    <t>BETALING VIA MAESTRO                 25-08 21-08-2025 OM 09.59 UUR VALINSOPAY NL NL WIJK EN AALBU MET APPLE PAY 6703 42XX XXXX X901 0 VIRTUEEL KAARTNUMMER CONTACTLOZE BETALING: 6790 28XX XXXX X005 7 KAARTHOUDER: ROTTY CHRISTOFF</t>
  </si>
  <si>
    <t>BETALING VIA DEBIT MASTERCARD        25-08 23-08-2025 OM 14.03 UUR MEDI-MARKET KORTRIJK BE8500 KORTRIJK MET APPLE PAY 5127 88XX XXXX 8113 VIRTUEEL KAARTNUMMER CONTACTLOZE BETALING: 5354 00XX XXXX 8030 KAARTHOUDER: BOMBAERT BRAM</t>
  </si>
  <si>
    <t>BETALING VIA DEBIT MASTERCARD        25-08 23-08-2025 OM 14.26 UUR LIDL 803 KORTRIJK 2 BE8500 KORTRIJK MET APPLE PAY 5127 88XX XXXX 8113 VIRTUEEL KAARTNUMMER CONTACTLOZE BETALING: 5354 00XX XXXX 8030 KAARTHOUDER: BOMBAERT BRAM</t>
  </si>
  <si>
    <t>INSTANTOVERSCHRIJVING NAAR           23-08 BE87 7380 4370 5794 BANKIER BEGUNSTIGDE: KREDBEBBXXX MONICA DHONDT WERO ROTTY CHRISTOFF OM 21.42 MET WERO</t>
  </si>
  <si>
    <t>BETALING VIA DEBIT MASTERCARD        25-08 22-08-2025 OM 17.02 UUR LIDL 803 KORTRIJK 2 BE8500 KORTRIJK MET APPLE PAY 5127 88XX XXXX 8113 VIRTUEEL KAARTNUMMER CONTACTLOZE BETALING: 5354 00XX XXXX 8030 KAARTHOUDER: BOMBAERT BRAM</t>
  </si>
  <si>
    <t>BETALING VIA DEBIT MASTERCARD        25-08 22-08-2025 OM 16.35 UUR CARREFOUR MARKE BE8510 MARKE MET APPLE PAY 5127 88XX XXXX 8113 VIRTUEEL KAARTNUMMER CONTACTLOZE BETALING: 5354 00XX XXXX 7841 KAARTHOUDER: BOMBAERT BRAM</t>
  </si>
  <si>
    <t>INSTANTOVERSCHRIJVING NAAR           22-08 BE57 7360 6908 0535 BANKIER BEGUNSTIGDE: KREDBEBBXXX VVWL VVWL 2025 - BOMBAERT BRAM OM 16.15 UUR MET KBC MOBILE</t>
  </si>
  <si>
    <t>EUROPESE DOMICILIERING               22-08 SCHULDEISER     : AXA REF. SCHULDEISER: 20250815010751833100021283 MANDAATREFERTE  : 010817143526001 MEDEDELING      : 0108171435261042025-08-222025080000 0010817143526</t>
  </si>
  <si>
    <t>BETALING VIA DEBIT MASTERCARD        21-08 20-08-2025 OM 12.40 UUR CARREFOUR MARKE BE8510 MARKE MET APPLE PAY 5127 88XX XXXX 8113 VIRTUEEL KAARTNUMMER CONTACTLOZE BETALING: 5354 00XX XXXX 7841 KAARTHOUDER: BOMBAERT BRAM</t>
  </si>
  <si>
    <t>BETALING VIA MAESTRO                 21-08 20-08-2025 OM 16.38 UUR COLRUYT LEDEBERG BE GENT MET APPLE PAY 6703 42XX XXXX X901 0 VIRTUEEL KAARTNUMMER CONTACTLOZE BETALING: 6790 28XX XXXX X658 7 KAARTHOUDER: ROTTY CHRISTOFF</t>
  </si>
  <si>
    <t>BETALING VIA MAESTRO                 21-08 20-08-2025 OM 14.12 UUR VALINSOPAY NL NL WIJK EN AALBU MET APPLE PAY 6703 42XX XXXX X901 0 VIRTUEEL KAARTNUMMER CONTACTLOZE BETALING: 6790 28XX XXXX X005 7 KAARTHOUDER: ROTTY CHRISTOFF</t>
  </si>
  <si>
    <t>BETALING VIA BANCONTACT              21-08 21-08-2025 OM 12.16 UUR LUCIE P2P MOBILE MET KBC-DEBETKAART 6703 42XX XXXX X901 0 KAARTHOUDER: ROTTY CHRISTOFF</t>
  </si>
  <si>
    <t>INSTANTOVERSCHRIJVING NAAR           21-08 BE98 8906 3431 8393 BANKIER BEGUNSTIGDE: VDSPBE91XXX DE KORF POSTPAKKET 25/8 OM 09.21 UUR MET KBC MOBILE</t>
  </si>
  <si>
    <t>BETALING VIA BANCONTACT              21-08 20-08-2025 OM 21.35 UUR ORANGE BRUXELLES BE1140 BRUSSEL MET KBC-DEBETKAART 6703 42XX XXXX X901 0 KAARTHOUDER: ROTTY CHRISTOFF</t>
  </si>
  <si>
    <t>BETALING VIA DEBIT MASTERCARD        20-08 19-08-2025 OM 15.07 UUR SPAR KORTRIJK BE8500 KORTRIJK MET APPLE PAY 5127 88XX XXXX 8113 VIRTUEEL KAARTNUMMER CONTACTLOZE BETALING: 5354 00XX XXXX 7841 KAARTHOUDER: BOMBAERT BRAM</t>
  </si>
  <si>
    <t>BETALING VIA DEBIT MASTERCARD        20-08 19-08-2025 OM 15.24 UUR LIDL 803 KORTRIJK 2 BE8500 KORTRIJK MET APPLE PAY 5127 88XX XXXX 8113 VIRTUEEL KAARTNUMMER CONTACTLOZE BETALING: 5354 00XX XXXX 7841 KAARTHOUDER: BOMBAERT BRAM</t>
  </si>
  <si>
    <t>BETALING VIA MAESTRO                 20-08 19-08-2025 OM 14.32 UUR VALINSOPAY NL NL WIJK EN AALBU MET APPLE PAY 6703 42XX XXXX X901 0 VIRTUEEL KAARTNUMMER CONTACTLOZE BETALING: 6790 28XX XXXX X658 7 KAARTHOUDER: ROTTY CHRISTOFF</t>
  </si>
  <si>
    <t>OVERSCHRIJVING VAN                   19-08 BE42 8782 7051 0154 BANKIER OPDRACHTGEVER: BNAGBEBBXXX SOLIDARIS WVL 2025140331313 1619945 SPORT REFERENTIE: 411</t>
  </si>
  <si>
    <t>OVERSCHRIJVING VAN                   19-08 BE42 8782 7051 0154 BANKIER OPDRACHTGEVER: BNAGBEBBXXX SOLIDARIS WVL 2025140331309 5591566 SPORT REFERENTIE: 415</t>
  </si>
  <si>
    <t>BETALING VIA MAESTRO                 19-08 18-08-2025 OM 13.39 UUR VALINSOPAY NL NL WIJK EN AALBU MET APPLE PAY 6703 42XX XXXX X901 0 VIRTUEEL KAARTNUMMER CONTACTLOZE BETALING: 6790 28XX XXXX X658 7 KAARTHOUDER: ROTTY CHRISTOFF</t>
  </si>
  <si>
    <t>BETALING VIA DEBIT MASTERCARD        19-08 18-08-2025 OM 07.51 UUR COOLBLUE N.V. BE2600 BERCHEM MET APPLE PAY 5127 88XX XXXX 8113 VIRTUEEL KAARTNUMMER CONTACTLOZE BETALING: 5354 00XX XXXX 7841 KAARTHOUDER: BOMBAERT BRAM</t>
  </si>
  <si>
    <t>INSTANTOVERSCHRIJVING NAAR           18-08 BE87 7390 1755 6694 BANKIER BEGUNSTIGDE: KREDBEBBXXX SIEN TORFS WERO BOMBAERT BRAM OM 17.54 MET WERO</t>
  </si>
  <si>
    <t>BETALING VIA DEBIT MASTERCARD        18-08 17-08-2025 OM 11.51 UUR CARREFOUR MARKE BE8510 MARKE MET APPLE PAY 5127 88XX XXXX 8113 VIRTUEEL KAARTNUMMER CONTACTLOZE BETALING: 5354 00XX XXXX 8030 KAARTHOUDER: BOMBAERT BRAM</t>
  </si>
  <si>
    <t>BETALING VIA DEBIT MASTERCARD        18-08 16-08-2025 OM 18.26 UUR CARREFOUR MARKE BE8510 MARKE MET APPLE PAY 5127 88XX XXXX 8113 VIRTUEEL KAARTNUMMER CONTACTLOZE BETALING: 5354 00XX XXXX 8030 KAARTHOUDER: BOMBAERT BRAM</t>
  </si>
  <si>
    <t>BETALING VIA DEBIT MASTERCARD        18-08 14-08-2025 OM 14.51 UUR CARREFOUR MARKE BE8510 MARKE MET APPLE PAY 5127 88XX XXXX 8113 VIRTUEEL KAARTNUMMER CONTACTLOZE BETALING: 5354 00XX XXXX 8030 KAARTHOUDER: BOMBAERT BRAM</t>
  </si>
  <si>
    <t>BETALING VIA MAESTRO                 18-08 16-08-2025 OM 12.44 UUR SPORTBAR WEVELGEM BE WEVELGEM MET APPLE PAY 6703 42XX XXXX X901 0 VIRTUEEL KAARTNUMMER CONTACTLOZE BETALING: 6790 28XX XXXX X658 7 KAARTHOUDER: ROTTY CHRISTOFF</t>
  </si>
  <si>
    <t>BETALING VIA MAESTRO                 18-08 16-08-2025 OM 10.56 UUR SPORT LAUWERS BE LAUWE MET APPLE PAY 6703 42XX XXXX X901 0 VIRTUEEL KAARTNUMMER CONTACTLOZE BETALING: 6790 28XX XXXX X658 7 KAARTHOUDER: ROTTY CHRISTOFF</t>
  </si>
  <si>
    <t>BETALING VIA MAESTRO                 18-08 16-08-2025 OM 05.48 UUR OVO CHARGE ANYWH GB BRISTOL MET KBC-DEBETKAART 6703 42XX XXXX X901 0 KAARTHOUDER: ROTTY CHRISTOFF</t>
  </si>
  <si>
    <t>BETALING VIA MAESTRO                 18-08 14-08-2025 OM 14.38 UUR VALINSOPAY NL NL WIJK EN AALBU MET APPLE PAY 6703 42XX XXXX X901 0 VIRTUEEL KAARTNUMMER CONTACTLOZE BETALING: 6790 28XX XXXX X658 7 KAARTHOUDER: ROTTY CHRISTOFF</t>
  </si>
  <si>
    <t>EUROPESE DOMICILIERING               18-08 SCHULDEISER     : DIGI COMMUNICATIONS BELGIUM NV REF. SCHULDEISER: 000009716467-749802 MANDAATREFERTE  : 1D574ED99E164823 MEDEDELING      : DIGI FACTUUR - AUGUSTUS 2025</t>
  </si>
  <si>
    <t>EUROPESE DOMICILIERING               18-08 SCHULDEISER     : BALOISE BELGIUM NV REF. SCHULDEISER: 0000000000000024401547140 MANDAATREFERTE  : 202025682289 MEDEDELING      : POL.1A02635 VERV.10/08/25 9837</t>
  </si>
  <si>
    <t>EUROPESE DOMICILIERING               18-08 SCHULDEISER     : CARDIF -ASSURANCE VIE REF. SCHULDEISER: RF61250545525888238918404 MANDAATREFERTE  : CARDIF-8742994/01 MEDEDELING      : SCOR                   ISO                   RF61250545525888238918404</t>
  </si>
  <si>
    <t>EUROPESE DOMICILIERING               18-08 SCHULDEISER     : BALOISE BELGIUM NV REF. SCHULDEISER: 0000000000000024404809168 MANDAATREFERTE  : 202025687747 MEDEDELING      : POL.1B57806 VERV.10/08/25 9837</t>
  </si>
  <si>
    <t>BETALING VIA BANCONTACT              18-08 17-08-2025 OM 17.58 UUR MIJN.HOST NL1066JR AMSTERDAM MET KBC-DEBETKAART 6703 42XX XXXX X901 0 KAARTHOUDER: ROTTY CHRISTOFF INFO VAN DE HANDELAAR: 73SJ9CV MIJN.HOST FACTUURNR. 2</t>
  </si>
  <si>
    <t>BETALING VIA BANCONTACT              18-08 17-08-2025 OM 16.39 UUR LAGO_KORTRIJK_WEIDE BE8500 KORTRIJK MET KBC-DEBETKAART 5127 88XX XXXX 8113 KAARTHOUDER: BOMBAERT BRAM</t>
  </si>
  <si>
    <t>BETALING VIA DEBIT MASTERCARD        18-08 16-08-2025 OM 13.08 UUR LIDL 861 WEVELGEM BE8560 WEVELGEM MET APPLE PAY 5127 88XX XXXX 8113 VIRTUEEL KAARTNUMMER CONTACTLOZE BETALING: 5354 00XX XXXX 8030 KAARTHOUDER: BOMBAERT BRAM</t>
  </si>
  <si>
    <t>BETALING VIA DEBIT MASTERCARD        18-08 15-08-2025 OM 12.20 UUR CARREFOUR MARKE BE8510 MARKE MET APPLE PAY 5127 88XX XXXX 8113 VIRTUEEL KAARTNUMMER CONTACTLOZE BETALING: 5354 00XX XXXX 8030 KAARTHOUDER: BOMBAERT BRAM</t>
  </si>
  <si>
    <t>BETALING VIA BANCONTACT              28-08 28-08-2025 OM 16.13 UUR DISTRICHOC BELGIUM SPR BE1000 BRUXELLES MET KBC-DEBETKAART 6703 42XX XXXX X901 0 KAARTHOUDER: ROTTY CHRISTOFF</t>
  </si>
  <si>
    <t>BETALING VIA MAESTRO                 28-08 27-08-2025 OM 10.58 UUR Q8 108131 GENTBRUGGE V BE GENTBRUGGE MET APPLE PAY 6703 42XX XXXX X901 0 VIRTUEEL KAARTNUMMER CONTACTLOZE BETALING: 6790 28XX XXXX X658 7 KAARTHOUDER: ROTTY CHRISTOFF</t>
  </si>
  <si>
    <t>BETALING VIA BANCONTACT              28-08 28-08-2025 OM 12.13 UUR SNCBPPSEWEBPROD BE1060 BRUSSEL MET KBC-DEBETKAART 6703 42XX XXXX X901 0 KAARTHOUDER: ROTTY CHRISTOFF</t>
  </si>
  <si>
    <t>BETALING VIA DEBIT MASTERCARD        28-08 27-08-2025 OM 13.12 UUR ACTION 2009 BE8560 WEVELGEM MET APPLE PAY 5127 88XX XXXX 8113 VIRTUEEL KAARTNUMMER CONTACTLOZE BETALING: 5354 00XX XXXX 7841 KAARTHOUDER: BOMBAERT BRAM</t>
  </si>
  <si>
    <t>BETALING VIA BANCONTACT              28-08 28-08-2025 OM 10.36 UUR LIEN P2P MOBILE MET KBC-DEBETKAART 5127 88XX XXXX 8113 KAARTHOUDER: BOMBAERT BRAM</t>
  </si>
  <si>
    <t>BETALING VIA MAESTRO                 28-08 27-08-2025 OM 18.27 UUR SUMUP  *DR  MERIJN DEG BE KORTRIJK MET APPLE PAY 6703 42XX XXXX X901 0 VIRTUEEL KAARTNUMMER CONTACTLOZE BETALING: 6790 28XX XXXX X658 7 KAARTHOUDER: ROTTY CHRISTOFF</t>
  </si>
  <si>
    <t>INSTANTOVERSCHRIJVING VAN            27-08 BE94 6528 3245 6914 BANKIER OPDRACHTGEVER: BBRUBEBBXXX DE H EDDY GERRES REFERENTIE: 78C1E3C536C84241BCF3C90207F78375 OM 20.10 UUR</t>
  </si>
  <si>
    <t>BETALING VIA DEBIT MASTERCARD        27-08 26-08-2025 OM 18.15 UUR LIDL 803 KORTRIJK 2 BE8500 KORTRIJK MET APPLE PAY 5127 88XX XXXX 8113 VIRTUEEL KAARTNUMMER CONTACTLOZE BETALING: 5354 00XX XXXX 8030 KAARTHOUDER: BOMBAERT BRAM</t>
  </si>
  <si>
    <t>BETALING VIA DEBIT MASTERCARD        27-08 26-08-2025 OM 17.04 UUR CARREFOUR MARKE BE8510 MARKE MET APPLE PAY 5127 88XX XXXX 8113 VIRTUEEL KAARTNUMMER CONTACTLOZE BETALING: 5354 00XX XXXX 7841 KAARTHOUDER: BOMBAERT BRAM</t>
  </si>
  <si>
    <t>BETALING VIA DEBIT MASTERCARD        27-08 26-08-2025 OM 18.07 UUR MICROSOFT*STORE IE2 MSBILL.INFO MET KBC-DEBETKAART 5127 88XX XXXX 8113 KAARTHOUDER: BOMBAERT BRAM</t>
  </si>
  <si>
    <t>BETALING VIA DEBIT MASTERCARD        27-08 25-08-2025 OM 16.42 UUR CARREFOUR MARKE BE8510 MARKE MET APPLE PAY 5127 88XX XXXX 8113 VIRTUEEL KAARTNUMMER CONTACTLOZE BETALING: 5354 00XX XXXX 7841 KAARTHOUDER: BOMBAERT BRAM</t>
  </si>
  <si>
    <t>BETALING VIA DEBIT MASTERCARD        26-08 25-08-2025 OM 18.08 UUR CCV*DIERENARTSENPRAKTI BE8500 KORTRIJK MET APPLE PAY 5127 88XX XXXX 8113 VIRTUEEL KAARTNUMMER CONTACTLOZE BETALING: 5354 00XX XXXX 7841 KAARTHOUDER: BOMBAERT BRAM</t>
  </si>
  <si>
    <t>BETALING VIA BANCONTACT              26-08 26-08-2025 OM 08.39 UUR APOTHEEK VANNESTE TOM BE8510 KORTRIJK MET KBC-DEBETKAART 5127 88XX XXXX 8113 KAARTHOUDER: BOMBAERT BRAM</t>
  </si>
  <si>
    <t>EUROPESE DOMICILIERING               26-08 SCHULDEISER     : AXA REF. SCHULDEISER: 20250820010855219321009901 MANDAATREFERTE  : 010624258692001 MEDEDELING      : 0106242586921042025-08-262025080000 0010624258692</t>
  </si>
  <si>
    <t>BETALING LEASING                     30-08 0001/0001/BE/2502610513</t>
  </si>
  <si>
    <t>BETALING VIA DEBIT MASTERCARD        01-09 30-08-2025 OM 16.01 UUR JACK &amp; JONES KORTRIJK BE8500 KORTRIJK MET APPLE PAY 5127 88XX XXXX 8113 VIRTUEEL KAARTNUMMER CONTACTLOZE BETALING: 5354 00XX XXXX 8030 KAARTHOUDER: BOMBAERT BRAM</t>
  </si>
  <si>
    <t>BETALING VIA DEBIT MASTERCARD        01-09 30-08-2025 OM 11.52 UUR LIDL 803 KORTRIJK 2 BE8500 KORTRIJK MET APPLE PAY 5127 88XX XXXX 8113 VIRTUEEL KAARTNUMMER CONTACTLOZE BETALING: 5354 00XX XXXX 8030 KAARTHOUDER: BOMBAERT BRAM</t>
  </si>
  <si>
    <t>BETALING VIA DEBIT MASTERCARD        01-09 30-08-2025 OM 11.13 UUR AU POISSON D'OR BE07700 MOUSCRON MET KBC-DEBETKAART 5127 88XX XXXX 8113 KAARTHOUDER: BOMBAERT BRAM</t>
  </si>
  <si>
    <t>BETALING VIA DEBIT MASTERCARD        01-09 30-08-2025 OM 11.19 UUR AU POISSON D'OR BE07700 MOUSCRON MET KBC-DEBETKAART 5127 88XX XXXX 8113 KAARTHOUDER: BOMBAERT BRAM</t>
  </si>
  <si>
    <t>INSTANTOVERSCHRIJVING NAAR           30-08 BE19 4468 6772 0112 BANKIER BEGUNSTIGDE: KREDBEBBXXX MONIQUE VAN ESCH OM 20.42 UUR MET KBC MOBILE</t>
  </si>
  <si>
    <t>BETALING VIA DEBIT MASTERCARD        01-09 29-08-2025 OM 16.57 UUR LIDL 803 KORTRIJK 2 BE8500 KORTRIJK MET APPLE PAY 5127 88XX XXXX 8113 VIRTUEEL KAARTNUMMER CONTACTLOZE BETALING: 5354 00XX XXXX 8030 KAARTHOUDER: BOMBAERT BRAM</t>
  </si>
  <si>
    <t>BETALING VIA DEBIT MASTERCARD        01-09 29-08-2025 OM 13.21 UUR LIDL 803 KORTRIJK 2 BE8500 KORTRIJK MET APPLE PAY 5127 88XX XXXX 8113 VIRTUEEL KAARTNUMMER CONTACTLOZE BETALING: 5354 00XX XXXX 8030 KAARTHOUDER: BOMBAERT BRAM</t>
  </si>
  <si>
    <t>BETALING VIA BANCONTACT              01-09 30-08-2025 OM 08.42 UUR VERLINDE LAUREN BE8510 MARKE MET KBC-DEBETKAART 5127 88XX XXXX 8113 KAARTHOUDER: BOMBAERT BRAM</t>
  </si>
  <si>
    <t>BIJDRAGE 01-08-2025 - 31-08-2025     29-08 KBC-PLUSREKENING</t>
  </si>
  <si>
    <t>BETALING VIA DEBIT MASTERCARD        29-08 28-08-2025 OM 17.25 UUR BRUSSELS GRILL GRAND P BE1000 BRUXELLES MET APPLE PAY 5127 88XX XXXX 8113 VIRTUEEL KAARTNUMMER CONTACTLOZE BETALING: 5354 00XX XXXX 8030 KAARTHOUDER: BOMBAERT BRAM</t>
  </si>
  <si>
    <t>INSTANTOVERSCHRIJVING NAAR           29-08 BE57 7380 3752 0935 BANKIER BEGUNSTIGDE: KREDBEBBXXX VIVES 110098345284 OM 14.12 UUR MET KBC MOBILE</t>
  </si>
  <si>
    <t>OVERSCHRIJVING VAN                   29-08 BE64 3751 1173 1652 BANKIER OPDRACHTGEVER: BBRUBEBB VVM DE LIJN ALGEMENE REK /A/ 29076 LOON VVM 08/2025</t>
  </si>
  <si>
    <t>OVERSCHRIJVING VAN                   29-08 BE57 3751 1109 9435 BANKIER OPDRACHTGEVER: BBRUBEBB OV HULPREKENING /A/E001793 - 19303221177-118257-311 UITGESTELDE BEZOL DIGING AUGUSTUS--- REFERENTIE: 250802-001793-/A/E001793</t>
  </si>
  <si>
    <t>OVERSCHRIJVING VAN                   29-08 BE57 3751 1109 9435 BANKIER OPDRACHTGEVER: BBRUBEBB OV HULPREKENING /A/E003421 - 19303221177-118257-311 BETALING-08/2025- -- REFERENTIE: 250801-003421-/A/E003421</t>
  </si>
  <si>
    <t>EUROPESE DOMICILIERING               29-08 SCHULDEISER     : LUMINUS SA REF. SCHULDEISER: 002253199889 MANDAATREFERTE  : 0087006660811 MEDEDELING      : LUMINUS AFREKENING 5808085220</t>
  </si>
  <si>
    <t xml:space="preserve">september </t>
  </si>
  <si>
    <t>BETALING VIA DEBIT MASTERCARD        15-09 13-09-2025 OM 16.16 UUR CARREFOUR MARKE BE8510 MARKE MET APPLE PAY 5127 88XX XXXX 8113 VIRTUEEL KAARTNUMMER CONTACTLOZE BETALING: 5354 00XX XXXX 8030 KAARTHOUDER: BOMBAERT BRAM</t>
  </si>
  <si>
    <t>BETALING VIA MAESTRO                 15-09 12-09-2025 OM 16.16 UUR VALINSOPAY NL NL WIJK EN AALBU MET APPLE PAY 6703 42XX XXXX X901 0 VIRTUEEL KAARTNUMMER CONTACTLOZE BETALING: 6790 28XX XXXX X658 7 KAARTHOUDER: ROTTY CHRISTOFF</t>
  </si>
  <si>
    <t>BETALING VIA MAESTRO                 15-09 12-09-2025 OM 08.32 UUR VALINSOPAY NL NL WIJK EN AALBU MET APPLE PAY 6703 42XX XXXX X901 0 VIRTUEEL KAARTNUMMER CONTACTLOZE BETALING: 6790 28XX XXXX X658 7 KAARTHOUDER: ROTTY CHRISTOFF</t>
  </si>
  <si>
    <t>BETALING VIA MAESTRO                 15-09 12-09-2025 OM 15.21 UUR VALINSOPAY NL NL WIJK EN AALBU MET APPLE PAY 6703 42XX XXXX X901 0 VIRTUEEL KAARTNUMMER CONTACTLOZE BETALING: 6790 28XX XXXX X658 7 KAARTHOUDER: ROTTY CHRISTOFF</t>
  </si>
  <si>
    <t>BETALING VIA DEBIT MASTERCARD        15-09 13-09-2025 OM 15.45 UUR LIDL 803 KORTRIJK 2 BE8500 KORTRIJK MET APPLE PAY 5127 88XX XXXX 8113 VIRTUEEL KAARTNUMMER CONTACTLOZE BETALING: 5354 00XX XXXX 8030 KAARTHOUDER: BOMBAERT BRAM</t>
  </si>
  <si>
    <t>BETALING VIA DEBIT MASTERCARD        15-09 14-09-2025 OM 00.00 UUR APPLE.COM FR FR75008 0805-540-303 MET APPLE PAY 5127 88XX XXXX 8113 VIRTUEEL KAARTNUMMER CONTACTLOZE BETALING: 5354 00XX XXXX 7841 KAARTHOUDER: BOMBAERT BRAM</t>
  </si>
  <si>
    <t>BETALING VIA DEBIT MASTERCARD        15-09 12-09-2025 OM 16.26 UUR STD BH 405 WEVELGEM BE8560 WEVELGEM MET APPLE PAY 5127 88XX XXXX 8113 VIRTUEEL KAARTNUMMER CONTACTLOZE BETALING: 5354 00XX XXXX 8030 KAARTHOUDER: BOMBAERT BRAM</t>
  </si>
  <si>
    <t>BETALING VIA BANCONTACT              15-09 12-09-2025 OM 22.48 UUR BART P2P MOBILE MET KBC-DEBETKAART 5127 88XX XXXX 8113 KAARTHOUDER: BOMBAERT BRAM</t>
  </si>
  <si>
    <t>OVERSCHRIJVING NAAR                  12-09 BE25 0972 3100 4082 BANKIER BEGUNSTIGDE: GKCCBEBB PROVINCIE WEST-VLAANDEREN 311526048546 MET KBC-BETAALKNOP/DOCCLE</t>
  </si>
  <si>
    <t>BETALING VIA DEBIT MASTERCARD        12-09 11-09-2025 OM 15.44 UUR EURO SHOP KORTRIJK BE8800 ROESELARE MET APPLE PAY 5127 88XX XXXX 8113 VIRTUEEL KAARTNUMMER CONTACTLOZE BETALING: 5354 00XX XXXX 8030 KAARTHOUDER: BOMBAERT BRAM</t>
  </si>
  <si>
    <t>BETALING VIA DEBIT MASTERCARD        12-09 11-09-2025 OM 17.12 UUR CARREFOUR MARKE BE8510 MARKE MET APPLE PAY 5127 88XX XXXX 8113 VIRTUEEL KAARTNUMMER CONTACTLOZE BETALING: 5354 00XX XXXX 7841 KAARTHOUDER: BOMBAERT BRAM</t>
  </si>
  <si>
    <t>BETALING VIA MAESTRO                 12-09 11-09-2025 OM 09.26 UUR VALINSOPAY NL NL WIJK EN AALBU MET APPLE PAY 6703 42XX XXXX X901 0 VIRTUEEL KAARTNUMMER CONTACTLOZE BETALING: 6790 28XX XXXX X005 7 KAARTHOUDER: ROTTY CHRISTOFF</t>
  </si>
  <si>
    <t>BETALING VIA MAESTRO                 12-09 11-09-2025 OM 13.40 UUR VALINSOPAY NL NL WIJK EN AALBU MET APPLE PAY 6703 42XX XXXX X901 0 VIRTUEEL KAARTNUMMER CONTACTLOZE BETALING: 6790 28XX XXXX X658 7 KAARTHOUDER: ROTTY CHRISTOFF</t>
  </si>
  <si>
    <t>BETALING VIA MAESTRO                 12-09 11-09-2025 OM 09.54 UUR VALINSOPAY NL NL WIJK EN AALBU MET APPLE PAY 6703 42XX XXXX X901 0 VIRTUEEL KAARTNUMMER CONTACTLOZE BETALING: 6790 28XX XXXX X658 7 KAARTHOUDER: ROTTY CHRISTOFF</t>
  </si>
  <si>
    <t>BETALING VIA MAESTRO                 12-09 11-09-2025 OM 11.20 UUR OVO CHARGE ANYWHERE GB BRISTOL MET APPLE PAY 6703 42XX XXXX X901 0 VIRTUEEL KAARTNUMMER CONTACTLOZE BETALING: 6790 28XX XXXX X658 7 KAARTHOUDER: ROTTY CHRISTOFF</t>
  </si>
  <si>
    <t>BETALING VIA DEBIT MASTERCARD        11-09 10-09-2025 OM 18.27 UUR CARREFOUR MARKE BE8510 MARKE MET APPLE PAY 5127 88XX XXXX 8113 VIRTUEEL KAARTNUMMER CONTACTLOZE BETALING: 5354 00XX XXXX 8030 KAARTHOUDER: BOMBAERT BRAM</t>
  </si>
  <si>
    <t>BETALING VIA DEBIT MASTERCARD        11-09 10-09-2025 OM 15.33 UUR CARREFOUR MARKE BE8510 MARKE MET APPLE PAY 5127 88XX XXXX 8113 VIRTUEEL KAARTNUMMER CONTACTLOZE BETALING: 5354 00XX XXXX 8030 KAARTHOUDER: BOMBAERT BRAM</t>
  </si>
  <si>
    <t>BETALING VIA DEBIT MASTERCARD        11-09 10-09-2025 OM 15.13 UUR LIDL 803 KORTRIJK 2 BE8500 KORTRIJK MET APPLE PAY 5127 88XX XXXX 8113 VIRTUEEL KAARTNUMMER CONTACTLOZE BETALING: 5354 00XX XXXX 8030 KAARTHOUDER: BOMBAERT BRAM</t>
  </si>
  <si>
    <t>BETALING VIA MAESTRO                 11-09 10-09-2025 OM 12.25 UUR VALINSOPAY NL NL WIJK EN AALBU MET APPLE PAY 6703 42XX XXXX X901 0 VIRTUEEL KAARTNUMMER CONTACTLOZE BETALING: 6790 28XX XXXX X658 7 KAARTHOUDER: ROTTY CHRISTOFF</t>
  </si>
  <si>
    <t>BETALING VIA MAESTRO                 11-09 10-09-2025 OM 10.17 UUR VALINSOPAY NL NL WIJK EN AALBU MET APPLE PAY 6703 42XX XXXX X901 0 VIRTUEEL KAARTNUMMER CONTACTLOZE BETALING: 6790 28XX XXXX X658 7 KAARTHOUDER: ROTTY CHRISTOFF</t>
  </si>
  <si>
    <t>BETALING VIA MAESTRO                 11-09 10-09-2025 OM 08.25 UUR VALINSOPAY NL NL WIJK EN AALBU MET APPLE PAY 6703 42XX XXXX X901 0 VIRTUEEL KAARTNUMMER CONTACTLOZE BETALING: 6790 28XX XXXX X658 7 KAARTHOUDER: ROTTY CHRISTOFF</t>
  </si>
  <si>
    <t>BETALING VIA DEBIT MASTERCARD        11-09 10-09-2025 OM 14.31 UUR BARISEAU-MOTTRIE K BE8500 KORTRIJK MET KBC-DEBETKAART 5127 88XX XXXX 8113 KAARTHOUDER: BOMBAERT BRAM</t>
  </si>
  <si>
    <t>BETALING VIA MAESTRO                 11-09 10-09-2025 OM 11.11 UUR OVO CHARGE ANYWH GB BRISTOL MET KBC-DEBETKAART 6703 42XX XXXX X901 0 KAARTHOUDER: ROTTY CHRISTOFF</t>
  </si>
  <si>
    <t>BETALING VIA BANCONTACT              10-09 10-09-2025 OM 14.52 UUR MEDI-MARKET KORTRIJK BE8500 KORTRIJK MET KBC-DEBETKAART 5127 88XX XXXX 8113 KAARTHOUDER: BOMBAERT BRAM</t>
  </si>
  <si>
    <t>BETALING VIA MAESTRO                 10-09 09-09-2025 OM 09.16 UUR VALINSOPAY NL NL WIJK EN AALBU MET APPLE PAY 6703 42XX XXXX X901 0 VIRTUEEL KAARTNUMMER CONTACTLOZE BETALING: 6790 28XX XXXX X658 7 KAARTHOUDER: ROTTY CHRISTOFF</t>
  </si>
  <si>
    <t>BETALING VIA DEBIT MASTERCARD        09-09 08-09-2025 OM 12.21 UUR KWARTO  N.V. BE8560 WEVELGEM MET APPLE PAY 5127 88XX XXXX 8113 VIRTUEEL KAARTNUMMER CONTACTLOZE BETALING: 5354 00XX XXXX 8030 KAARTHOUDER: BOMBAERT BRAM</t>
  </si>
  <si>
    <t>BETALING VIA DEBIT MASTERCARD        09-09 08-09-2025 OM 16.06 UUR EURO SHOP KORTRIJK BE8800 ROESELARE MET APPLE PAY 5127 88XX XXXX 8113 VIRTUEEL KAARTNUMMER CONTACTLOZE BETALING: 5354 00XX XXXX 8030 KAARTHOUDER: BOMBAERT BRAM</t>
  </si>
  <si>
    <t>BETALING VIA DEBIT MASTERCARD        09-09 08-09-2025 OM 16.21 UUR LIDL 803 KORTRIJK 2 BE8500 KORTRIJK MET APPLE PAY 5127 88XX XXXX 8113 VIRTUEEL KAARTNUMMER CONTACTLOZE BETALING: 5354 00XX XXXX 8030 KAARTHOUDER: BOMBAERT BRAM</t>
  </si>
  <si>
    <t>BETALING VIA DEBIT MASTERCARD        09-09 08-09-2025 OM 12.36 UUR LIDL 803 KORTRIJK 2 BE8500 KORTRIJK MET APPLE PAY 5127 88XX XXXX 8113 VIRTUEEL KAARTNUMMER CONTACTLOZE BETALING: 5354 00XX XXXX 8030 KAARTHOUDER: BOMBAERT BRAM</t>
  </si>
  <si>
    <t>BETALING VIA DEBIT MASTERCARD        09-09 08-09-2025 OM 19.29 UUR GFM*GOFUNDME IE2 GOFUNDME.COM MET APPLE PAY 5127 88XX XXXX 8113 VIRTUEEL KAARTNUMMER CONTACTLOZE BETALING: 5354 00XX XXXX 7841 KAARTHOUDER: BOMBAERT BRAM</t>
  </si>
  <si>
    <t>BETALING VIA MAESTRO                 09-09 08-09-2025 OM 12.15 UUR VALINSOPAY NL NL WIJK EN AALBU MET APPLE PAY 6703 42XX XXXX X901 0 VIRTUEEL KAARTNUMMER CONTACTLOZE BETALING: 6790 28XX XXXX X658 7 KAARTHOUDER: ROTTY CHRISTOFF</t>
  </si>
  <si>
    <t>BETALING VIA DEBIT MASTERCARD        09-09 07-09-2025 OM 15.54 UUR NATA BE8500 KORTRIJK MET APPLE PAY 5127 88XX XXXX 8113 VIRTUEEL KAARTNUMMER CONTACTLOZE BETALING: 5354 00XX XXXX 8030 KAARTHOUDER: BOMBAERT BRAM</t>
  </si>
  <si>
    <t>BETALING VIA DEBIT MASTERCARD        09-09 07-09-2025 OM 11.48 UUR CARREFOUR MARKE BE8510 MARKE MET APPLE PAY 5127 88XX XXXX 8113 VIRTUEEL KAARTNUMMER CONTACTLOZE BETALING: 5354 00XX XXXX 7841 KAARTHOUDER: BOMBAERT BRAM</t>
  </si>
  <si>
    <t>BETALING VIA DEBIT MASTERCARD        09-09 07-09-2025 OM 16.08 UUR KRUIDVAT 8095 KORTRIJK BE8500 KORTRIJK MET APPLE PAY 5127 88XX XXXX 8113 VIRTUEEL KAARTNUMMER CONTACTLOZE BETALING: 5354 00XX XXXX 8030 KAARTHOUDER: BOMBAERT BRAM</t>
  </si>
  <si>
    <t>BETALING VIA MAESTRO                 08-09 05-09-2025 OM 12.02 UUR VALINSOPAY NL NL WIJK EN AALBU MET APPLE PAY 6703 42XX XXXX X901 0 VIRTUEEL KAARTNUMMER CONTACTLOZE BETALING: 6790 28XX XXXX X658 7 KAARTHOUDER: ROTTY CHRISTOFF</t>
  </si>
  <si>
    <t>BETALING VIA MAESTRO                 08-09 05-09-2025 OM 08.43 UUR VALINSOPAY NL NL WIJK EN AALBU MET APPLE PAY 6703 42XX XXXX X901 0 VIRTUEEL KAARTNUMMER CONTACTLOZE BETALING: 6790 28XX XXXX X658 7 KAARTHOUDER: ROTTY CHRISTOFF</t>
  </si>
  <si>
    <t>BETALING VIA MAESTRO                 08-09 04-09-2025 OM 13.52 UUR VALINSOPAY NL NL WIJK EN AALBU MET APPLE PAY 6703 42XX XXXX X901 0 VIRTUEEL KAARTNUMMER CONTACTLOZE BETALING: 6790 28XX XXXX X658 7 KAARTHOUDER: ROTTY CHRISTOFF</t>
  </si>
  <si>
    <t>EUROPESE DOMICILIERING               08-09 SCHULDEISER     : ONESTO KREDIETMAATSCHAPPIJ REF. SCHULDEISER: CASHFLOW-60002071 MANDAATREFERTE  : BE96SDA077001313774 MEDEDELING      : DOSSIER 077001313774 - 01092025</t>
  </si>
  <si>
    <t>BETALING VIA DEBIT MASTERCARD        08-09 06-09-2025 OM 16.53 UUR AVA KUURNE BE8520 KUURNE MET APPLE PAY 5127 88XX XXXX 8113 VIRTUEEL KAARTNUMMER CONTACTLOZE BETALING: 5354 00XX XXXX 8030 KAARTHOUDER: BOMBAERT BRAM</t>
  </si>
  <si>
    <t>BETALING VIA DEBIT MASTERCARD        08-09 06-09-2025 OM 12.33 UUR LIDL 803 KORTRIJK 2 BE8500 KORTRIJK MET APPLE PAY 5127 88XX XXXX 8113 VIRTUEEL KAARTNUMMER CONTACTLOZE BETALING: 5354 00XX XXXX 8030 KAARTHOUDER: BOMBAERT BRAM</t>
  </si>
  <si>
    <t>BETALING VIA DEBIT MASTERCARD        08-09 05-09-2025 OM 18.23 UUR APOTHEEK ARIE FREDERIK BE8510 MARKE MET APPLE PAY 5127 88XX XXXX 8113 VIRTUEEL KAARTNUMMER CONTACTLOZE BETALING: 5354 00XX XXXX 8030 KAARTHOUDER: BOMBAERT BRAM</t>
  </si>
  <si>
    <t>BETALING VIA DEBIT MASTERCARD        08-09 05-09-2025 OM 16.50 UUR EURO-CAFETARIA BVBA BE8800 ROESELARE MET APPLE PAY 5127 88XX XXXX 8113 VIRTUEEL KAARTNUMMER CONTACTLOZE BETALING: 5354 00XX XXXX 8030 KAARTHOUDER: BOMBAERT BRAM</t>
  </si>
  <si>
    <t>TERUGBETALING                        06-09 LENING OP AFBETALING VOLGENS AFLOSSINGSPLAN REFERENTIE 420-6466664-69</t>
  </si>
  <si>
    <t>INSTANTOVERSCHRIJVING NAAR           05-09 BE62 7370 5288 6261 BANKIER BEGUNSTIGDE: KREDBEBBXXX MERIJN DEGRAVE WERO BOMBAERT BRAM OM 18.11 MET WERO</t>
  </si>
  <si>
    <t>OVERSCHRIJVING VAN                   05-09 BE54 3101 0027 0097 BANKIER OPDRACHTGEVER: BBRUBEBB DKV BELGIUM UITKERING DD 04.09.2025 POLIS : 358543901 REFERENTIE: 2025247358543901X000000000000001</t>
  </si>
  <si>
    <t>BETALING VIA DEBIT MASTERCARD        05-09 04-09-2025 OM 13.51 UUR LIDL 861 WEVELGEM BE8560 WEVELGEM MET APPLE PAY 5127 88XX XXXX 8113 VIRTUEEL KAARTNUMMER CONTACTLOZE BETALING: 5354 00XX XXXX 8030 KAARTHOUDER: BOMBAERT BRAM</t>
  </si>
  <si>
    <t>BETALING VIA DEBIT MASTERCARD        05-09 04-09-2025 OM 17.05 UUR CARREFOUR MARKE BE8510 MARKE MET APPLE PAY 5127 88XX XXXX 8113 VIRTUEEL KAARTNUMMER CONTACTLOZE BETALING: 5354 00XX XXXX 7841 KAARTHOUDER: BOMBAERT BRAM</t>
  </si>
  <si>
    <t>EUROPESE DOMICILIERING               05-09 SCHULDEISER     : EUROMEX NV REF. SCHULDEISER: BALN-BE-EMX-P-D9MT4TPRZUAWCR MANDAATREFERTE  : 30507E MEDEDELING      : SCOR                   BBA                   250982198544</t>
  </si>
  <si>
    <t>EUROPESE DOMICILIERING               05-09 SCHULDEISER     : DATS 24  NV REF. SCHULDEISER: 030305154580 REF: 2530082 MANDAATREFERTE  : DAKL-000000538161-5-1 MEDEDELING      : 2530082 DATS24 00737137</t>
  </si>
  <si>
    <t>BETALING VIA DEBIT MASTERCARD        05-09 03-09-2025 OM 18.05 UUR LIDL 803 KORTRIJK 2 BE8500 KORTRIJK MET APPLE PAY 5127 88XX XXXX 8113 VIRTUEEL KAARTNUMMER CONTACTLOZE BETALING: 5354 00XX XXXX 8030 KAARTHOUDER: BOMBAERT BRAM</t>
  </si>
  <si>
    <t>BETALING VIA DEBIT MASTERCARD        04-09 03-09-2025 OM 17.47 UUR CCV*MARKIES TANDARTSEN BE8510 KORTRIJK MET APPLE PAY 5127 88XX XXXX 8113 VIRTUEEL KAARTNUMMER CONTACTLOZE BETALING: 5354 00XX XXXX 8030 KAARTHOUDER: BOMBAERT BRAM</t>
  </si>
  <si>
    <t>BETALING VIA MAESTRO                 04-09 03-09-2025 OM 09.14 UUR CARREFOUR GENT V BE GENT MET APPLE PAY 6703 42XX XXXX X901 0 VIRTUEEL KAARTNUMMER CONTACTLOZE BETALING: 6790 28XX XXXX X658 7 KAARTHOUDER: ROTTY CHRISTOFF</t>
  </si>
  <si>
    <t>OVERSCHRIJVING VAN                   04-09 BE10 1325 4851 1904 BANKIER OPDRACHTGEVER: BNAGBEBBXXX SOLIDARIS W.-VLAANDEREN /C/ (1619945)   ZORG VAN 03/09/25 TACK E 93032216582 REFERENTIE: 183</t>
  </si>
  <si>
    <t>BETALING VIA BANCONTACT              04-09 04-09-2025 OM 14.21 UUR BOL.COM NL3528 BJ UTRECHT MET KBC-DEBETKAART 5127 88XX XXXX 8113 KAARTHOUDER: BOMBAERT BRAM</t>
  </si>
  <si>
    <t>OVERSCHRIJVING NAAR                  04-09 BE79 3632 2576 6833 BANKIER BEGUNSTIGDE: LASER LINE PAYCONIQ F620FA78F88CF9DE204FEFA3 LASER LINE MET PAYCONIQ IN KBC MOBILE</t>
  </si>
  <si>
    <t>EUROPESE DOMICILIERING               04-09 SCHULDEISER     : MEDIAHUIS NV - NB REF. SCHULDEISER: K0214967 MANDAATREFERTE  : 101000942759 MEDEDELING      : ABONR. 5862848 : 04/09/25 - 03/10/2 5</t>
  </si>
  <si>
    <t>EUROPESE DOMICILIERING               04-09 SCHULDEISER     : CHARGEMAP SAS REF. SCHULDEISER: STR16NASYOSIY7KQFQN6KRANTPPHALRW9A MANDAATREFERTE  : YGAYU1XCULZ4UQUA MEDEDELING      : CHARGEMAP</t>
  </si>
  <si>
    <t>INSTANTOVERSCHRIJVING NAAR           03-09 BE07 0018 9446 5166 BANKIER BEGUNSTIGDE: GEBABEBBXXX MARGOT PARMENTIER WERO BOMBAERT BRAM OM 15.55 MET WERO</t>
  </si>
  <si>
    <t>BETALING VIA MAESTRO                 03-09 02-09-2025 OM 14.28 UUR VALINSOPAY NL NL WIJK EN AALBU MET APPLE PAY 6703 42XX XXXX X901 0 VIRTUEEL KAARTNUMMER CONTACTLOZE BETALING: 6790 28XX XXXX X658 7 KAARTHOUDER: ROTTY CHRISTOFF</t>
  </si>
  <si>
    <t>BETALING VIA MAESTRO                 03-09 02-09-2025 OM 12.00 UUR VALINSOPAY NL NL WIJK EN AALBU MET APPLE PAY 6703 42XX XXXX X901 0 VIRTUEEL KAARTNUMMER CONTACTLOZE BETALING: 6790 28XX XXXX X658 7 KAARTHOUDER: ROTTY CHRISTOFF</t>
  </si>
  <si>
    <t>BETALING VIA DEBIT MASTERCARD        03-09 01-09-2025 OM 14.49 UUR CARREFOUR MARKE BE8510 MARKE MET APPLE PAY 5127 88XX XXXX 8113 VIRTUEEL KAARTNUMMER CONTACTLOZE BETALING: 5354 00XX XXXX 8030 KAARTHOUDER: BOMBAERT BRAM</t>
  </si>
  <si>
    <t>BETALING VIA DEBIT MASTERCARD        03-09 01-09-2025 OM 14.03 UUR JULES 1130 BE8500 KORTRIJK MET APPLE PAY 5127 88XX XXXX 8113 VIRTUEEL KAARTNUMMER CONTACTLOZE BETALING: 5354 00XX XXXX 8030 KAARTHOUDER: BOMBAERT BRAM</t>
  </si>
  <si>
    <t>BETALING VIA DEBIT MASTERCARD        03-09 01-09-2025 OM 14.08 UUR MEDI-MARKET KORTRIJK BE8500 KORTRIJK MET APPLE PAY 5127 88XX XXXX 8113 VIRTUEEL KAARTNUMMER CONTACTLOZE BETALING: 5354 00XX XXXX 8030 KAARTHOUDER: BOMBAERT BRAM</t>
  </si>
  <si>
    <t>BETALING VIA DEBIT MASTERCARD        03-09 01-09-2025 OM 14.37 UUR LIDL 803 KORTRIJK 2 BE8500 KORTRIJK MET APPLE PAY 5127 88XX XXXX 8113 VIRTUEEL KAARTNUMMER CONTACTLOZE BETALING: 5354 00XX XXXX 8030 KAARTHOUDER: BOMBAERT BRAM</t>
  </si>
  <si>
    <t>EUROPESE DOMICILIERING               03-09 SCHULDEISER     : ACV-CSC REF. SCHULDEISER: 0925 BIJDRAGEN 092025-092025 MANDAATREFERTE  : N00814013 MEDEDELING      : SCOR                   BBA                   081760860769</t>
  </si>
  <si>
    <t>BETALING VIA BANCONTACT              03-09 02-09-2025 OM 17.35 UUR APOTHEEK ARIE BE8510 MARKE MET KBC-DEBETKAART 5127 88XX XXXX 8113 KAARTHOUDER: BOMBAERT BRAM</t>
  </si>
  <si>
    <t>OVERSCHRIJVING VAN                   02-09 BE64 3751 1173 1652 BANKIER OPDRACHTGEVER: BBRUBEBB VVM DE LIJN ALGEMENE REK ATTENTIE ZIEK/OVERL 50 EURO</t>
  </si>
  <si>
    <t>BETALING VIA MAESTRO                 02-09 01-09-2025 OM 10.07 UUR VALINSOPAY NL NL WIJK EN AALBU MET APPLE PAY 6703 42XX XXXX X901 0 VIRTUEEL KAARTNUMMER CONTACTLOZE BETALING: 6790 28XX XXXX X658 7 KAARTHOUDER: ROTTY CHRISTOFF</t>
  </si>
  <si>
    <t>INSTANTOVERSCHRIJVING NAAR           02-09 BE37 0635 9879 0028 BANKIER BEGUNSTIGDE: GKCCBEBBXXX KURT CLEMENT OM 15.38 UUR MET KBC MOBILE</t>
  </si>
  <si>
    <t>INSTANTOVERSCHRIJVING NAAR           02-09 BE35 7765 9917 2737 BANKIER BEGUNSTIGDE: GKCCBEBBXXX KENNETH DE RICK WERO ROTTY CHRISTOFF OM 08.58 MET WERO</t>
  </si>
  <si>
    <t>OVERSCHRIJVING NAAR                  01-09 BE79 3632 2576 6833 BANKIER BEGUNSTIGDE: DOKTER FLORIN DENNIS PAYCONIQ 3207C34FEF2AB1055BAB406E DOKTER FLORIN DENNI S MET PAYCONIQ IN KBC MOBILE</t>
  </si>
  <si>
    <t>BETALING VIA DEBIT MASTERCARD        02-09 31-08-2025 OM 13.09 UUR CARREFOUR MARKE BE8510 MARKE MET APPLE PAY 5127 88XX XXXX 8113 VIRTUEEL KAARTNUMMER CONTACTLOZE BETALING: 5354 00XX XXXX 7841 KAARTHOUDER: BOMBAERT BRAM</t>
  </si>
  <si>
    <t>BETALING VIA DEBIT MASTERCARD        02-09 30-08-2025 OM 08.56 UUR CARREFOUR MARKE BE8510 MARKE MET KBC-DEBETKAART 5127 88XX XXXX 8113 KAARTHOUDER: BOMBAERT BRAM</t>
  </si>
  <si>
    <t>BETALING VIA DEBIT MASTERCARD        02-09 31-08-2025 OM 16.15 UUR EURO SHOP KORTRIJK BE8800 ROESELARE MET APPLE PAY 5127 88XX XXXX 8113 VIRTUEEL KAARTNUMMER CONTACTLOZE BETALING: 5354 00XX XXXX 7841 KAARTHOUDER: BOMBAERT BRAM</t>
  </si>
  <si>
    <t>BETALING VIA BANCONTACT              01-09 01-09-2025 OM 13.57 UUR MIJN.HOST NL1066JR AMSTERDAM MET KBC-DEBETKAART 6703 42XX XXXX X901 0 KAARTHOUDER: ROTTY CHRISTOFF INFO VAN DE HANDELAAR: 74116CA MIJN.HOST ORDERNR. 000</t>
  </si>
  <si>
    <t>BETALING VIA MAESTRO                 01-09 31-08-2025 OM 12.54 UUR SPORTBAR WEVELGEM BE WEVELGEM MET APPLE PAY 6703 42XX XXXX X901 0 VIRTUEEL KAARTNUMMER CONTACTLOZE BETALING: 6790 28XX XXXX X658 7 KAARTHOUDER: ROTTY CHRISTOFF</t>
  </si>
  <si>
    <t>BETALING VIA MAESTRO                 01-09 31-08-2025 OM 03.50 UUR OVO CHARGE ANYWHERE GB BRISTOL MET APPLE PAY 6703 42XX XXXX X901 0 VIRTUEEL KAARTNUMMER CONTACTLOZE BETALING: 6790 28XX XXXX X658 7 KAARTHOUDER: ROTTY CHRISTOFF</t>
  </si>
  <si>
    <t>BETALING VIA MAESTRO                 01-09 30-08-2025 OM 08.35 UUR OVO CHARGE ANYWHERE GB BRISTOL MET APPLE PAY 6703 42XX XXXX X901 0 VIRTUEEL KAARTNUMMER CONTACTLOZE BETALING: 6790 28XX XXXX X658 7 KAARTHOUDER: ROTTY CHRISTOFF</t>
  </si>
  <si>
    <t>BETALING VIA MAESTRO                 01-09 31-08-2025 OM 03.51 UUR OVO CHARGE ANYWHERE GB BRISTOL MET APPLE PAY 6703 42XX XXXX X901 0 VIRTUEEL KAARTNUMMER CONTACTLOZE BETALING: 6790 28XX XXXX X658 7 KAARTHOUDER: ROTTY CHRISTOFF</t>
  </si>
  <si>
    <t>EUROPESE DOMICILIERING               01-09 SCHULDEISER     : TELENET BV REF. SCHULDEISER: 115343185310928060926 MANDAATREFERTE  : 001285135 MEDEDELING      : ACCOUNT: 115343185 REF : 3109280609 26</t>
  </si>
  <si>
    <t>EUROPESE DOMICILIERING               01-09 SCHULDEISER     : DKV BELGIUM REF. SCHULDEISER: 2025235358543901X000000000000001 MANDAATREFERTE  : 358543901/001 MEDEDELING      : EERSTE INNING VIA EUROPESE SEPA DOM ICILIERING (SDD) - REFERENTIE MANDAAT : 358543901/001</t>
  </si>
  <si>
    <t>EUROPESE DOMICILIERING               01-09 SCHULDEISER     : ORANGE REF. SCHULDEISER: A68PMUCT MANDAATREFERTE  : 7808001 MEDEDELING      : SCOR                   BBA                   112053586513</t>
  </si>
  <si>
    <t>EUROPESE DOMICILIERING               01-09 SCHULDEISER     : LUMINUS SA REF. SCHULDEISER: 002013141628 MANDAATREFERTE  : 0087006660811 MEDEDELING      : LUMINUS VOORSCHOT 5808088295</t>
  </si>
  <si>
    <t>EUROPESE DOMICILIERING               01-09 SCHULDEISER     : DKV BELGIUM REF. SCHULDEISER: 2025235345523551X000000000000001 MANDAATREFERTE  : 345523551/002 MEDEDELING      : 0925-1025 PREMIE</t>
  </si>
  <si>
    <t>EUROPESE DOMICILIERING               01-09 SCHULDEISER     : KBC VERZEKERINGEN REF. SCHULDEISER: 391090576614 MANDAATREFERTE  : L00194638787V0001 EIGEN OMSCHR.   : HOSPITALISATIEVERZEKERING MEDEDELING      : POL.54467509 31/08/2025-30/09/2025 HOSPITALISATIEVERZEKERING</t>
  </si>
  <si>
    <t>AUTOMATISCH SPAREN                   01-09 NAAR BE13 7460 4686 9539 AUTOMATISCH SPAREN</t>
  </si>
  <si>
    <t>JULES</t>
  </si>
  <si>
    <t>MEDI-MARKET</t>
  </si>
  <si>
    <t>DOKTER</t>
  </si>
  <si>
    <t>MIJN.HOST</t>
  </si>
  <si>
    <t>PARMENTIER</t>
  </si>
  <si>
    <t>Auto onderhoud</t>
  </si>
  <si>
    <t>INSTANTOVERSCHRIJVING NAAR           23-09 BE14 4658 1635 7183 BANKIER BEGUNSTIGDE: KREDBEBBXXX D.C.S. BV 562500035941 OM 20.23 UUR MET KBC MOBILE</t>
  </si>
  <si>
    <t>BETALING VIA DEBIT MASTERCARD        23-09 22-09-2025 OM 17.22 UUR CARREFOUR MARKE BE8510 MARKE MET KBC-DEBETKAART 5127 88XX XXXX 8113 KAARTHOUDER: BOMBAERT BRAM</t>
  </si>
  <si>
    <t>BETALING VIA DEBIT MASTERCARD        23-09 22-09-2025 OM 14.05 UUR LIDL 803 KORTRIJK 2 BE8500 KORTRIJK MET APPLE PAY 5127 88XX XXXX 8113 VIRTUEEL KAARTNUMMER CONTACTLOZE BETALING: 5354 00XX XXXX 8030 KAARTHOUDER: BOMBAERT BRAM</t>
  </si>
  <si>
    <t>BETALING VIA MAESTRO                 23-09 22-09-2025 OM 10.02 UUR VALINSOPAY NL NL WIJK EN AALBU MET APPLE PAY 6703 42XX XXXX X901 0 VIRTUEEL KAARTNUMMER CONTACTLOZE BETALING: 6790 28XX XXXX X658 7 KAARTHOUDER: ROTTY CHRISTOFF</t>
  </si>
  <si>
    <t>BETALING VIA MAESTRO                 23-09 22-09-2025 OM 12.26 UUR COLRUYT LEDEBERG BE GENT MET APPLE PAY 6703 42XX XXXX X901 0 VIRTUEEL KAARTNUMMER CONTACTLOZE BETALING: 6790 28XX XXXX X658 7 KAARTHOUDER: ROTTY CHRISTOFF</t>
  </si>
  <si>
    <t>BETALING VIA DEBIT MASTERCARD        22-09 21-09-2025 OM 11.21 UUR EURO SHOP KORTRIJK BE8800 ROESELARE MET APPLE PAY 5127 88XX XXXX 8113 VIRTUEEL KAARTNUMMER CONTACTLOZE BETALING: 5354 00XX XXXX 8030 KAARTHOUDER: BOMBAERT BRAM</t>
  </si>
  <si>
    <t>BETALING VIA DEBIT MASTERCARD        22-09 21-09-2025 OM 17.34 UUR CARREFOUR MARKE BE8510 MARKE MET KBC-DEBETKAART 5127 88XX XXXX 8113 KAARTHOUDER: BOMBAERT BRAM</t>
  </si>
  <si>
    <t>BETALING VIA DEBIT MASTERCARD        22-09 21-09-2025 OM 10.54 UUR CARREFOUR MARKE BE8510 MARKE MET KBC-DEBETKAART 5127 88XX XXXX 8113 KAARTHOUDER: BOMBAERT BRAM</t>
  </si>
  <si>
    <t>BETALING VIA MAESTRO                 22-09 22-09-2025 OM 00.43 UUR OVO CHARGE ANYWHERE GB BRISTOL MET APPLE PAY 6703 42XX XXXX X901 0 VIRTUEEL KAARTNUMMER CONTACTLOZE BETALING: 6790 28XX XXXX X658 7 KAARTHOUDER: ROTTY CHRISTOFF</t>
  </si>
  <si>
    <t>BETALING VIA MAESTRO                 22-09 20-09-2025 OM 16.29 UUR EFFIA FR LILLE MET APPLE PAY 6703 42XX XXXX X901 0 VIRTUEEL KAARTNUMMER CONTACTLOZE BETALING: 6790 28XX XXXX X658 7 KAARTHOUDER: ROTTY CHRISTOFF</t>
  </si>
  <si>
    <t>BETALING VIA MAESTRO                 22-09 19-09-2025 OM 09.59 UUR VALINSOPAY NL NL WIJK EN AALBU MET APPLE PAY 6703 42XX XXXX X901 0 VIRTUEEL KAARTNUMMER CONTACTLOZE BETALING: 6790 28XX XXXX X658 7 KAARTHOUDER: ROTTY CHRISTOFF</t>
  </si>
  <si>
    <t>BETALING VIA MAESTRO                 22-09 19-09-2025 OM 11.31 UUR VALINSOPAY NL NL WIJK EN AALBU MET APPLE PAY 6703 42XX XXXX X901 0 VIRTUEEL KAARTNUMMER CONTACTLOZE BETALING: 6790 28XX XXXX X658 7 KAARTHOUDER: ROTTY CHRISTOFF</t>
  </si>
  <si>
    <t>BETALING VIA MAESTRO                 22-09 19-09-2025 OM 14.55 UUR VALINSOPAY NL NL WIJK EN AALBU MET APPLE PAY 6703 42XX XXXX X901 0 VIRTUEEL KAARTNUMMER CONTACTLOZE BETALING: 6790 28XX XXXX X658 7 KAARTHOUDER: ROTTY CHRISTOFF</t>
  </si>
  <si>
    <t>BETALING VIA MAESTRO                 22-09 20-09-2025 OM 03.06 UUR OVO CHARGE ANYWHERE GB BRISTOL MET APPLE PAY 6703 42XX XXXX X901 0 VIRTUEEL KAARTNUMMER CONTACTLOZE BETALING: 6790 28XX XXXX X658 7 KAARTHOUDER: ROTTY CHRISTOFF</t>
  </si>
  <si>
    <t>EUROPESE DOMICILIERING               22-09 SCHULDEISER     : AXA REF. SCHULDEISER: 20250916010859105373008544 MANDAATREFERTE  : 010817143526001 MEDEDELING      : 0108171435261042025-09-222025090000 0010817143526</t>
  </si>
  <si>
    <t>EUROPESE DOMICILIERING               22-09 SCHULDEISER     : CARDIF -ASSURANCE VIE REF. SCHULDEISER: RF11250546863438241718437 MANDAATREFERTE  : CARDIF-8742994/01 MEDEDELING      : SCOR                   ISO                   RF11250546863438241718437</t>
  </si>
  <si>
    <t>BETALING VIA DEBIT MASTERCARD        22-09 20-09-2025 OM 15.27 UUR STARBUCKS FR59800 LILLE MET APPLE PAY 5127 88XX XXXX 8113 VIRTUEEL KAARTNUMMER CONTACTLOZE BETALING: 5354 00XX XXXX 8030 KAARTHOUDER: BOMBAERT BRAM</t>
  </si>
  <si>
    <t>BETALING VIA DEBIT MASTERCARD        22-09 20-09-2025 OM 12.20 UUR LIDL 803 KORTRIJK 2 BE8500 KORTRIJK MET APPLE PAY 5127 88XX XXXX 8113 VIRTUEEL KAARTNUMMER CONTACTLOZE BETALING: 5354 00XX XXXX 8030 KAARTHOUDER: BOMBAERT BRAM</t>
  </si>
  <si>
    <t>BETALING VIA DEBIT MASTERCARD        22-09 20-09-2025 OM 11.41 UUR FLORALUX DADIZELE BE8890 DADIZELE MET APPLE PAY 5127 88XX XXXX 8113 VIRTUEEL KAARTNUMMER CONTACTLOZE BETALING: 5354 00XX XXXX 8030 KAARTHOUDER: BOMBAERT BRAM</t>
  </si>
  <si>
    <t>BETALING VIA DEBIT MASTERCARD        22-09 19-09-2025 OM 19.36 UUR MUZE BE8500 KORTRIJK MET APPLE PAY 5127 88XX XXXX 8113 VIRTUEEL KAARTNUMMER CONTACTLOZE BETALING: 5354 00XX XXXX 8030 KAARTHOUDER: BOMBAERT BRAM</t>
  </si>
  <si>
    <t>BETALING VIA BANCONTACT              22-09 20-09-2025 OM 10.34 UUR KWARTO  N.V. BE9000 GENT MET KBC-DEBETKAART 5127 88XX XXXX 8113 KAARTHOUDER: BOMBAERT BRAM</t>
  </si>
  <si>
    <t>OVERSCHRIJVING NAAR                  19-09 BE29 1036 0003 1964 BANKIER BEGUNSTIGDE: NICABEBBXXX COTTENIER KINE ROTTY C MET KBC MOBILE</t>
  </si>
  <si>
    <t>BETALING VIA DEBIT MASTERCARD        19-09 18-09-2025 OM 16.55 UUR CARREFOUR MARKE BE8510 MARKE MET APPLE PAY 5127 88XX XXXX 8113 VIRTUEEL KAARTNUMMER CONTACTLOZE BETALING: 5354 00XX XXXX 8030 KAARTHOUDER: BOMBAERT BRAM</t>
  </si>
  <si>
    <t>BETALING VIA DEBIT MASTERCARD        19-09 18-09-2025 OM 16.45 UUR LIDL 803 KORTRIJK 2 BE8500 KORTRIJK MET APPLE PAY 5127 88XX XXXX 8113 VIRTUEEL KAARTNUMMER CONTACTLOZE BETALING: 5354 00XX XXXX 8030 KAARTHOUDER: BOMBAERT BRAM</t>
  </si>
  <si>
    <t>BETALING VIA BANCONTACT              19-09 19-09-2025 OM 13.47 UUR ORANGE BRUXELLES BE1140 BRUSSEL MET KBC-DEBETKAART 6703 42XX XXXX X901 0 KAARTHOUDER: ROTTY CHRISTOFF</t>
  </si>
  <si>
    <t>BETALING VIA MAESTRO                 19-09 18-09-2025 OM 15.12 UUR VALINSOPAY NL NL WIJK EN AALBU MET APPLE PAY 6703 42XX XXXX X901 0 VIRTUEEL KAARTNUMMER CONTACTLOZE BETALING: 6790 28XX XXXX X658 7 KAARTHOUDER: ROTTY CHRISTOFF</t>
  </si>
  <si>
    <t>BETALING VIA DEBIT MASTERCARD        19-09 17-09-2025 OM 12.50 UUR CARREFOUR MARKE BE8510 MARKE MET APPLE PAY 5127 88XX XXXX 8113 VIRTUEEL KAARTNUMMER CONTACTLOZE BETALING: 5354 00XX XXXX 7841 KAARTHOUDER: BOMBAERT BRAM</t>
  </si>
  <si>
    <t>BETALING VIA DEBIT MASTERCARD        19-09 17-09-2025 OM 12.33 UUR LIDL 861 WEVELGEM BE8560 WEVELGEM MET APPLE PAY 5127 88XX XXXX 8113 VIRTUEEL KAARTNUMMER CONTACTLOZE BETALING: 5354 00XX XXXX 8030 KAARTHOUDER: BOMBAERT BRAM</t>
  </si>
  <si>
    <t>BETALING VIA MAESTRO                 18-09 17-09-2025 OM 12.11 UUR VALINSOPAY NL NL WIJK EN AALBU MET APPLE PAY 6703 42XX XXXX X901 0 VIRTUEEL KAARTNUMMER CONTACTLOZE BETALING: 6790 28XX XXXX X658 7 KAARTHOUDER: ROTTY CHRISTOFF</t>
  </si>
  <si>
    <t>BETALING VIA MAESTRO                 18-09 17-09-2025 OM 15.03 UUR VALINSOPAY NL NL WIJK EN AALBU MET APPLE PAY 6703 42XX XXXX X901 0 VIRTUEEL KAARTNUMMER CONTACTLOZE BETALING: 6790 28XX XXXX X658 7 KAARTHOUDER: ROTTY CHRISTOFF</t>
  </si>
  <si>
    <t>BETALING VIA DEBIT MASTERCARD        17-09 16-09-2025 OM 16.32 UUR LIDL 803 KORTRIJK 2 BE8500 KORTRIJK MET APPLE PAY 5127 88XX XXXX 8113 VIRTUEEL KAARTNUMMER CONTACTLOZE BETALING: 5354 00XX XXXX 8030 KAARTHOUDER: BOMBAERT BRAM</t>
  </si>
  <si>
    <t>BETALING VIA MAESTRO                 17-09 16-09-2025 OM 17.01 UUR DECATHLON 384 KORTRIJK BE KORTRIJK MET APPLE PAY 6703 42XX XXXX X901 0 VIRTUEEL KAARTNUMMER CONTACTLOZE BETALING: 6790 28XX XXXX X658 7 KAARTHOUDER: ROTTY CHRISTOFF</t>
  </si>
  <si>
    <t>BETALING VIA MAESTRO                 17-09 16-09-2025 OM 13.45 UUR VALINSOPAY NL NL WIJK EN AALBU MET APPLE PAY 6703 42XX XXXX X901 0 VIRTUEEL KAARTNUMMER CONTACTLOZE BETALING: 6790 28XX XXXX X658 7 KAARTHOUDER: ROTTY CHRISTOFF</t>
  </si>
  <si>
    <t>BETALING VIA MAESTRO                 17-09 16-09-2025 OM 11.08 UUR VALINSOPAY NL NL WIJK EN AALBU MET APPLE PAY 6703 42XX XXXX X901 0 VIRTUEEL KAARTNUMMER CONTACTLOZE BETALING: 6790 28XX XXXX X658 7 KAARTHOUDER: ROTTY CHRISTOFF</t>
  </si>
  <si>
    <t>OVERSCHRIJVING VAN                   17-09 BE42 8782 7051 0154 BANKIER OPDRACHTGEVER: BNAGBEBBXXX SOLIDARIS W.-VLAANDEREN /C/ 40258250916/RAADPL OP 140125/COTTENIER HOBIE  /25 0916823472006 REFERENTIE: 334</t>
  </si>
  <si>
    <t>BETALING VIA MAESTRO                 17-09 16-09-2025 OM 11.45 UUR OVO CHARGE ANYWH GB BRISTOL MET KBC-DEBETKAART 6703 42XX XXXX X901 0 KAARTHOUDER: ROTTY CHRISTOFF</t>
  </si>
  <si>
    <t>BETALING VIA BANCONTACT              17-09 16-09-2025 OM 17.15 UUR LIEN P2P MOBILE MET KBC-DEBETKAART 5127 88XX XXXX 8113 KAARTHOUDER: BOMBAERT BRAM</t>
  </si>
  <si>
    <t>BETALING VIA BANCONTACT              16-09 16-09-2025 OM 15.57 UUR CORPORATE BENEFITS BEN BE3500 HASSELT MET KBC-DEBETKAART 6703 42XX XXXX X901 0 KAARTHOUDER: ROTTY CHRISTOFF INFO VAN DE HANDELAAR: 7499G97 E-BENELUX-25-1007059</t>
  </si>
  <si>
    <t>BETALING VIA DEBIT MASTERCARD        16-09 15-09-2025 OM 13.43 UUR LIDL 803 KORTRIJK 2 BE8500 KORTRIJK MET APPLE PAY 5127 88XX XXXX 8113 VIRTUEEL KAARTNUMMER CONTACTLOZE BETALING: 5354 00XX XXXX 7841 KAARTHOUDER: BOMBAERT BRAM</t>
  </si>
  <si>
    <t>BETALING VIA MAESTRO                 16-09 15-09-2025 OM 12.09 UUR VALINSOPAY NL NL WIJK EN AALBU MET APPLE PAY 6703 42XX XXXX X901 0 VIRTUEEL KAARTNUMMER CONTACTLOZE BETALING: 6790 28XX XXXX X658 7 KAARTHOUDER: ROTTY CHRISTOFF</t>
  </si>
  <si>
    <t>BETALING VIA MAESTRO                 16-09 15-09-2025 OM 09.45 UUR VALINSOPAY NL NL WIJK EN AALBU MET APPLE PAY 6703 42XX XXXX X901 0 VIRTUEEL KAARTNUMMER CONTACTLOZE BETALING: 6790 28XX XXXX X658 7 KAARTHOUDER: ROTTY CHRISTOFF</t>
  </si>
  <si>
    <t>EUROPESE DOMICILIERING               16-09 SCHULDEISER     : BALOISE BELGIUM NV REF. SCHULDEISER: 0000000000000024459998128 MANDAATREFERTE  : 202025687747 MEDEDELING      : POL.1B57806 VERV.10/09/25 9841</t>
  </si>
  <si>
    <t>EUROPESE DOMICILIERING               16-09 SCHULDEISER     : BALOISE BELGIUM NV REF. SCHULDEISER: 0000000000000024456579280 MANDAATREFERTE  : 202025682289 MEDEDELING      : POL.1A02635 VERV.10/09/25 9841</t>
  </si>
  <si>
    <t>EUROPESE DOMICILIERING               16-09 SCHULDEISER     : DIGI COMMUNICATIONS BELGIUM NV REF. SCHULDEISER: 000009716467-774849 MANDAATREFERTE  : 1D574ED99E164823 MEDEDELING      : DIGI FACTUUR - SEPTEMBER 2025</t>
  </si>
  <si>
    <t>BETALING VIA DEBIT MASTERCARD        29-09 26-09-2025 OM 13.35 UUR OKAY WEVELGEM 4258 BE8560 WEVELGEM MET APPLE PAY 5127 88XX XXXX 8113 VIRTUEEL KAARTNUMMER CONTACTLOZE BETALING: 5354 00XX XXXX 8030 KAARTHOUDER: BOMBAERT BRAM</t>
  </si>
  <si>
    <t>BETALING VIA DEBIT MASTERCARD        29-09 26-09-2025 OM 16.33 UUR CARREFOUR MARKE BE8510 MARKE MET APPLE PAY 5127 88XX XXXX 8113 VIRTUEEL KAARTNUMMER CONTACTLOZE BETALING: 5354 00XX XXXX 8030 KAARTHOUDER: BOMBAERT BRAM</t>
  </si>
  <si>
    <t>GELDOPNEMING VIA BANCONTACT          29-09 27-09-2025 OM 11.30 UUR CASH RINGLAAN KORTRIJK MET KBC-DEBETKAART 5127 88XX XXXX 8113</t>
  </si>
  <si>
    <t>BETALING VIA BANCONTACT              29-09 27-09-2025 OM 09.40 UUR BIJ DEBORAH BV BE8510 MARKE MET KBC-DEBETKAART 5127 88XX XXXX 8113 KAARTHOUDER: BOMBAERT BRAM</t>
  </si>
  <si>
    <t>BETALING VIA BANCONTACT              29-09 27-09-2025 OM 09.32 UUR VERLINDE LAUREN BE8510 MARKE MET KBC-DEBETKAART 5127 88XX XXXX 8113 KAARTHOUDER: BOMBAERT BRAM</t>
  </si>
  <si>
    <t>INSTANTOVERSCHRIJVING NAAR           26-09 BE52 7370 6382 2609 BANKIER BEGUNSTIGDE: KREDBEBBXXX ATTENTIEFONDS SPWE OM 17.15 UUR MET KBC MOBILE</t>
  </si>
  <si>
    <t>BETALING VIA DEBIT MASTERCARD        29-09 25-09-2025 OM 12.46 UUR ALDI 26 MARKE BE8510 MARKE MET APPLE PAY 5127 88XX XXXX 8113 VIRTUEEL KAARTNUMMER CONTACTLOZE BETALING: 5354 00XX XXXX 8030 KAARTHOUDER: BOMBAERT BRAM</t>
  </si>
  <si>
    <t>BETALING VIA DEBIT MASTERCARD        26-09 25-09-2025 OM 12.30 UUR LIDL 803 KORTRIJK 2 BE8500 KORTRIJK MET APPLE PAY 5127 88XX XXXX 8113 VIRTUEEL KAARTNUMMER CONTACTLOZE BETALING: 5354 00XX XXXX 8030 KAARTHOUDER: BOMBAERT BRAM</t>
  </si>
  <si>
    <t>OVERSCHRIJVING NAAR                  26-09 BE86 9733 9742 0350 BANKIER BEGUNSTIGDE: DOMINIQUE DE CLERCQ PAYCONIQ B60190127E0AE5E99E8A828A DOMINIQUE DE CLERCQ  CHRISTOFF ROTTY MET PAYCONIQ IN KBC MOBILE</t>
  </si>
  <si>
    <t>BETALING VIA DEBIT MASTERCARD        26-09 25-09-2025 OM 13.19 UUR CARREFOUR MARKE BE8510 MARKE MET APPLE PAY 5127 88XX XXXX 8113 VIRTUEEL KAARTNUMMER CONTACTLOZE BETALING: 5354 00XX XXXX 7841 KAARTHOUDER: BOMBAERT BRAM</t>
  </si>
  <si>
    <t>BETALING VIA MAESTRO                 26-09 25-09-2025 OM 13.14 UUR VALINSOPAY NL NL WIJK EN AALBU MET APPLE PAY 6703 42XX XXXX X901 0 VIRTUEEL KAARTNUMMER CONTACTLOZE BETALING: 6790 28XX XXXX X658 7 KAARTHOUDER: ROTTY CHRISTOFF</t>
  </si>
  <si>
    <t>BETALING VIA DEBIT MASTERCARD        26-09 25-09-2025 OM 16.15 UUR COOLBLUE N.V. BE2600 BERCHEM MET APPLE PAY 5127 88XX XXXX 8113 VIRTUEEL KAARTNUMMER CONTACTLOZE BETALING: 5354 00XX XXXX 7841 KAARTHOUDER: BOMBAERT BRAM</t>
  </si>
  <si>
    <t>EUROPESE DOMICILIERING               26-09 SCHULDEISER     : AXA REF. SCHULDEISER: 20250920011959008298011403 MANDAATREFERTE  : 010624258692001 MEDEDELING      : 0106242586921042025-09-262025090000 0010624258692</t>
  </si>
  <si>
    <t>BETALING VIA DEBIT MASTERCARD        25-09 24-09-2025 OM 15.23 UUR LIDL 803 KORTRIJK 2 BE8500 KORTRIJK MET APPLE PAY 5127 88XX XXXX 8113 VIRTUEEL KAARTNUMMER CONTACTLOZE BETALING: 5354 00XX XXXX 8030 KAARTHOUDER: BOMBAERT BRAM</t>
  </si>
  <si>
    <t>BETALING VIA DEBIT MASTERCARD        24-09 23-09-2025 OM 17.47 UUR JUMBO LAUWE BE8930 MENEN MET APPLE PAY 5127 88XX XXXX 8113 VIRTUEEL KAARTNUMMER CONTACTLOZE BETALING: 5354 00XX XXXX 8030 KAARTHOUDER: BOMBAERT BRAM</t>
  </si>
  <si>
    <t>OVERSCHRIJVING NAAR                  24-09 BE79 3632 2576 6833 BANKIER BEGUNSTIGDE: CURASIEN GESPECIALISEERDE VOETVERZO PAYCONIQ 67C2F63092D106ED6EC3E091 CURASIEN GESPECIALI SEER SIENTORFS MET PAYCONIQ IN KBC MOBILE</t>
  </si>
  <si>
    <t>MOBIELE BETALING                     24-09 DATUM: 23-09-2025 OM 14.09</t>
  </si>
  <si>
    <t>LIEN</t>
  </si>
  <si>
    <t>BIJDRAGE 01-09-2025 - 30-09-2025     30-09 KBC-PLUSREKENING</t>
  </si>
  <si>
    <t>BETALING VIA DEBIT MASTERCARD        01-10 29-09-2025 OM 18.15 UUR IKEA GENT-STORE BE9051 SINT-DENIJS-W MET APPLE PAY 5127 88XX XXXX 8113 VIRTUEEL KAARTNUMMER CONTACTLOZE BETALING: 5354 00XX XXXX 8030 KAARTHOUDER: BOMBAERT BRAM</t>
  </si>
  <si>
    <t>BETALING VIA DEBIT MASTERCARD        30-09 29-09-2025 OM 14.30 UUR LIDL 803 KORTRIJK 2 BE8500 KORTRIJK MET APPLE PAY 5127 88XX XXXX 8113 VIRTUEEL KAARTNUMMER CONTACTLOZE BETALING: 5354 00XX XXXX 8030 KAARTHOUDER: BOMBAERT BRAM</t>
  </si>
  <si>
    <t>EUROPESE DOMICILIERING               30-09 SCHULDEISER     : KBC VERZEKERINGEN REF. SCHULDEISER: 391148574934 MANDAATREFERTE  : L00194638787V0001 EIGEN OMSCHR.   : HOSPITALISATIEVERZEKERING MEDEDELING      : POL.54467509 30/09/2025-31/10/2025 HOSPITALISATIEVERZEKERING</t>
  </si>
  <si>
    <t>EUROPESE DOMICILIERING               30-09 SCHULDEISER     : TELENET BV REF. SCHULDEISER: 115343185311194401203 MANDAATREFERTE  : 001285135 MEDEDELING      : ACCOUNT: 115343185 REF : 3111944012 03</t>
  </si>
  <si>
    <t>BETALING LEASING                     30-09 0001/0001/BE/2502972617</t>
  </si>
  <si>
    <t>OVERSCHRIJVING VAN                   30-09 BE64 3751 1173 1652 BANKIER OPDRACHTGEVER: BBRUBEBB VVM DE LIJN ALGEMENE REK /A/ 29076 LOON VVM 09/2025</t>
  </si>
  <si>
    <t>BETALING VIA BANCONTACT              29-09 29-09-2025 OM 10.29 UUR LUCIE P2P MOBILE MET KBC-DEBETKAART 6703 42XX XXXX X901 0 KAARTHOUDER: ROTTY CHRISTOFF</t>
  </si>
  <si>
    <t>EUROPESE DOMICILIERING               29-09 SCHULDEISER     : ORANGE REF. SCHULDEISER: A68QM07O MANDAATREFERTE  : 7808001 MEDEDELING      : SCOR                   BBA                   112263350427</t>
  </si>
  <si>
    <t>AUTOMATISCHE BETALING                01-09 FLEX BUDGET 420-6319589-46</t>
  </si>
  <si>
    <t>BETALING VIA DEBIT MASTERCARD        15-10 13-10-2025 OM 15.04 UUR HEMA EV2168 WETTEREN BE9230 WETTEREN MET APPLE PAY 5127 88XX XXXX 8113 VIRTUEEL KAARTNUMMER CONTACTLOZE BETALING: 5354 00XX XXXX 8030 KAARTHOUDER: BOMBAERT BRAM</t>
  </si>
  <si>
    <t>OVERSCHRIJVING NAAR                  14-10 BE23 7330 6155 2691 BANKIER BEGUNSTIGDE: KREDBEBB 4411 4411 KORTRIJK KOR2 2CMY158 - OLMPA100100 - QKV21TPA5L VK MET KBC MOBILE</t>
  </si>
  <si>
    <t>OVERSCHRIJVING VAN                   14-10 BE54 3101 0027 0097 BANKIER OPDRACHTGEVER: BBRUBEBB DKV BELGIUM UITKERING DD 13.10.2025 POLIS : 358543901 REFERENTIE: 2025286358543901X000000000000001</t>
  </si>
  <si>
    <t>BETALING VIA MAESTRO                 14-10 13-10-2025 OM 12.49 UUR VALINSOPAY NL NL WIJK EN AALBU MET APPLE PAY 6703 42XX XXXX X901 0 VIRTUEEL KAARTNUMMER CONTACTLOZE BETALING: 6790 28XX XXXX X658 7 KAARTHOUDER: ROTTY CHRISTOFF</t>
  </si>
  <si>
    <t>BETALING VIA MAESTRO                 14-10 13-10-2025 OM 11.33 UUR VALINSOPAY NL NL WIJK EN AALBU MET APPLE PAY 6703 42XX XXXX X901 0 VIRTUEEL KAARTNUMMER CONTACTLOZE BETALING: 6790 28XX XXXX X005 7 KAARTHOUDER: ROTTY CHRISTOFF</t>
  </si>
  <si>
    <t>BETALING VIA DEBIT MASTERCARD        14-10 13-10-2025 OM 00.22 UUR OVO CHARGE ANYWHERE GBBS1 6ED BRISTOL MET APPLE PAY 5127 88XX XXXX 8113 VIRTUEEL KAARTNUMMER CONTACTLOZE BETALING: 5354 00XX XXXX 6677 KAARTHOUDER: BOMBAERT BRAM</t>
  </si>
  <si>
    <t>BETALING VIA BANCONTACT              13-10 13-10-2025 OM 15.44 UUR ZELFBEDIENING DE LOOR BE9230 WETTEREN MET KBC-DEBETKAART 5127 88XX XXXX 8113 KAARTHOUDER: BOMBAERT BRAM</t>
  </si>
  <si>
    <t>BETALING VIA MAESTRO                 13-10 11-10-2025 OM 18.17 UUR EFFIA FR LILLE MET APPLE PAY 6703 42XX XXXX X901 0 VIRTUEEL KAARTNUMMER CONTACTLOZE BETALING: 6790 28XX XXXX X658 7 KAARTHOUDER: ROTTY CHRISTOFF</t>
  </si>
  <si>
    <t>BETALING VIA DEBIT MASTERCARD        13-10 11-10-2025 OM 14.42 UUR CARREFOUR MARKE BE8510 MARKE MET APPLE PAY 5127 88XX XXXX 8113 VIRTUEEL KAARTNUMMER CONTACTLOZE BETALING: 5354 00XX XXXX 8030 KAARTHOUDER: BOMBAERT BRAM</t>
  </si>
  <si>
    <t>BETALING VIA DEBIT MASTERCARD        13-10 12-10-2025 OM 13.21 UUR CARREFOUR MARKE BE8510 MARKE MET APPLE PAY 5127 88XX XXXX 8113 VIRTUEEL KAARTNUMMER CONTACTLOZE BETALING: 5354 00XX XXXX 8030 KAARTHOUDER: BOMBAERT BRAM</t>
  </si>
  <si>
    <t>BETALING VIA MAESTRO                 13-10 11-10-2025 OM 11.20 UUR OVO CHARGE ANYWHERE GB BRISTOL MET APPLE PAY 6703 42XX XXXX X901 0 VIRTUEEL KAARTNUMMER CONTACTLOZE BETALING: 6790 28XX XXXX X658 7 KAARTHOUDER: ROTTY CHRISTOFF</t>
  </si>
  <si>
    <t>BETALING VIA MAESTRO                 13-10 11-10-2025 OM 07.20 UUR OVO CHARGE ANYWHERE GB BRISTOL MET APPLE PAY 6703 42XX XXXX X901 0 VIRTUEEL KAARTNUMMER CONTACTLOZE BETALING: 6790 28XX XXXX X658 7 KAARTHOUDER: ROTTY CHRISTOFF</t>
  </si>
  <si>
    <t>BETALING VIA MAESTRO                 13-10 10-10-2025 OM 10.10 UUR VALINSOPAY NL NL WIJK EN AALBU MET APPLE PAY 6703 42XX XXXX X901 0 VIRTUEEL KAARTNUMMER CONTACTLOZE BETALING: 6790 28XX XXXX X658 7 KAARTHOUDER: ROTTY CHRISTOFF</t>
  </si>
  <si>
    <t>BETALING VIA MAESTRO                 13-10 10-10-2025 OM 12.49 UUR VALINSOPAY NL NL WIJK EN AALBU MET APPLE PAY 6703 42XX XXXX X901 0 VIRTUEEL KAARTNUMMER CONTACTLOZE BETALING: 6790 28XX XXXX X658 7 KAARTHOUDER: ROTTY CHRISTOFF</t>
  </si>
  <si>
    <t>BETALING VIA MAESTRO                 13-10 11-10-2025 OM 17.31 UUR HEMA LILLE FR EURALILLE MET APPLE PAY 6703 42XX XXXX X901 0 VIRTUEEL KAARTNUMMER CONTACTLOZE BETALING: 6790 28XX XXXX X658 7 KAARTHOUDER: ROTTY CHRISTOFF</t>
  </si>
  <si>
    <t>BETALING VIA MAESTRO                 13-10 10-10-2025 OM 17.18 UUR LS SPARKX GENT BE SINT-DENIJS W MET APPLE PAY 6703 42XX XXXX X901 0 VIRTUEEL KAARTNUMMER CONTACTLOZE BETALING: 6790 28XX XXXX X005 7 KAARTHOUDER: ROTTY CHRISTOFF</t>
  </si>
  <si>
    <t>BETALING VIA DEBIT MASTERCARD        13-10 11-10-2025 OM 17.29 UUR HEMA LILLE FR59777 EURALILLE MET APPLE PAY 5127 88XX XXXX 8113 VIRTUEEL KAARTNUMMER CONTACTLOZE BETALING: 5354 00XX XXXX 8030 KAARTHOUDER: BOMBAERT BRAM</t>
  </si>
  <si>
    <t>BETALING VIA DEBIT MASTERCARD        13-10 11-10-2025 OM 17.33 UUR STARBUCKS FR59777 EURALILLE MET APPLE PAY 5127 88XX XXXX 8113 VIRTUEEL KAARTNUMMER CONTACTLOZE BETALING: 5354 00XX XXXX 8030 KAARTHOUDER: BOMBAERT BRAM</t>
  </si>
  <si>
    <t>BETALING VIA DEBIT MASTERCARD        13-10 11-10-2025 OM 12.25 UUR OVO CHARGE ANYWHERE GBBS1 6ED BRISTOL MET APPLE PAY 5127 88XX XXXX 8113 VIRTUEEL KAARTNUMMER CONTACTLOZE BETALING: 5354 00XX XXXX 6677 KAARTHOUDER: BOMBAERT BRAM</t>
  </si>
  <si>
    <t>BETALING VIA DEBIT MASTERCARD        13-10 11-10-2025 OM 17.41 UUR RITUALS COSMETICS FRAN FR59777 LILLE MET APPLE PAY 5127 88XX XXXX 8113 VIRTUEEL KAARTNUMMER CONTACTLOZE BETALING: 5354 00XX XXXX 8030 KAARTHOUDER: BOMBAERT BRAM</t>
  </si>
  <si>
    <t>BETALING VIA DEBIT MASTERCARD        13-10 10-10-2025 OM 16.43 UUR EURO SHOP KORTRIJK BE8800 ROESELARE MET APPLE PAY 5127 88XX XXXX 8113 VIRTUEEL KAARTNUMMER CONTACTLOZE BETALING: 5354 00XX XXXX 8030 KAARTHOUDER: BOMBAERT BRAM</t>
  </si>
  <si>
    <t>INSTANTOVERSCHRIJVING NAAR           10-10 BE19 4468 6772 0112 BANKIER BEGUNSTIGDE: KREDBEBBXXX MONIQUE VAN ESCH OM 18.36 UUR MET KBC MOBILE</t>
  </si>
  <si>
    <t>BETALING VIA DEBIT MASTERCARD        10-10 09-10-2025 OM 16.09 UUR EURO SHOP KORTRIJK BE8800 ROESELARE MET APPLE PAY 5127 88XX XXXX 8113 VIRTUEEL KAARTNUMMER CONTACTLOZE BETALING: 5354 00XX XXXX 8030 KAARTHOUDER: BOMBAERT BRAM</t>
  </si>
  <si>
    <t>BETALING VIA DEBIT MASTERCARD        10-10 09-10-2025 OM 16.32 UUR LIDL 803 KORTRIJK 2 BE8500 KORTRIJK MET APPLE PAY 5127 88XX XXXX 8113 VIRTUEEL KAARTNUMMER CONTACTLOZE BETALING: 5354 00XX XXXX 8030 KAARTHOUDER: BOMBAERT BRAM</t>
  </si>
  <si>
    <t>BETALING VIA MAESTRO                 10-10 09-10-2025 OM 13.13 UUR VALINSOPAY NL NL WIJK EN AALBU MET APPLE PAY 6703 42XX XXXX X901 0 VIRTUEEL KAARTNUMMER CONTACTLOZE BETALING: 6790 28XX XXXX X658 7 KAARTHOUDER: ROTTY CHRISTOFF</t>
  </si>
  <si>
    <t>BETALING VIA MAESTRO                 10-10 09-10-2025 OM 13.48 UUR VALINSOPAY NL NL WIJK EN AALBU MET APPLE PAY 6703 42XX XXXX X901 0 VIRTUEEL KAARTNUMMER CONTACTLOZE BETALING: 6790 28XX XXXX X658 7 KAARTHOUDER: ROTTY CHRISTOFF</t>
  </si>
  <si>
    <t>BETALING VIA MAESTRO                 10-10 09-10-2025 OM 09.33 UUR VALINSOPAY NL NL WIJK EN AALBU MET APPLE PAY 6703 42XX XXXX X901 0 VIRTUEEL KAARTNUMMER CONTACTLOZE BETALING: 6790 28XX XXXX X658 7 KAARTHOUDER: ROTTY CHRISTOFF</t>
  </si>
  <si>
    <t>OVERSCHRIJVING VAN                   09-10 BE10 1325 4851 1904 BANKIER OPDRACHTGEVER: BNAGBEBBXXX SOLIDARIS W.-VLAANDEREN /C/ (1619945)   ZORG VAN 08/10/25 TACK E 93032216582 REFERENTIE: 199</t>
  </si>
  <si>
    <t>BETALING VIA DEBIT MASTERCARD        09-10 08-10-2025 OM 17.31 UUR LIDL 803 KORTRIJK 2 BE8500 KORTRIJK MET APPLE PAY 5127 88XX XXXX 8113 VIRTUEEL KAARTNUMMER CONTACTLOZE BETALING: 5354 00XX XXXX 8030 KAARTHOUDER: BOMBAERT BRAM</t>
  </si>
  <si>
    <t>BETALING VIA BANCONTACT              09-10 09-10-2025 OM 13.34 UUR LIEN P2P MOBILE MET KBC-DEBETKAART 5127 88XX XXXX 8113 KAARTHOUDER: BOMBAERT BRAM</t>
  </si>
  <si>
    <t>BETALING VIA DEBIT MASTERCARD        09-10 08-10-2025 OM 17.14 UUR CCV*MARKIES TANDARTSEN BE8510 KORTRIJK MET APPLE PAY 5127 88XX XXXX 8113 VIRTUEEL KAARTNUMMER CONTACTLOZE BETALING: 5354 00XX XXXX 8030 KAARTHOUDER: BOMBAERT BRAM</t>
  </si>
  <si>
    <t>EUROPESE DOMICILIERING               09-10 SCHULDEISER     : SOLIDARIS WEST-VLAANDEREN REF. SCHULDEISER: 543571300640 MANDAATREFERTE  : SDD30993032216582202202240088 MEDEDELING      : 543571300640 - AANVULL. BIJDR. 4/20 25 1619945</t>
  </si>
  <si>
    <t>BETALING VIA MAESTRO                 08-10 07-10-2025 OM 11.18 UUR VALINSOPAY NL NL WIJK EN AALBU MET APPLE PAY 6703 42XX XXXX X901 0 VIRTUEEL KAARTNUMMER CONTACTLOZE BETALING: 6790 28XX XXXX X658 7 KAARTHOUDER: ROTTY CHRISTOFF</t>
  </si>
  <si>
    <t>BETALING VIA MAESTRO                 08-10 07-10-2025 OM 07.02 UUR STAD GENT PARKEREN BE GENT MET APPLE PAY 6703 42XX XXXX X901 0 VIRTUEEL KAARTNUMMER CONTACTLOZE BETALING: 6790 28XX XXXX X658 7 KAARTHOUDER: ROTTY CHRISTOFF</t>
  </si>
  <si>
    <t>EUROPESE DOMICILIERING               08-10 SCHULDEISER     : DATS 24  NV REF. SCHULDEISER: 030105134346 REF: 2584027 MANDAATREFERTE  : DAKL-000000538161-5-1 MEDEDELING      : 2584027 DATS24 00737137</t>
  </si>
  <si>
    <t>BETALING VIA DEBIT MASTERCARD        08-10 06-10-2025 OM 18.16 UUR CARREFOUR MARKE BE8510 MARKE MET KBC-DEBETKAART 5127 88XX XXXX 8113 KAARTHOUDER: BOMBAERT BRAM</t>
  </si>
  <si>
    <t>BETALING VIA DEBIT MASTERCARD        08-10 05-10-2025 OM 09.22 UUR STARBUCKS KRUIBEKE ZUI BE9150 KRUIBEKE-NOOR MET APPLE PAY 5127 88XX XXXX 8113 VIRTUEEL KAARTNUMMER CONTACTLOZE BETALING: 5354 00XX XXXX 8030 KAARTHOUDER: BOMBAERT BRAM</t>
  </si>
  <si>
    <t>BETALING VIA DEBIT MASTERCARD        07-10 02-10-2025 OM 16.13 UUR CARREFOUR MARKE BE8510 MARKE MET APPLE PAY 5127 88XX XXXX 8113 VIRTUEEL KAARTNUMMER CONTACTLOZE BETALING: 5354 00XX XXXX 7841 KAARTHOUDER: BOMBAERT BRAM</t>
  </si>
  <si>
    <t>BETALING VIA DEBIT MASTERCARD        07-10 02-10-2025 OM 14.29 UUR LIDL 803 KORTRIJK 2 BE8500 KORTRIJK MET APPLE PAY 5127 88XX XXXX 8113 VIRTUEEL KAARTNUMMER CONTACTLOZE BETALING: 5354 00XX XXXX 8030 KAARTHOUDER: BOMBAERT BRAM</t>
  </si>
  <si>
    <t>BETALING VIA DEBIT MASTERCARD        07-10 05-10-2025 OM 12.24 UUR BERCHEM X PARKING BE2000 ANTWERPEN MET APPLE PAY 5127 88XX XXXX 8113 VIRTUEEL KAARTNUMMER CONTACTLOZE BETALING: 5354 00XX XXXX 8030 KAARTHOUDER: BOMBAERT BRAM</t>
  </si>
  <si>
    <t>BETALING VIA MAESTRO                 07-10 06-10-2025 OM 08.27 UUR COOP A50 BE GENT MET APPLE PAY 6703 42XX XXXX X901 0 VIRTUEEL KAARTNUMMER CONTACTLOZE BETALING: 6790 28XX XXXX X658 7 KAARTHOUDER: ROTTY CHRISTOFF</t>
  </si>
  <si>
    <t>BETALING VIA MAESTRO                 07-10 06-10-2025 OM 14.36 UUR VALINSOPAY NL NL WIJK EN AALBU MET APPLE PAY 6703 42XX XXXX X901 0 VIRTUEEL KAARTNUMMER CONTACTLOZE BETALING: 6790 28XX XXXX X658 7 KAARTHOUDER: ROTTY CHRISTOFF</t>
  </si>
  <si>
    <t>EUROPESE DOMICILIERING               07-10 SCHULDEISER     : ONESTO KREDIETMAATSCHAPPIJ REF. SCHULDEISER: CASHFLOW-60003499 MANDAATREFERTE  : BE96SDA077001313774 MEDEDELING      : DOSSIER 077001313774 - 01102025</t>
  </si>
  <si>
    <t>EUROPESE DOMICILIERING               07-10 SCHULDEISER     : EUROMEX NV REF. SCHULDEISER: BALN-BE-EMX-P-DMZ6HY9W55H3A4 MANDAATREFERTE  : 30507E MEDEDELING      : SCOR                   BBA                   251082301130</t>
  </si>
  <si>
    <t>BETALING VIA DEBIT MASTERCARD        07-10 04-10-2025 OM 19.35 UUR BEAT VENUES NV BE2170 MERKSEM MET APPLE PAY 5127 88XX XXXX 8113 VIRTUEEL KAARTNUMMER CONTACTLOZE BETALING: 5354 00XX XXXX 8030 KAARTHOUDER: BOMBAERT BRAM</t>
  </si>
  <si>
    <t>BETALING VIA DEBIT MASTERCARD        07-10 04-10-2025 OM 18.05 UUR DELHAIZE WAASLAND BE9100 SINT NIKLAAS MET KBC-DEBETKAART 5127 88XX XXXX 8113 KAARTHOUDER: BOMBAERT BRAM</t>
  </si>
  <si>
    <t>BETALING VIA DEBIT MASTERCARD        07-10 04-10-2025 OM 16.56 UUR WAASLA 0 BE2000 ANTWERPEN MET APPLE PAY 5127 88XX XXXX 8113 VIRTUEEL KAARTNUMMER CONTACTLOZE BETALING: 5354 00XX XXXX 8030 KAARTHOUDER: BOMBAERT BRAM</t>
  </si>
  <si>
    <t>BETALING VIA DEBIT MASTERCARD        07-10 03-10-2025 OM 16.58 UUR LIDL 803 KORTRIJK 2 BE8500 KORTRIJK MET APPLE PAY 5127 88XX XXXX 8113 VIRTUEEL KAARTNUMMER CONTACTLOZE BETALING: 5354 00XX XXXX 8030 KAARTHOUDER: BOMBAERT BRAM</t>
  </si>
  <si>
    <t>BETALING VIA DEBIT MASTERCARD        07-10 03-10-2025 OM 17.22 UUR CARREFOUR MARKE BE8510 MARKE MET APPLE PAY 5127 88XX XXXX 8113 VIRTUEEL KAARTNUMMER CONTACTLOZE BETALING: 5354 00XX XXXX 8030 KAARTHOUDER: BOMBAERT BRAM</t>
  </si>
  <si>
    <t>BETALING VIA DEBIT MASTERCARD        07-10 04-10-2025 OM 10.12 UUR CARREFOUR MARKE BE8510 MARKE MET APPLE PAY 5127 88XX XXXX 8113 VIRTUEEL KAARTNUMMER CONTACTLOZE BETALING: 5354 00XX XXXX 7841 KAARTHOUDER: BOMBAERT BRAM</t>
  </si>
  <si>
    <t>BETALING VIA DEBIT MASTERCARD        07-10 04-10-2025 OM 23.08 UUR P R ANTWERPEN BE2030 ANTWERPEN MET KBC-DEBETKAART 5127 88XX XXXX 8113 KAARTHOUDER: BOMBAERT BRAM</t>
  </si>
  <si>
    <t>BETALING VIA DEBIT MASTERCARD        07-10 04-10-2025 OM 19.31 UUR STUDIO 100 BE2870 038706035 MET APPLE PAY 5127 88XX XXXX 8113 VIRTUEEL KAARTNUMMER CONTACTLOZE BETALING: 5354 00XX XXXX 8030 KAARTHOUDER: BOMBAERT BRAM</t>
  </si>
  <si>
    <t>BETALING VIA DEBIT MASTERCARD        07-10 04-10-2025 OM 15.48 UUR NOTRE BLANCHE BE9100 SINT-NIKLAAS MET APPLE PAY 5127 88XX XXXX 8113 VIRTUEEL KAARTNUMMER CONTACTLOZE BETALING: 5354 00XX XXXX 8030 KAARTHOUDER: BOMBAERT BRAM</t>
  </si>
  <si>
    <t>BETALING VIA DEBIT MASTERCARD        07-10 04-10-2025 OM 15.23 UUR JULES M1163 BE9100 SINT-NIKLAAS MET APPLE PAY 5127 88XX XXXX 8113 VIRTUEEL KAARTNUMMER CONTACTLOZE BETALING: 5354 00XX XXXX 8030 KAARTHOUDER: BOMBAERT BRAM</t>
  </si>
  <si>
    <t>BETALING VIA DEBIT MASTERCARD        07-10 04-10-2025 OM 02.40 UUR SP EDGARD &amp; COOPER BE8500 KORTRIJK MET APPLE PAY 5127 88XX XXXX 8113 VIRTUEEL KAARTNUMMER CONTACTLOZE BETALING: 5354 00XX XXXX 7841 KAARTHOUDER: BOMBAERT BRAM</t>
  </si>
  <si>
    <t>BETALING VIA MAESTRO                 06-10 04-10-2025 OM 19.19 UUR BEAT VENUES NV BE MERKSEM MET APPLE PAY 6703 42XX XXXX X901 0 VIRTUEEL KAARTNUMMER CONTACTLOZE BETALING: 6790 28XX XXXX X658 7 KAARTHOUDER: ROTTY CHRISTOFF</t>
  </si>
  <si>
    <t>BETALING VIA MAESTRO                 06-10 04-10-2025 OM 16.57 UUR WAASLA 0 BE ANTWERPEN MET APPLE PAY 6703 42XX XXXX X901 0 VIRTUEEL KAARTNUMMER CONTACTLOZE BETALING: 6790 28XX XXXX X005 7 KAARTHOUDER: ROTTY CHRISTOFF</t>
  </si>
  <si>
    <t>BETALING VIA MAESTRO                 06-10 04-10-2025 OM 16.56 UUR WAASLA 0 BE ANTWERPEN MET APPLE PAY 6703 42XX XXXX X901 0 VIRTUEEL KAARTNUMMER CONTACTLOZE BETALING: 6790 28XX XXXX X005 7 KAARTHOUDER: ROTTY CHRISTOFF</t>
  </si>
  <si>
    <t>BETALING VIA MAESTRO                 06-10 04-10-2025 OM 14.54 UUR MEDI-MARKET WAASLAND BE SINT NIKLAAS MET APPLE PAY 6703 42XX XXXX X901 0 VIRTUEEL KAARTNUMMER CONTACTLOZE BETALING: 6790 28XX XXXX X658 7 KAARTHOUDER: ROTTY CHRISTOFF</t>
  </si>
  <si>
    <t>BETALING VIA MAESTRO                 06-10 04-10-2025 OM 17.48 UUR EL PLAZA BE SINT-NIKLAAS MET APPLE PAY 6703 42XX XXXX X901 0 VIRTUEEL KAARTNUMMER CONTACTLOZE BETALING: 6790 28XX XXXX X658 7 KAARTHOUDER: ROTTY CHRISTOFF</t>
  </si>
  <si>
    <t>BETALING VIA MAESTRO                 06-10 03-10-2025 OM 09.49 UUR VALINSOPAY NL NL WIJK EN AALBU MET APPLE PAY 6703 42XX XXXX X901 0 VIRTUEEL KAARTNUMMER CONTACTLOZE BETALING: 6790 28XX XXXX X658 7 KAARTHOUDER: ROTTY CHRISTOFF</t>
  </si>
  <si>
    <t>EUROPESE DOMICILIERING               06-10 SCHULDEISER     : LUMINUS SA REF. SCHULDEISER: 002592808337 MANDAATREFERTE  : 0087006660811 MEDEDELING      : LUMINUS AFREKENING 7074227309</t>
  </si>
  <si>
    <t>EUROPESE DOMICILIERING               06-10 SCHULDEISER     : CHARGEMAP SAS REF. SCHULDEISER: STR16NATA2FOKNZSBYFPHRANAOBOI86NQT MANDAATREFERTE  : YGAYU1XCULZ4UQUA MEDEDELING      : CHARGEMAP</t>
  </si>
  <si>
    <t>TERUGBETALING                        06-10 LENING OP AFBETALING VOLGENS AFLOSSINGSPLAN REFERENTIE 420-6466664-69</t>
  </si>
  <si>
    <t>BETALING VIA BANCONTACT              06-10 03-10-2025 OM 18.23 UUR TICKETSWAP NL1012KL AMSTERDAM MET KBC-DEBETKAART 6703 42XX XXXX X901 0 KAARTHOUDER: ROTTY CHRISTOFF INFO VAN DE HANDELAAR: 74I7LET TICKETSWAP</t>
  </si>
  <si>
    <t>BETALING VIA MAESTRO                 03-10 02-10-2025 OM 15.28 UUR COOP A50 BE GENT MET APPLE PAY 6703 42XX XXXX X901 0 VIRTUEEL KAARTNUMMER CONTACTLOZE BETALING: 6790 28XX XXXX X658 7 KAARTHOUDER: ROTTY CHRISTOFF</t>
  </si>
  <si>
    <t>BETALING VIA MAESTRO                 03-10 02-10-2025 OM 13.56 UUR VALINSOPAY NL NL WIJK EN AALBU MET APPLE PAY 6703 42XX XXXX X901 0 VIRTUEEL KAARTNUMMER CONTACTLOZE BETALING: 6790 28XX XXXX X658 7 KAARTHOUDER: ROTTY CHRISTOFF</t>
  </si>
  <si>
    <t>BETALING VIA MAESTRO                 03-10 02-10-2025 OM 06.25 UUR OVO CHARGE ANYWHERE GB BRISTOL MET APPLE PAY 6703 42XX XXXX X901 0 VIRTUEEL KAARTNUMMER CONTACTLOZE BETALING: 6790 28XX XXXX X658 7 KAARTHOUDER: ROTTY CHRISTOFF</t>
  </si>
  <si>
    <t>EUROPESE DOMICILIERING               03-10 SCHULDEISER     : ACV-CSC REF. SCHULDEISER: 1025 BIJDRAGEN 102025-102025 MANDAATREFERTE  : N00814013 MEDEDELING      : SCOR                   BBA                   081760860769</t>
  </si>
  <si>
    <t>OVERSCHRIJVING VAN                   02-10 BE64 3751 1173 1652 BANKIER OPDRACHTGEVER: BBRUBEBB VVM DE LIJN ALGEMENE REK ATTENTIE ZIEK/OVERL 50 EURO</t>
  </si>
  <si>
    <t>BETALING VIA DEBIT MASTERCARD        02-10 01-10-2025 OM 14.29 UUR CARREFOUR MARKE BE8510 MARKE MET KBC-DEBETKAART 5127 88XX XXXX 8113 KAARTHOUDER: BOMBAERT BRAM</t>
  </si>
  <si>
    <t>BETALING VIA DEBIT MASTERCARD        02-10 01-10-2025 OM 16.46 UUR LIDL 803 KORTRIJK 2 BE8500 KORTRIJK MET APPLE PAY 5127 88XX XXXX 8113 VIRTUEEL KAARTNUMMER CONTACTLOZE BETALING: 5354 00XX XXXX 7841 KAARTHOUDER: BOMBAERT BRAM</t>
  </si>
  <si>
    <t>BETALING VIA BANCONTACT              02-10 02-10-2025 OM 14.36 UUR APOTHEEK ARIE BE8510 MARKE MET KBC-DEBETKAART 5127 88XX XXXX 8113 KAARTHOUDER: BOMBAERT BRAM</t>
  </si>
  <si>
    <t>OVERSCHRIJVING NAAR                  02-10 BE79 3632 2576 6833 BANKIER BEGUNSTIGDE: LASER LINE PAYCONIQ 159E789AD6161275362E2B46 LASER LINE MET PAYCONIQ IN KBC MOBILE</t>
  </si>
  <si>
    <t>BETALING VIA BANCONTACT              02-10 02-10-2025 OM 13.51 UUR PARADISIO GENT BE9000 GENT MET KBC-DEBETKAART 6703 42XX XXXX X901 0 KAARTHOUDER: ROTTY CHRISTOFF</t>
  </si>
  <si>
    <t>BETALING VIA DEBIT MASTERCARD        02-10 30-09-2025 OM 17.40 UUR KORTRIJK KUURNE BE8500 KORTRIJK MET APPLE PAY 5127 88XX XXXX 8113 VIRTUEEL KAARTNUMMER CONTACTLOZE BETALING: 5354 00XX XXXX 8030 KAARTHOUDER: BOMBAERT BRAM</t>
  </si>
  <si>
    <t>BETALING VIA DEBIT MASTERCARD        02-10 30-09-2025 OM 12.25 UUR CARREFOUR MARKE BE8510 MARKE MET APPLE PAY 5127 88XX XXXX 8113 VIRTUEEL KAARTNUMMER CONTACTLOZE BETALING: 5354 00XX XXXX 8030 KAARTHOUDER: BOMBAERT BRAM</t>
  </si>
  <si>
    <t>BETALING VIA MAESTRO                 02-10 01-10-2025 OM 09.05 UUR VALINSOPAY NL NL WIJK EN AALBU MET APPLE PAY 6703 42XX XXXX X901 0 VIRTUEEL KAARTNUMMER CONTACTLOZE BETALING: 6790 28XX XXXX X658 7 KAARTHOUDER: ROTTY CHRISTOFF</t>
  </si>
  <si>
    <t>BETALING VIA DEBIT MASTERCARD        02-10 30-09-2025 OM 14.27 UUR LIDL 803 KORTRIJK 2 BE8500 KORTRIJK MET APPLE PAY 5127 88XX XXXX 8113 VIRTUEEL KAARTNUMMER CONTACTLOZE BETALING: 5354 00XX XXXX 8030 KAARTHOUDER: BOMBAERT BRAM</t>
  </si>
  <si>
    <t>BETALING VIA DEBIT MASTERCARD        02-10 30-09-2025 OM 13.50 UUR JULES M1073 BE8500 KORTRIJK MET KBC-DEBETKAART 5127 88XX XXXX 8113 KAARTHOUDER: BOMBAERT BRAM</t>
  </si>
  <si>
    <t>BETALING VIA DEBIT MASTERCARD        02-10 30-09-2025 OM 17.17 UUR ONLY STORES BELGIUM BE8500 KORTRIJK MET APPLE PAY 5127 88XX XXXX 8113 VIRTUEEL KAARTNUMMER CONTACTLOZE BETALING: 5354 00XX XXXX 8030 KAARTHOUDER: BOMBAERT BRAM</t>
  </si>
  <si>
    <t>BETALING VIA DEBIT MASTERCARD        02-10 30-09-2025 OM 14.04 UUR ACTION 2058 BE8500 KORTRIJK MET APPLE PAY 5127 88XX XXXX 8113 VIRTUEEL KAARTNUMMER CONTACTLOZE BETALING: 5354 00XX XXXX 8030 KAARTHOUDER: BOMBAERT BRAM</t>
  </si>
  <si>
    <t>EUROPESE DOMICILIERING               02-10 SCHULDEISER     : LUMINUS SA REF. SCHULDEISER: 002752813312 MANDAATREFERTE  : 0087006660811 MEDEDELING      : LUMINUS VOORSCHOT 4834249097</t>
  </si>
  <si>
    <t>EUROPESE DOMICILIERING               02-10 SCHULDEISER     : MEDIAHUIS NV - NB REF. SCHULDEISER: K0637607 MANDAATREFERTE  : 101000942759 MEDEDELING      : ABONR. 5862848 : 04/10/25 - 03/11/2 5</t>
  </si>
  <si>
    <t>BETALING VIA BANCONTACT              01-10 01-10-2025 OM 16.39 UUR SPAR KORTRIJK BE8500 KORTRIJK MET KBC-DEBETKAART 5127 88XX XXXX 8113 KAARTHOUDER: BOMBAERT BRAM</t>
  </si>
  <si>
    <t>BETALING VIA BANCONTACT              01-10 01-10-2025 OM 09.35 UUR BERNARD P2P MOBILE MET KBC-DEBETKAART 6703 42XX XXXX X901 0 KAARTHOUDER: ROTTY CHRISTOFF</t>
  </si>
  <si>
    <t>BETALING VIA BANCONTACT              01-10 01-10-2025 OM 08.58 UUR BOL.COM NL3528 BJ UTRECHT MET KBC-DEBETKAART 5127 88XX XXXX 8113 KAARTHOUDER: BOMBAERT BRAM</t>
  </si>
  <si>
    <t>EUROPESE DOMICILIERING               01-10 SCHULDEISER     : DKV BELGIUM REF. SCHULDEISER: 2025263358543901X000000000000001 MANDAATREFERTE  : 358543901/001 MEDEDELING      : 1025-1125 PREMIE</t>
  </si>
  <si>
    <t>EUROPESE DOMICILIERING               01-10 SCHULDEISER     : DKV BELGIUM REF. SCHULDEISER: 2025263345523551X000000000000001 MANDAATREFERTE  : 345523551/002 MEDEDELING      : 1025-1125 PREMIE</t>
  </si>
  <si>
    <t>AUTOMATISCH SPAREN                   01-10 NAAR BE13 7460 4686 9539 AUTOMATISCH SPAREN</t>
  </si>
  <si>
    <t>AUTOMATISCHE BETALING                01-10 FLEX BUDGET 420-6319589-46</t>
  </si>
  <si>
    <t>BETALING VIA DEBIT MASTERCARD        27-10 23-10-2025 OM 14.31 UUR LIDL 803 KORTRIJK 2 BE8500 KORTRIJK MET APPLE PAY 5127 88XX XXXX 8113 VIRTUEEL KAARTNUMMER CONTACTLOZE BETALING: 5354 00XX XXXX 8030 KAARTHOUDER: BOMBAERT BRAM</t>
  </si>
  <si>
    <t>BETALING VIA MAESTRO                 24-10 23-10-2025 OM 13.40 UUR VALINSOPAY NL NL WIJK EN AALBU MET APPLE PAY 6703 42XX XXXX X901 0 VIRTUEEL KAARTNUMMER CONTACTLOZE BETALING: 6790 28XX XXXX X658 7 KAARTHOUDER: ROTTY CHRISTOFF</t>
  </si>
  <si>
    <t>BETALING VIA MAESTRO                 24-10 23-10-2025 OM 09.11 UUR VALINSOPAY NL NL WIJK EN AALBU MET APPLE PAY 6703 42XX XXXX X901 0 VIRTUEEL KAARTNUMMER CONTACTLOZE BETALING: 6790 28XX XXXX X658 7 KAARTHOUDER: ROTTY CHRISTOFF</t>
  </si>
  <si>
    <t>BETALING VIA MAESTRO                 24-10 23-10-2025 OM 11.56 UUR VALINSOPAY NL NL WIJK EN AALBU MET APPLE PAY 6703 42XX XXXX X901 0 VIRTUEEL KAARTNUMMER CONTACTLOZE BETALING: 6790 28XX XXXX X658 7 KAARTHOUDER: ROTTY CHRISTOFF</t>
  </si>
  <si>
    <t>BETALING VIA MAESTRO                 24-10 22-10-2025 OM 10.05 UUR VALINSOPAY NL NL WIJK EN AALBU MET APPLE PAY 6703 42XX XXXX X901 0 VIRTUEEL KAARTNUMMER CONTACTLOZE BETALING: 6790 28XX XXXX X005 7 KAARTHOUDER: ROTTY CHRISTOFF</t>
  </si>
  <si>
    <t>BETALING VIA MAESTRO                 24-10 22-10-2025 OM 14.35 UUR VALINSOPAY NL NL WIJK EN AALBU MET APPLE PAY 6703 42XX XXXX X901 0 VIRTUEEL KAARTNUMMER CONTACTLOZE BETALING: 6790 28XX XXXX X005 7 KAARTHOUDER: ROTTY CHRISTOFF</t>
  </si>
  <si>
    <t>BETALING VIA MAESTRO                 24-10 22-10-2025 OM 12.06 UUR VALINSOPAY NL NL WIJK EN AALBU MET APPLE PAY 6703 42XX XXXX X901 0 VIRTUEEL KAARTNUMMER CONTACTLOZE BETALING: 6790 28XX XXXX X658 7 KAARTHOUDER: ROTTY CHRISTOFF</t>
  </si>
  <si>
    <t>EUROPESE DOMICILIERING               24-10 SCHULDEISER     : AXA REF. SCHULDEISER: 20251018011531488587011998 MANDAATREFERTE  : 010624258692001 MEDEDELING      : 0106242586921042025-10-242025100000 0010624258692</t>
  </si>
  <si>
    <t>EUROPESE DOMICILIERING               24-10 SCHULDEISER     : KLASSE VIA MOLLIE REF. SCHULDEISER: SD18-0689-4254-4733 FEITEL. BEGUNST.: STICHTING MOLLIE PAYMENTS MANDAATREFERTE  : MD15-6737-8947-1023 MEDEDELING      : ABONNEMENT KLASSE MAGAZINE (ABONNEE NR. 72846087)</t>
  </si>
  <si>
    <t>BETALING VIA BANCONTACT              23-10 23-10-2025 OM 13.56 UUR LIEN P2P MOBILE MET KBC-DEBETKAART 5127 88XX XXXX 8113 KAARTHOUDER: BOMBAERT BRAM</t>
  </si>
  <si>
    <t>BETALING VIA DEBIT MASTERCARD        23-10 22-10-2025 OM 13.41 UUR LIDL 803 KORTRIJK 2 BE8500 KORTRIJK MET APPLE PAY 5127 88XX XXXX 8113 VIRTUEEL KAARTNUMMER CONTACTLOZE BETALING: 5354 00XX XXXX 8030 KAARTHOUDER: BOMBAERT BRAM</t>
  </si>
  <si>
    <t>BETALING VIA DEBIT MASTERCARD        23-10 22-10-2025 OM 13.52 UUR CARREFOUR MARKE BE8510 MARKE MET APPLE PAY 5127 88XX XXXX 8113 VIRTUEEL KAARTNUMMER CONTACTLOZE BETALING: 5354 00XX XXXX 8030 KAARTHOUDER: BOMBAERT BRAM</t>
  </si>
  <si>
    <t>BETALING VIA DEBIT MASTERCARD        23-10 22-10-2025 OM 13.30 UUR CCV*P SCHOUWBURG BE8500 KORTRIJK MET APPLE PAY 5127 88XX XXXX 8113 VIRTUEEL KAARTNUMMER CONTACTLOZE BETALING: 5354 00XX XXXX 8030 KAARTHOUDER: BOMBAERT BRAM</t>
  </si>
  <si>
    <t>BETALING VIA DEBIT MASTERCARD        23-10 22-10-2025 OM 13.22 UUR JULES M1073 BE8500 KORTRIJK MET APPLE PAY 5127 88XX XXXX 8113 VIRTUEEL KAARTNUMMER CONTACTLOZE BETALING: 5354 00XX XXXX 8030 KAARTHOUDER: BOMBAERT BRAM</t>
  </si>
  <si>
    <t>BETALING VIA DEBIT MASTERCARD        23-10 22-10-2025 OM 13.03 UUR ACTION 2058 BE8500 KORTRIJK MET APPLE PAY 5127 88XX XXXX 8113 VIRTUEEL KAARTNUMMER CONTACTLOZE BETALING: 5354 00XX XXXX 8030 KAARTHOUDER: BOMBAERT BRAM</t>
  </si>
  <si>
    <t>BETALING VIA DEBIT MASTERCARD        22-10 21-10-2025 OM 15.25 UUR CARREFOUR MARKE BE8510 MARKE MET APPLE PAY 5127 88XX XXXX 8113 VIRTUEEL KAARTNUMMER CONTACTLOZE BETALING: 5354 00XX XXXX 6677 KAARTHOUDER: BOMBAERT BRAM</t>
  </si>
  <si>
    <t>BETALING VIA DEBIT MASTERCARD        22-10 21-10-2025 OM 12.25 UUR CARREFOUR MARKE BE8510 MARKE MET APPLE PAY 5127 88XX XXXX 8113 VIRTUEEL KAARTNUMMER CONTACTLOZE BETALING: 5354 00XX XXXX 8030 KAARTHOUDER: BOMBAERT BRAM</t>
  </si>
  <si>
    <t>BETALING VIA BANCONTACT              22-10 22-10-2025 OM 12.14 UUR LUCIE P2P MOBILE MET KBC-DEBETKAART 6703 42XX XXXX X901 0 KAARTHOUDER: ROTTY CHRISTOFF</t>
  </si>
  <si>
    <t>INSTANTOVERSCHRIJVING VAN            22-10 BE19 4468 6772 0112 BANKIER OPDRACHTGEVER: KREDBEBBXXX BOMBAERT-VAN ESCH J &amp; M KOEKEN OM 11.25 UUR</t>
  </si>
  <si>
    <t>BETALING VIA DEBIT MASTERCARD        22-10 18-10-2025 OM 18.04 UUR ZEB WETTEREN BE9230 WETTEREN MET APPLE PAY 5127 88XX XXXX 8113 VIRTUEEL KAARTNUMMER CONTACTLOZE BETALING: 5354 00XX XXXX 8030 KAARTHOUDER: BOMBAERT BRAM</t>
  </si>
  <si>
    <t>BETALING VIA MAESTRO                 22-10 21-10-2025 OM 09.59 UUR VALINSOPAY NL NL WIJK EN AALBU MET APPLE PAY 6703 42XX XXXX X901 0 VIRTUEEL KAARTNUMMER CONTACTLOZE BETALING: 6790 28XX XXXX X005 7 KAARTHOUDER: ROTTY CHRISTOFF</t>
  </si>
  <si>
    <t>BETALING VIA MAESTRO                 22-10 21-10-2025 OM 12.19 UUR VALINSOPAY NL NL WIJK EN AALBU MET APPLE PAY 6703 42XX XXXX X901 0 VIRTUEEL KAARTNUMMER CONTACTLOZE BETALING: 6790 28XX XXXX X005 7 KAARTHOUDER: ROTTY CHRISTOFF</t>
  </si>
  <si>
    <t>EUROPESE DOMICILIERING               22-10 SCHULDEISER     : AXA REF. SCHULDEISER: 20251016010914482762008057 MANDAATREFERTE  : 010817143526001 MEDEDELING      : 0108171435261042025-10-222025100000 0010817143526</t>
  </si>
  <si>
    <t>BETALING VIA BANCONTACT              22-10 21-10-2025 OM 21.16 UUR ORANGE BRUXELLES BE1140 BRUSSEL MET KBC-DEBETKAART 6703 42XX XXXX X901 0 KAARTHOUDER: ROTTY CHRISTOFF</t>
  </si>
  <si>
    <t>BETALING VIA DEBIT MASTERCARD        22-10 21-10-2025 OM 05.04 UUR OVO CHARGE ANYWHERE GBBS1 6ED BRISTOL MET APPLE PAY 5127 88XX XXXX 8113 VIRTUEEL KAARTNUMMER CONTACTLOZE BETALING: 5354 00XX XXXX 6677 KAARTHOUDER: BOMBAERT BRAM</t>
  </si>
  <si>
    <t>BETALING VIA DEBIT MASTERCARD        22-10 20-10-2025 OM 16.34 UUR LIDL 803 KORTRIJK 2 BE8500 KORTRIJK MET APPLE PAY 5127 88XX XXXX 8113 VIRTUEEL KAARTNUMMER CONTACTLOZE BETALING: 5354 00XX XXXX 6677 KAARTHOUDER: BOMBAERT BRAM</t>
  </si>
  <si>
    <t>BETALING VIA DEBIT MASTERCARD        22-10 20-10-2025 OM 18.05 UUR IKEA GENT-STORE BE9051 SINT-DENIJS-W MET APPLE PAY 5127 88XX XXXX 8113 VIRTUEEL KAARTNUMMER CONTACTLOZE BETALING: 5354 00XX XXXX 8030 KAARTHOUDER: BOMBAERT BRAM</t>
  </si>
  <si>
    <t>BETALING VIA MAESTRO                 21-10 20-10-2025 OM 08.55 UUR Q8 108131 GENTBRUGGE V BE GENTBRUGGE MET APPLE PAY 6703 42XX XXXX X901 0 VIRTUEEL KAARTNUMMER CONTACTLOZE BETALING: 6790 28XX XXXX X658 7 KAARTHOUDER: ROTTY CHRISTOFF</t>
  </si>
  <si>
    <t>BETALING VIA DEBIT MASTERCARD        21-10 20-10-2025 OM 16.21 UUR CCV*P SCHOUWBURG BE8500 KORTRIJK MET APPLE PAY 5127 88XX XXXX 8113 VIRTUEEL KAARTNUMMER CONTACTLOZE BETALING: 5354 00XX XXXX 8030 KAARTHOUDER: BOMBAERT BRAM</t>
  </si>
  <si>
    <t>BETALING VIA DEBIT MASTERCARD        21-10 20-10-2025 OM 16.13 UUR JULES M1073 BE8500 KORTRIJK MET APPLE PAY 5127 88XX XXXX 8113 VIRTUEEL KAARTNUMMER CONTACTLOZE BETALING: 5354 00XX XXXX 8030 KAARTHOUDER: BOMBAERT BRAM</t>
  </si>
  <si>
    <t>BETALING VIA MAESTRO                 21-10 20-10-2025 OM 12.55 UUR VALINSOPAY NL NL WIJK EN AALBU MET APPLE PAY 6703 42XX XXXX X901 0 VIRTUEEL KAARTNUMMER CONTACTLOZE BETALING: 6790 28XX XXXX X658 7 KAARTHOUDER: ROTTY CHRISTOFF</t>
  </si>
  <si>
    <t>BETALING VIA MAESTRO                 21-10 20-10-2025 OM 17.00 UUR VALINSOPAY NL NL WIJK EN AALBU MET APPLE PAY 6703 42XX XXXX X901 0 VIRTUEEL KAARTNUMMER CONTACTLOZE BETALING: 6790 28XX XXXX X005 7 KAARTHOUDER: ROTTY CHRISTOFF</t>
  </si>
  <si>
    <t>OVERSCHRIJVING VAN                   21-10 FR52 2193 3000 01DF 415E 7VNE 419 BANKIER OPDRACHTGEVER: MPAYFRP1XXX MANGOPAY VINTED REFERENTIE: 1F3718EA34B748B2BAD477522239DCE1</t>
  </si>
  <si>
    <t>BETALING VIA BANCONTACT              21-10 21-10-2025 OM 06.48 UUR MIJN.HOST NL1066JR AMSTERDAM MET KBC-DEBETKAART 6703 42XX XXXX X901 0 KAARTHOUDER: ROTTY CHRISTOFF INFO VAN DE HANDELAAR: 74RALOG MIJN.HOST FACTUURNR. 2</t>
  </si>
  <si>
    <t>BETALING VIA DEBIT MASTERCARD        21-10 20-10-2025 OM 05.02 UUR OVO CHARGE ANYWHERE GBBS1 6ED BRISTOL MET APPLE PAY 5127 88XX XXXX 8113 VIRTUEEL KAARTNUMMER CONTACTLOZE BETALING: 5354 00XX XXXX 6677 KAARTHOUDER: BOMBAERT BRAM</t>
  </si>
  <si>
    <t>BETALING VIA DEBIT MASTERCARD        20-10 19-10-2025 OM 12.14 UUR CARREFOUR MARKE BE8510 MARKE MET APPLE PAY 5127 88XX XXXX 8113 VIRTUEEL KAARTNUMMER CONTACTLOZE BETALING: 5354 00XX XXXX 6677 KAARTHOUDER: BOMBAERT BRAM</t>
  </si>
  <si>
    <t>BETALING VIA BANCONTACT              20-10 20-10-2025 OM 16.17 UUR VIVA SARA SHOP BE8500 KORTRIJK MET KBC-DEBETKAART 5127 88XX XXXX 8113 KAARTHOUDER: BOMBAERT BRAM</t>
  </si>
  <si>
    <t>BETALING VIA BANCONTACT              20-10 20-10-2025 OM 10.12 UUR TICKET.MONSTER BE8860 LENDELEDE MET KBC-DEBETKAART 6703 42XX XXXX X901 0 KAARTHOUDER: ROTTY CHRISTOFF INFO VAN DE HANDELAAR: 74QUOKR CHECKOUT ID: 68F5FC44B</t>
  </si>
  <si>
    <t>BETALING VIA MAESTRO                 20-10 17-10-2025 OM 13.56 UUR VALINSOPAY NL NL WIJK EN AALBU MET APPLE PAY 6703 42XX XXXX X901 0 VIRTUEEL KAARTNUMMER CONTACTLOZE BETALING: 6790 28XX XXXX X005 7 KAARTHOUDER: ROTTY CHRISTOFF</t>
  </si>
  <si>
    <t>BETALING VIA MAESTRO                 20-10 17-10-2025 OM 17.35 UUR LS SPARKX GENT BE SINT-DENIJS W MET APPLE PAY 6703 42XX XXXX X901 0 VIRTUEEL KAARTNUMMER CONTACTLOZE BETALING: 6790 28XX XXXX X658 7 KAARTHOUDER: ROTTY CHRISTOFF</t>
  </si>
  <si>
    <t>BETALING VIA MAESTRO                 20-10 17-10-2025 OM 17.09 UUR LS SPARKX GENT BE SINT-DENIJS W MET APPLE PAY 6703 42XX XXXX X901 0 VIRTUEEL KAARTNUMMER CONTACTLOZE BETALING: 6790 28XX XXXX X658 7 KAARTHOUDER: ROTTY CHRISTOFF</t>
  </si>
  <si>
    <t>EUROPESE DOMICILIERING               20-10 SCHULDEISER     : CARDIF -ASSURANCE VIE REF. SCHULDEISER: RF70250548428578244518466 MANDAATREFERTE  : CARDIF-8742994/01 MEDEDELING      : SCOR                   ISO                   RF70250548428578244518466</t>
  </si>
  <si>
    <t>BETALING VIA DEBIT MASTERCARD        20-10 19-10-2025 OM 11.36 UUR COOLBLUE N.V. BE2600 BERCHEM MET APPLE PAY 5127 88XX XXXX 8113 VIRTUEEL KAARTNUMMER CONTACTLOZE BETALING: 5354 00XX XXXX 6677 KAARTHOUDER: BOMBAERT BRAM</t>
  </si>
  <si>
    <t>BETALING VIA DEBIT MASTERCARD        20-10 18-10-2025 OM 11.44 UUR LIDL 803 KORTRIJK 2 BE8500 KORTRIJK MET APPLE PAY 5127 88XX XXXX 8113 VIRTUEEL KAARTNUMMER CONTACTLOZE BETALING: 5354 00XX XXXX 8030 KAARTHOUDER: BOMBAERT BRAM</t>
  </si>
  <si>
    <t>BETALING VIA DEBIT MASTERCARD        20-10 18-10-2025 OM 10.18 UUR OVO CHARGE ANYWHERE GBBS1 6ED BRISTOL MET APPLE PAY 5127 88XX XXXX 8113 VIRTUEEL KAARTNUMMER CONTACTLOZE BETALING: 5354 00XX XXXX 6677 KAARTHOUDER: BOMBAERT BRAM</t>
  </si>
  <si>
    <t>BETALING VIA DEBIT MASTERCARD        20-10 18-10-2025 OM 04.06 UUR OVO CHARGE ANYWHERE GBBS1 6ED BRISTOL MET APPLE PAY 5127 88XX XXXX 8113 VIRTUEEL KAARTNUMMER CONTACTLOZE BETALING: 5354 00XX XXXX 6677 KAARTHOUDER: BOMBAERT BRAM</t>
  </si>
  <si>
    <t>INSTANTOVERSCHRIJVING VAN            18-10 BE19 4468 6772 0112 BANKIER OPDRACHTGEVER: KREDBEBBXXX BOMBAERT-VAN ESCH J &amp; M OM 18.19 UUR</t>
  </si>
  <si>
    <t>BETALING VIA BANCONTACT              20-10 18-10-2025 OM 17.01 UUR CORPORATE BENEFITS BEN BE3500 HASSELT MET KBC-DEBETKAART 5127 88XX XXXX 8113 KAARTHOUDER: BOMBAERT BRAM INFO VAN DE HANDELAAR: 74Q30V9 E-BENELUX-25-1124536</t>
  </si>
  <si>
    <t>BETALING VIA BANCONTACT              20-10 18-10-2025 OM 16.04 UUR OIL &amp; VINEGAR AALST BE9300 AALST MET KBC-DEBETKAART 5127 88XX XXXX 8113 KAARTHOUDER: BOMBAERT BRAM</t>
  </si>
  <si>
    <t>BETALING VIA BANCONTACT              20-10 18-10-2025 OM 12.34 UUR BOL.COM NL3528 BJ UTRECHT MET KBC-DEBETKAART 5127 88XX XXXX 8113 KAARTHOUDER: BOMBAERT BRAM</t>
  </si>
  <si>
    <t>BETALING VIA BANCONTACT              20-10 18-10-2025 OM 11.24 UUR ALBION SPEEL MET FANTA BE8500 KORTRIJK MET KBC-DEBETKAART 5127 88XX XXXX 8113 KAARTHOUDER: BOMBAERT BRAM</t>
  </si>
  <si>
    <t>BETALING VIA BANCONTACT              20-10 18-10-2025 OM 09.16 UUR S2P VALVE IT20143 MILAN MET KBC-DEBETKAART 6703 42XX XXXX X901 0 KAARTHOUDER: ROTTY CHRISTOFF</t>
  </si>
  <si>
    <t>BETALING VIA DEBIT MASTERCARD        17-10 16-10-2025 OM 15.12 UUR CARREFOUR MARKE BE8510 MARKE MET KBC-DEBETKAART 5127 88XX XXXX 8113 KAARTHOUDER: BOMBAERT BRAM</t>
  </si>
  <si>
    <t>BETALING VIA DEBIT MASTERCARD        17-10 16-10-2025 OM 12.37 UUR TOM&amp;CO KORTRIJK BE8500 KORTRIJK MET APPLE PAY 5127 88XX XXXX 8113 VIRTUEEL KAARTNUMMER CONTACTLOZE BETALING: 5354 00XX XXXX 8030 KAARTHOUDER: BOMBAERT BRAM</t>
  </si>
  <si>
    <t>BETALING VIA DEBIT MASTERCARD        17-10 16-10-2025 OM 12.26 UUR LIDL 803 KORTRIJK 2 BE8500 KORTRIJK MET APPLE PAY 5127 88XX XXXX 8113 VIRTUEEL KAARTNUMMER CONTACTLOZE BETALING: 5354 00XX XXXX 8030 KAARTHOUDER: BOMBAERT BRAM</t>
  </si>
  <si>
    <t>BETALING VIA MAESTRO                 17-10 16-10-2025 OM 12.48 UUR FACILITAIR BEDRI BE BRUSSSEL MET KBC-DEBETKAART 6703 42XX XXXX X901 0 KAARTHOUDER: ROTTY CHRISTOFF</t>
  </si>
  <si>
    <t>BETALING VIA MAESTRO                 17-10 16-10-2025 OM 17.46 UUR CARREFOUR MARKE BE MARKE MET APPLE PAY 6703 42XX XXXX X901 0 VIRTUEEL KAARTNUMMER CONTACTLOZE BETALING: 6790 28XX XXXX X658 7 KAARTHOUDER: ROTTY CHRISTOFF</t>
  </si>
  <si>
    <t>STORTING AUTOMAAT                    17-10 BC KONINGIN MARIA H       GENT MET KBC-DEBETKAART 6703 42XX XXXX X901 0 KAARTHOUDER ROTTY CHRISTOFF REFERTE 000401853024832510170828</t>
  </si>
  <si>
    <t>BETALING VIA DEBIT MASTERCARD        16-10 14-10-2025 OM 15.20 UUR CCV*DIERENARTSENPRAKTI BE8500 KORTRIJK MET APPLE PAY 5127 88XX XXXX 8113 VIRTUEEL KAARTNUMMER CONTACTLOZE BETALING: 5354 00XX XXXX 8030 KAARTHOUDER: BOMBAERT BRAM</t>
  </si>
  <si>
    <t>BETALING VIA DEBIT MASTERCARD        16-10 15-10-2025 OM 11.37 UUR LIDL 803 KORTRIJK 2 BE8500 KORTRIJK MET APPLE PAY 5127 88XX XXXX 8113 VIRTUEEL KAARTNUMMER CONTACTLOZE BETALING: 5354 00XX XXXX 8030 KAARTHOUDER: BOMBAERT BRAM</t>
  </si>
  <si>
    <t>BETALING VIA MAESTRO                 16-10 15-10-2025 OM 12.25 UUR VALINSOPAY NL NL WIJK EN AALBU MET APPLE PAY 6703 42XX XXXX X901 0 VIRTUEEL KAARTNUMMER CONTACTLOZE BETALING: 6790 28XX XXXX X658 7 KAARTHOUDER: ROTTY CHRISTOFF</t>
  </si>
  <si>
    <t>BETALING VIA MAESTRO                 16-10 15-10-2025 OM 13.34 UUR VALINSOPAY NL NL WIJK EN AALBU MET APPLE PAY 6703 42XX XXXX X901 0 VIRTUEEL KAARTNUMMER CONTACTLOZE BETALING: 6790 28XX XXXX X658 7 KAARTHOUDER: ROTTY CHRISTOFF</t>
  </si>
  <si>
    <t>BETALING VIA DEBIT MASTERCARD        16-10 14-10-2025 OM 12.37 UUR LIDL 803 KORTRIJK 2 BE8500 KORTRIJK MET APPLE PAY 5127 88XX XXXX 8113 VIRTUEEL KAARTNUMMER CONTACTLOZE BETALING: 5354 00XX XXXX 8030 KAARTHOUDER: BOMBAERT BRAM</t>
  </si>
  <si>
    <t>BETALING VIA DEBIT MASTERCARD        16-10 15-10-2025 OM 09.54 UUR OVO CHARGE ANYWHERE GBBS1 6ED BRISTOL MET APPLE PAY 5127 88XX XXXX 8113 VIRTUEEL KAARTNUMMER CONTACTLOZE BETALING: 5354 00XX XXXX 6677 KAARTHOUDER: BOMBAERT BRAM</t>
  </si>
  <si>
    <t>EUROPESE DOMICILIERING               16-10 SCHULDEISER     : BALOISE BELGIUM NV REF. SCHULDEISER: 0000000000000024508879963 MANDAATREFERTE  : 202025682289 MEDEDELING      : POL.1A02635 VERV.10/10/25 9845</t>
  </si>
  <si>
    <t>EUROPESE DOMICILIERING               16-10 SCHULDEISER     : BALOISE BELGIUM NV REF. SCHULDEISER: 0000000000000024512297393 MANDAATREFERTE  : 202025687747 MEDEDELING      : POL.1B57806 VERV.10/10/25 9845</t>
  </si>
  <si>
    <t>BETALING VIA MAESTRO                 15-10 14-10-2025 OM 15.03 UUR VAC GENT BE GENT MET APPLE PAY 6703 42XX XXXX X901 0 VIRTUEEL KAARTNUMMER CONTACTLOZE BETALING: 6790 28XX XXXX X658 7 KAARTHOUDER: ROTTY CHRISTOFF</t>
  </si>
  <si>
    <t>BETALING VIA MAESTRO                 15-10 14-10-2025 OM 12.50 UUR VAC GENT BE GENT MET APPLE PAY 6703 42XX XXXX X901 0 VIRTUEEL KAARTNUMMER CONTACTLOZE BETALING: 6790 28XX XXXX X658 7 KAARTHOUDER: ROTTY CHRISTOFF</t>
  </si>
  <si>
    <t>BETALING VIA MAESTRO                 15-10 14-10-2025 OM 12.27 UUR VAC GENT BE GENT MET APPLE PAY 6703 42XX XXXX X901 0 VIRTUEEL KAARTNUMMER CONTACTLOZE BETALING: 6790 28XX XXXX X658 7 KAARTHOUDER: ROTTY CHRISTOFF</t>
  </si>
  <si>
    <t>BETALING VIA DEBIT MASTERCARD        15-10 14-10-2025 OM 05.00 UUR OVO CHARGE ANYWHERE GBBS1 6ED BRISTOL MET APPLE PAY 5127 88XX XXXX 8113 VIRTUEEL KAARTNUMMER CONTACTLOZE BETALING: 5354 00XX XXXX 6677 KAARTHOUDER: BOMBAERT BRAM</t>
  </si>
  <si>
    <t>BETALING VIA DEBIT MASTERCARD        15-10 14-10-2025 OM 12.16 UUR ACTION 2009 BE8560 WEVELGEM MET APPLE PAY 5127 88XX XXXX 8113 VIRTUEEL KAARTNUMMER CONTACTLOZE BETALING: 5354 00XX XXXX 8030 KAARTHOUDER: BOMBAERT BRAM</t>
  </si>
  <si>
    <t>EUROPESE DOMICILIERING               15-10 SCHULDEISER     : DIGI COMMUNICATIONS BELGIUM NV REF. SCHULDEISER: 000009716467-822153 MANDAATREFERTE  : 1D574ED99E164823 MEDEDELING      : DIGI FACTUUR - OKTOBER 2025</t>
  </si>
  <si>
    <t>INSTANTOVERSCHRIJVING VAN            14-10 BE93 7440 8311 7067 BANKIER OPDRACHTGEVER: KREDBEBBXXX ROTTY C. - BOMBAERT B. OM 14.46 UUR</t>
  </si>
  <si>
    <t>BETALING VIA DEBIT MASTERCARD        27-10 24-10-2025 OM 19.21 UUR RIBS 'N BEER BE8500 KORTRIJK MET APPLE PAY 5127 88XX XXXX 8113 VIRTUEEL KAARTNUMMER CONTACTLOZE BETALING: 5354 00XX XXXX 8030 KAARTHOUDER: BOMBAERT BRAM</t>
  </si>
  <si>
    <t>BETALING VIA DEBIT MASTERCARD        27-10 24-10-2025 OM 19.33 UUR KORTRIJK P1 BE8500 KORTRIJK MET APPLE PAY 5127 88XX XXXX 8113 VIRTUEEL KAARTNUMMER CONTACTLOZE BETALING: 5354 00XX XXXX 8030 KAARTHOUDER: BOMBAERT BRAM</t>
  </si>
  <si>
    <t>BETALING VIA DEBIT MASTERCARD        27-10 24-10-2025 OM 17.48 UUR SPAR KORTRIJK BE8500 KORTRIJK MET APPLE PAY 5127 88XX XXXX 8113 VIRTUEEL KAARTNUMMER CONTACTLOZE BETALING: 5354 00XX XXXX 8030 KAARTHOUDER: BOMBAERT BRAM</t>
  </si>
  <si>
    <t>BETALING VIA BANCONTACT              27-10 25-10-2025 OM 09.33 UUR VERLINDE LAUREN BE8510 MARKE MET KBC-DEBETKAART 5127 88XX XXXX 8113 KAARTHOUDER: BOMBAERT BRAM</t>
  </si>
  <si>
    <t>kbc</t>
  </si>
  <si>
    <t>BIJDRAGE 01-10-2025 - 31-10-2025     31-10 KBC-PLUSREKENING</t>
  </si>
  <si>
    <t>BETALING VIA DEBIT MASTERCARD        03-11 31-10-2025 OM 04.10 UUR MS* THEOSTENDIAN BE8400 OOSTENDE MET APPLE PAY 5127 88XX XXXX 8113 VIRTUEEL KAARTNUMMER CONTACTLOZE BETALING: 5354 00XX XXXX 8030 KAARTHOUDER: BOMBAERT BRAM</t>
  </si>
  <si>
    <t>BETALING VIA DEBIT MASTERCARD        31-10 30-10-2025 OM 18.54 UUR MANO (40) OOSTENDE BE8400 OOSTENDE MET APPLE PAY 5127 88XX XXXX 8113 VIRTUEEL KAARTNUMMER CONTACTLOZE BETALING: 5354 00XX XXXX 8030 KAARTHOUDER: BOMBAERT BRAM</t>
  </si>
  <si>
    <t>BETALING VIA DEBIT MASTERCARD        31-10 30-10-2025 OM 14.20 UUR VERITAS 128 OOSTENDE BE8400 OOSTENDE MET APPLE PAY 5127 88XX XXXX 8113 VIRTUEEL KAARTNUMMER CONTACTLOZE BETALING: 5354 00XX XXXX 8030 KAARTHOUDER: BOMBAERT BRAM</t>
  </si>
  <si>
    <t>BETALING VIA DEBIT MASTERCARD        31-10 30-10-2025 OM 21.41 UUR JUNEA GROUP B.V. NL3447GK 003185130571 MET APPLE PAY 5127 88XX XXXX 8113 VIRTUEEL KAARTNUMMER CONTACTLOZE BETALING: 5354 00XX XXXX 6677 KAARTHOUDER: BOMBAERT BRAM</t>
  </si>
  <si>
    <t>BETALING VIA BANCONTACT              31-10 31-10-2025 OM 14.53 UUR APOTHEEK ARIE BE8510 MARKE MET KBC-DEBETKAART 5127 88XX XXXX 8113 KAARTHOUDER: BOMBAERT BRAM</t>
  </si>
  <si>
    <t>BETALING VIA MAESTRO                 31-10 30-10-2025 OM 18.23 UUR PAY*ACHIEL PRIMEURS BE OOSTENDE MET APPLE PAY 6703 42XX XXXX X901 0 VIRTUEEL KAARTNUMMER CONTACTLOZE BETALING: 6790 28XX XXXX X658 7 KAARTHOUDER: ROTTY CHRISTOFF</t>
  </si>
  <si>
    <t>BETALING VIA DEBIT MASTERCARD        31-10 30-10-2025 OM 19.06 UUR HAWAIIAN POKE BOWL BE8400 OOSTENDE MET APPLE PAY 5127 88XX XXXX 8113 VIRTUEEL KAARTNUMMER CONTACTLOZE BETALING: 5354 00XX XXXX 8030 KAARTHOUDER: BOMBAERT BRAM</t>
  </si>
  <si>
    <t>BETALING VIA BANCONTACT              31-10 31-10-2025 OM 11.08 UUR STRONG LIFE BE8400 OOSTENDE MET KBC-DEBETKAART 5127 88XX XXXX 8113 KAARTHOUDER: BOMBAERT BRAM</t>
  </si>
  <si>
    <t>BETALING VIA DEBIT MASTERCARD        31-10 30-10-2025 OM 13.10 UUR VILLA BORGHESE BE8400 OOSTENDE MET APPLE PAY 5127 88XX XXXX 8113 VIRTUEEL KAARTNUMMER CONTACTLOZE BETALING: 5354 00XX XXXX 8030 KAARTHOUDER: BOMBAERT BRAM</t>
  </si>
  <si>
    <t>OVERSCHRIJVING VAN                   31-10 BE57 3751 1109 9435 BANKIER OPDRACHTGEVER: BBRUBEBB OV HULPREKENING /A/E002419 - 19303221177-118257-311 BETALING-10/2025- -- REFERENTIE: 251001-002419-/A/E002419</t>
  </si>
  <si>
    <t>BETALING VIA MAESTRO                 31-10 30-10-2025 OM 21.39 UUR LS THE OSTENDIAN BE OOSTENDE MET APPLE PAY 6703 42XX XXXX X901 0 VIRTUEEL KAARTNUMMER CONTACTLOZE BETALING: 6790 28XX XXXX X658 7 KAARTHOUDER: ROTTY CHRISTOFF</t>
  </si>
  <si>
    <t>BETALING VIA MAESTRO                 31-10 30-10-2025 OM 15.19 UUR PATISSERIE CARUSO BE OOSTENDE MET APPLE PAY 6703 42XX XXXX X901 0 VIRTUEEL KAARTNUMMER CONTACTLOZE BETALING: 6790 28XX XXXX X658 7 KAARTHOUDER: ROTTY CHRISTOFF</t>
  </si>
  <si>
    <t>EUROPESE DOMICILIERING               31-10 SCHULDEISER     : KBC VERZEKERINGEN REF. SCHULDEISER: 392145373913 MANDAATREFERTE  : L00194638787V0001 EIGEN OMSCHR.   : HOSPITALISATIEVERZEKERING MEDEDELING      : POL.54467509 31/10/2025-30/11/2025 HOSPITALISATIEVERZEKERING</t>
  </si>
  <si>
    <t>EUROPESE DOMICILIERING               31-10 SCHULDEISER     : LUMINUS SA REF. SCHULDEISER: 002032801497 MANDAATREFERTE  : 0087006660811 MEDEDELING      : LUMINUS AFREKENING 6368034876</t>
  </si>
  <si>
    <t>BETALING VIA BANCONTACT              31-10 30-10-2025 OM 18.01 UUR DE LAET GINO BE2160 WOMMELGEM MET KBC-DEBETKAART 5127 88XX XXXX 8113 KAARTHOUDER: BOMBAERT BRAM</t>
  </si>
  <si>
    <t>BETALING VIA DEBIT MASTERCARD        31-10 30-10-2025 OM 04.30 UUR OVO CHARGE ANYWHERE GBBS1 6ED BRISTOL MET APPLE PAY 5127 88XX XXXX 8113 VIRTUEEL KAARTNUMMER CONTACTLOZE BETALING: 5354 00XX XXXX 6677 KAARTHOUDER: BOMBAERT BRAM</t>
  </si>
  <si>
    <t>BETALING VIA DEBIT MASTERCARD        31-10 29-10-2025 OM 17.04 UUR MOLECULE BE8570 VICHTE MET APPLE PAY 5127 88XX XXXX 8113 VIRTUEEL KAARTNUMMER CONTACTLOZE BETALING: 5354 00XX XXXX 8030 KAARTHOUDER: BOMBAERT BRAM</t>
  </si>
  <si>
    <t>BETALING VIA DEBIT MASTERCARD        30-10 29-10-2025 OM 10.54 UUR LIDL 803 KORTRIJK 2 BE8500 KORTRIJK MET APPLE PAY 5127 88XX XXXX 8113 VIRTUEEL KAARTNUMMER CONTACTLOZE BETALING: 5354 00XX XXXX 6677 KAARTHOUDER: BOMBAERT BRAM</t>
  </si>
  <si>
    <t>BETALING VIA BANCONTACT              30-10 30-10-2025 OM 14.49 UUR AMZN MKTP BE LU1855 LUXEMBOURG MET KBC-DEBETKAART 5127 88XX XXXX 8113 KAARTHOUDER: BOMBAERT BRAM INFO VAN DE HANDELAAR: 74W4QD2 WWW.AMAZON.COM.BE</t>
  </si>
  <si>
    <t>BETALING VIA DEBIT MASTERCARD        30-10 29-10-2025 OM 07.56 UUR OVO CHARGE ANYWHERE GBBS1 6ED BRISTOL MET APPLE PAY 5127 88XX XXXX 8113 VIRTUEEL KAARTNUMMER CONTACTLOZE BETALING: 5354 00XX XXXX 6677 KAARTHOUDER: BOMBAERT BRAM</t>
  </si>
  <si>
    <t>EUROPESE DOMICILIERING               30-10 SCHULDEISER     : ORANGE REF. SCHULDEISER: A68RQNTC MANDAATREFERTE  : 7808001 MEDEDELING      : SCOR                   BBA                   112474378775</t>
  </si>
  <si>
    <t>EUROPESE DOMICILIERING               30-10 SCHULDEISER     : TELENET BV REF. SCHULDEISER: 115343185311464918136 MANDAATREFERTE  : 001285135 MEDEDELING      : ACCOUNT: 115343185 REF : 3114649181 36</t>
  </si>
  <si>
    <t>BETALING LEASING                     30-10 0001/0001/BE/2503346221</t>
  </si>
  <si>
    <t>OVERSCHRIJVING VAN                   30-10 BE64 3751 1173 1652 BANKIER OPDRACHTGEVER: BBRUBEBB VVM DE LIJN ALGEMENE REK /A/ 29076 LOON VVM 10/2025</t>
  </si>
  <si>
    <t>BETALING VIA DEBIT MASTERCARD        29-10 28-10-2025 OM 15.37 UUR AU POISSON D'OR BE07700 MOUSCRON MET KBC-DEBETKAART 5127 88XX XXXX 8113 KAARTHOUDER: BOMBAERT BRAM</t>
  </si>
  <si>
    <t>BETALING VIA DEBIT MASTERCARD        29-10 28-10-2025 OM 10.43 UUR LIDL 803 KORTRIJK 2 BE8500 KORTRIJK MET APPLE PAY 5127 88XX XXXX 8113 VIRTUEEL KAARTNUMMER CONTACTLOZE BETALING: 5354 00XX XXXX 8030 KAARTHOUDER: BOMBAERT BRAM</t>
  </si>
  <si>
    <t>BETALING VIA DEBIT MASTERCARD        29-10 28-10-2025 OM 10.42 UUR LIDL 803 KORTRIJK 2 BE8500 KORTRIJK MET APPLE PAY 5127 88XX XXXX 8113 VIRTUEEL KAARTNUMMER CONTACTLOZE BETALING: 5354 00XX XXXX 8030 KAARTHOUDER: BOMBAERT BRAM</t>
  </si>
  <si>
    <t>BETALING VIA DEBIT MASTERCARD        29-10 28-10-2025 OM 19.23 UUR CCV*P KORTRIJK WEIDE BE8500 KORTRIJK MET KBC-DEBETKAART 5127 88XX XXXX 8113 KAARTHOUDER: BOMBAERT BRAM</t>
  </si>
  <si>
    <t>OVERSCHRIJVING NAAR                  29-10 BE79 3632 2576 6833 BANKIER BEGUNSTIGDE: CURASIEN GESPECIALISEERDE VOETVERZO PAYCONIQ 60DC9EAD6F9AB0B34D7E181C CURASIEN GESPECIALI SEER SIENTORFS MET PAYCONIQ IN KBC MOBILE</t>
  </si>
  <si>
    <t>BETALING VIA DEBIT MASTERCARD        29-10 28-10-2025 OM 17.33 UUR LAGO KORTRIJK BE8500 KORTRIJK MET APPLE PAY 5127 88XX XXXX 8113 VIRTUEEL KAARTNUMMER CONTACTLOZE BETALING: 5354 00XX XXXX 8030 KAARTHOUDER: BOMBAERT BRAM</t>
  </si>
  <si>
    <t>BETALING VIA BANCONTACT              29-10 28-10-2025 OM 19.25 UUR CAPRI BE8500 KORTRIJK MET KBC-DEBETKAART 5127 88XX XXXX 8113 KAARTHOUDER: BOMBAERT BRAM INFO VAN DE HANDELAAR: 74V6W05 11473897</t>
  </si>
  <si>
    <t>BETALING VIA BANCONTACT              29-10 28-10-2025 OM 17.40 UUR S&amp;R KORTRIJK BE8500 KORTRIJK MET KBC-DEBETKAART 5127 88XX XXXX 8113 KAARTHOUDER: BOMBAERT BRAM</t>
  </si>
  <si>
    <t>BETALING VIA DEBIT MASTERCARD        29-10 27-10-2025 OM 18.43 UUR SOHO FR59800 LILLE MET KBC-DEBETKAART 5127 88XX XXXX 8113 KAARTHOUDER: BOMBAERT BRAM</t>
  </si>
  <si>
    <t>BETALING VIA DEBIT MASTERCARD        29-10 27-10-2025 OM 16.22 UUR SOHO FR59800 LILLE MET KBC-DEBETKAART 5127 88XX XXXX 8113 KAARTHOUDER: BOMBAERT BRAM</t>
  </si>
  <si>
    <t>BETALING VIA DEBIT MASTERCARD        28-10 27-10-2025 OM 16.18 UUR COMMUNE DE LILLE FR59033 LILLE MET KBC-DEBETKAART 5127 88XX XXXX 8113 KAARTHOUDER: BOMBAERT BRAM</t>
  </si>
  <si>
    <t>BETALING VIA DEBIT MASTERCARD        28-10 27-10-2025 OM 11.24 UUR CARREFOUR MARKE BE8510 MARKE MET APPLE PAY 5127 88XX XXXX 8113 VIRTUEEL KAARTNUMMER CONTACTLOZE BETALING: 5354 00XX XXXX 8030 KAARTHOUDER: BOMBAERT BRAM</t>
  </si>
  <si>
    <t>BETALING VIA DEBIT MASTERCARD        28-10 27-10-2025 OM 09.35 UUR KRUIDVAT 8095 KORTRIJK BE8500 KORTRIJK MET APPLE PAY 5127 88XX XXXX 8113 VIRTUEEL KAARTNUMMER CONTACTLOZE BETALING: 5354 00XX XXXX 8030 KAARTHOUDER: BOMBAERT BRAM</t>
  </si>
  <si>
    <t>BETALING VIA DEBIT MASTERCARD        28-10 27-10-2025 OM 09.32 UUR OVO CHARGE ANYWHERE GBBS1 6ED BRISTOL MET APPLE PAY 5127 88XX XXXX 8113 VIRTUEEL KAARTNUMMER CONTACTLOZE BETALING: 5354 00XX XXXX 6677 KAARTHOUDER: BOMBAERT BRAM</t>
  </si>
  <si>
    <t>BETALING VIA DEBIT MASTERCARD        28-10 27-10-2025 OM 10.25 UUR NATA BE8500 KORTRIJK MET APPLE PAY 5127 88XX XXXX 8113 VIRTUEEL KAARTNUMMER CONTACTLOZE BETALING: 5354 00XX XXXX 8030 KAARTHOUDER: BOMBAERT BRAM</t>
  </si>
  <si>
    <t>BETALING VIA DEBIT MASTERCARD        28-10 27-10-2025 OM 10.45 UUR BROOKLYN KORTRIJK BE8500 KORTRIJK MET APPLE PAY 5127 88XX XXXX 8113 VIRTUEEL KAARTNUMMER CONTACTLOZE BETALING: 5354 00XX XXXX 8030 KAARTHOUDER: BOMBAERT BRAM</t>
  </si>
  <si>
    <t>BETALING VIA DEBIT MASTERCARD        28-10 27-10-2025 OM 09.42 UUR ACTION 2058 BE8500 KORTRIJK MET APPLE PAY 5127 88XX XXXX 8113 VIRTUEEL KAARTNUMMER CONTACTLOZE BETALING: 5354 00XX XXXX 6677 KAARTHOUDER: BOMBAERT BRAM</t>
  </si>
  <si>
    <t>BETALING VIA DEBIT MASTERCARD        27-10 25-10-2025 OM 12.11 UUR CARREFOUR MARKE BE8510 MARKE MET APPLE PAY 5127 88XX XXXX 8113 VIRTUEEL KAARTNUMMER CONTACTLOZE BETALING: 5354 00XX XXXX 8030 KAARTHOUDER: BOMBAERT BRAM</t>
  </si>
  <si>
    <t>BETALING VIA DEBIT MASTERCARD        27-10 25-10-2025 OM 17.43 UUR CARREFOUR MARKE BE8510 MARKE MET APPLE PAY 5127 88XX XXXX 8113 VIRTUEEL KAARTNUMMER CONTACTLOZE BETALING: 5354 00XX XXXX 8030 KAARTHOUDER: BOMBAERT BRAM</t>
  </si>
  <si>
    <t>BETALING VIA DEBIT MASTERCARD        27-10 25-10-2025 OM 11.54 UUR SPAR KORTRIJK BE8500 KORTRIJK MET APPLE PAY 5127 88XX XXXX 8113 VIRTUEEL KAARTNUMMER CONTACTLOZE BETALING: 5354 00XX XXXX 8030 KAARTHOUDER: BOMBAERT BRAM</t>
  </si>
  <si>
    <t>BETALING VIA DEBIT MASTERCARD        27-10 25-10-2025 OM 12.02 UUR ALDI 26 MARKE BE8510 MARKE MET APPLE PAY 5127 88XX XXXX 8113 VIRTUEEL KAARTNUMMER CONTACTLOZE BETALING: 5354 00XX XXXX 8030 KAARTHOUDER: BOMBAERT BRAM</t>
  </si>
  <si>
    <t>BETALING VIA DEBIT MASTERCARD        27-10 25-10-2025 OM 11.36 UUR LIDL 803 KORTRIJK 2 BE8500 KORTRIJK MET APPLE PAY 5127 88XX XXXX 8113 VIRTUEEL KAARTNUMMER CONTACTLOZE BETALING: 5354 00XX XXXX 8030 KAARTHOUDER: BOMBAERT BRAM</t>
  </si>
  <si>
    <t>OVERSCHRIJVING NAAR                  27-10 BE79 3632 2576 6833 BANKIER BEGUNSTIGDE: KIP ROYAL PAYCONIQ A867026FA953F038202B6D22 KIP ROYAL MET PAYCONIQ IN KBC MOBILE</t>
  </si>
  <si>
    <t>BETALING VIA BANCONTACT              27-10 27-10-2025 OM 09.23 UUR BUBBA-KROKETTEN BE9400 NINOVE MET KBC-DEBETKAART 5127 88XX XXXX 8113 KAARTHOUDER: BOMBAERT BRAM</t>
  </si>
  <si>
    <t>BETALING LEASING                     30-11 0001/0001/BE/2503710647</t>
  </si>
  <si>
    <t>BETALING VIA DEBIT MASTERCARD        01-12 30-11-2025 OM 10.58 UUR COOLBLUE N.V. BE2600 BERCHEM MET APPLE PAY 5127 88XX XXXX 8113 VIRTUEEL KAARTNUMMER CONTACTLOZE BETALING: 5354 00XX XXXX 6677 KAARTHOUDER: BOMBAERT BRAM</t>
  </si>
  <si>
    <t>BETALING VIA BANCONTACT              01-12 30-11-2025 OM 19.36 UUR MIJN.HOST NL1066JR AMSTERDAM MET KBC-DEBETKAART 6703 42XX XXXX X901 0 KAARTHOUDER: ROTTY CHRISTOFF INFO VAN DE HANDELAAR: 75F1883 MIJN.HOST FACTUURNR. 2</t>
  </si>
  <si>
    <t>BETALING VIA DEBIT MASTERCARD        01-12 30-11-2025 OM 04.29 UUR OVO CHARGE ANYWHERE GBBS1 6ED BRISTOL MET APPLE PAY 5127 88XX XXXX 8113 VIRTUEEL KAARTNUMMER CONTACTLOZE BETALING: 5354 00XX XXXX 6677 KAARTHOUDER: BOMBAERT BRAM</t>
  </si>
  <si>
    <t>BETALING VIA DEBIT MASTERCARD        01-12 29-11-2025 OM 12.35 UUR LIDL 803 KORTRIJK 2 BE8500 KORTRIJK MET APPLE PAY 5127 88XX XXXX 8113 VIRTUEEL KAARTNUMMER CONTACTLOZE BETALING: 5354 00XX XXXX 8030 KAARTHOUDER: BOMBAERT BRAM</t>
  </si>
  <si>
    <t>BETALING VIA DEBIT MASTERCARD        01-12 29-11-2025 OM 09.16 UUR OVO CHARGE ANYWHERE GBBS1 6ED BRISTOL MET APPLE PAY 5127 88XX XXXX 8113 VIRTUEEL KAARTNUMMER CONTACTLOZE BETALING: 5354 00XX XXXX 6677 KAARTHOUDER: BOMBAERT BRAM</t>
  </si>
  <si>
    <t>BETALING VIA DEBIT MASTERCARD        01-12 28-11-2025 OM 16.48 UUR APOTHEEK ARIE FREDERIK BE8510 MARKE MET APPLE PAY 5127 88XX XXXX 8113 VIRTUEEL KAARTNUMMER CONTACTLOZE BETALING: 5354 00XX XXXX 8030 KAARTHOUDER: BOMBAERT BRAM</t>
  </si>
  <si>
    <t>BETALING VIA DEBIT MASTERCARD        01-12 28-11-2025 OM 16.37 UUR LIDL 803 KORTRIJK 2 BE8500 KORTRIJK MET APPLE PAY 5127 88XX XXXX 8113 VIRTUEEL KAARTNUMMER CONTACTLOZE BETALING: 5354 00XX XXXX 8030 KAARTHOUDER: BOMBAERT BRAM</t>
  </si>
  <si>
    <t>STORTING AUTOMAAT                    01-12 BC      RINGLAAN 34   KORTRIJK MET KBC-DEBETKAART 5127 88XX XXXX 8113 KAARTHOUDER BOMBAERT BRAM REFERTE 000401248004942511291145</t>
  </si>
  <si>
    <t>BETALING VIA BANCONTACT              01-12 29-11-2025 OM 09.58 UUR BOL.COM NL3528 BJ UTRECHT MET KBC-DEBETKAART 5127 88XX XXXX 8113 KAARTHOUDER: BOMBAERT BRAM</t>
  </si>
  <si>
    <t>BETALING VIA DEBIT MASTERCARD        01-12 27-11-2025 OM 14.38 UUR SPAR KORTRIJK BE8500 KORTRIJK MET APPLE PAY 5127 88XX XXXX 8113 VIRTUEEL KAARTNUMMER CONTACTLOZE BETALING: 5354 00XX XXXX 8030 KAARTHOUDER: BOMBAERT BRAM</t>
  </si>
  <si>
    <t>BETALING VIA DEBIT MASTERCARD        01-12 27-11-2025 OM 14.53 UUR LIDL 803 KORTRIJK 2 BE8500 KORTRIJK MET APPLE PAY 5127 88XX XXXX 8113 VIRTUEEL KAARTNUMMER CONTACTLOZE BETALING: 5354 00XX XXXX 8030 KAARTHOUDER: BOMBAERT BRAM</t>
  </si>
  <si>
    <t>BIJDRAGE 01-11-2025 - 30-11-2025     28-11 KBC-PLUSREKENING</t>
  </si>
  <si>
    <t>BETALING VIA DEBIT MASTERCARD        28-11 27-11-2025 OM 15.03 UUR CARREFOUR MARKE BE8510 MARKE MET APPLE PAY 5127 88XX XXXX 8113 VIRTUEEL KAARTNUMMER CONTACTLOZE BETALING: 5354 00XX XXXX 8030 KAARTHOUDER: BOMBAERT BRAM</t>
  </si>
  <si>
    <t>BETALING VIA BANCONTACT              28-11 28-11-2025 OM 13.33 UUR BOL.COM NL3528 BJ UTRECHT MET KBC-DEBETKAART 6703 42XX XXXX X901 0 KAARTHOUDER: ROTTY CHRISTOFF</t>
  </si>
  <si>
    <t>BETALING VIA MAESTRO                 28-11 27-11-2025 OM 11.49 UUR VALINSOPAY NL NL WIJK EN AALBU MET APPLE PAY 6703 42XX XXXX X901 0 VIRTUEEL KAARTNUMMER CONTACTLOZE BETALING: 6790 28XX XXXX X658 7 KAARTHOUDER: ROTTY CHRISTOFF</t>
  </si>
  <si>
    <t>OVERSCHRIJVING VAN                   28-11 BE64 3751 1173 1652 BANKIER OPDRACHTGEVER: BBRUBEBB VVM DE LIJN ALGEMENE REK /A/ 29076 LOON VVM 11/2025</t>
  </si>
  <si>
    <t>OVERSCHRIJVING VAN                   28-11 BE57 3751 1109 9435 BANKIER OPDRACHTGEVER: BBRUBEBB OV HULPREKENING /A/E002899 - 19303221177-118257-311 BETALING-11/2025- -- REFERENTIE: 251101-002899-/A/E002899</t>
  </si>
  <si>
    <t>BETALING VIA DEBIT MASTERCARD        28-11 27-11-2025 OM 05.03 UUR OVO CHARGE ANYWHERE GBBS1 6ED BRISTOL MET APPLE PAY 5127 88XX XXXX 8113 VIRTUEEL KAARTNUMMER CONTACTLOZE BETALING: 5354 00XX XXXX 6677 KAARTHOUDER: BOMBAERT BRAM</t>
  </si>
  <si>
    <t>BETALING VIA BANCONTACT              28-11 27-11-2025 OM 19.31 UUR ZALANDO PAYMENTS GMBH DE10243 BERLIN MET KBC-DEBETKAART 6703 42XX XXXX X901 0 KAARTHOUDER: ROTTY CHRISTOFF</t>
  </si>
  <si>
    <t>BETALING VIA MAESTRO                 27-11 26-11-2025 OM 12.18 UUR VALINSOPAY NL NL WIJK EN AALBU MET APPLE PAY 6703 42XX XXXX X901 0 VIRTUEEL KAARTNUMMER CONTACTLOZE BETALING: 6790 28XX XXXX X658 7 KAARTHOUDER: ROTTY CHRISTOFF</t>
  </si>
  <si>
    <t>BETALING VIA MAESTRO                 27-11 26-11-2025 OM 13.10 UUR VALINSOPAY NL NL WIJK EN AALBU MET APPLE PAY 6703 42XX XXXX X901 0 VIRTUEEL KAARTNUMMER CONTACTLOZE BETALING: 6790 28XX XXXX X658 7 KAARTHOUDER: ROTTY CHRISTOFF</t>
  </si>
  <si>
    <t>BETALING VIA BANCONTACT              27-11 27-11-2025 OM 14.02 UUR LIEN P2P MOBILE MET KBC-DEBETKAART 5127 88XX XXXX 8113 KAARTHOUDER: BOMBAERT BRAM</t>
  </si>
  <si>
    <t>BETALING VIA DEBIT MASTERCARD        26-11 25-11-2025 OM 13.57 UUR CARREFOUR MARKE BE8510 MARKE MET APPLE PAY 5127 88XX XXXX 8113 VIRTUEEL KAARTNUMMER CONTACTLOZE BETALING: 5354 00XX XXXX 8030 KAARTHOUDER: BOMBAERT BRAM</t>
  </si>
  <si>
    <t>BETALING VIA DEBIT MASTERCARD        26-11 25-11-2025 OM 13.33 UUR BRICE BE8500 KORTRIJK MET APPLE PAY 5127 88XX XXXX 8113 VIRTUEEL KAARTNUMMER CONTACTLOZE BETALING: 5354 00XX XXXX 8030 KAARTHOUDER: BOMBAERT BRAM</t>
  </si>
  <si>
    <t>INSTANTOVERSCHRIJVING NAAR           26-11 BE04 0630 9978 3531 BANKIER BEGUNSTIGDE: GKCCBEBBXXX MARIJKE VANDEVENNE BRAM BOMBAERT - CADEAU DIRECTEUR OM 14.49 UUR MET KBC MOBILE</t>
  </si>
  <si>
    <t>BETALING VIA BANCONTACT              26-11 26-11-2025 OM 14.19 UUR BANCONTACT PAYCONIQ CO BE8510 MARKE MET KBC-DEBETKAART 5127 88XX XXXX 8113 KAARTHOUDER: BOMBAERT BRAM INFO VAN DE HANDELAAR: SIENTORFS</t>
  </si>
  <si>
    <t>BETALING VIA MAESTRO                 26-11 25-11-2025 OM 11.56 UUR VALINSOPAY NL NL WIJK EN AALBU MET APPLE PAY 6703 42XX XXXX X901 0 VIRTUEEL KAARTNUMMER CONTACTLOZE BETALING: 6790 28XX XXXX X658 7 KAARTHOUDER: ROTTY CHRISTOFF</t>
  </si>
  <si>
    <t>EUROPESE DOMICILIERING               26-11 SCHULDEISER     : AXA REF. SCHULDEISER: 20251120010855837260006222 MANDAATREFERTE  : 010624258692001 MEDEDELING      : 0106242586921042025-11-262025110000 0010624258692</t>
  </si>
  <si>
    <t>BETALING VIA DEBIT MASTERCARD        26-11 25-11-2025 OM 05.02 UUR OVO CHARGE ANYWHERE GBBS1 6ED BRISTOL MET APPLE PAY 5127 88XX XXXX 8113 VIRTUEEL KAARTNUMMER CONTACTLOZE BETALING: 5354 00XX XXXX 6677 KAARTHOUDER: BOMBAERT BRAM</t>
  </si>
  <si>
    <t>BETALING VIA BANCONTACT              25-11 25-11-2025 OM 16.47 UUR BOL.COM NL3528 BJ UTRECHT MET KBC-DEBETKAART 5127 88XX XXXX 8113 KAARTHOUDER: BOMBAERT BRAM</t>
  </si>
  <si>
    <t>BETALING VIA DEBIT MASTERCARD        25-11 24-11-2025 OM 15.35 UUR CARREFOUR MARKE BE8510 MARKE MET APPLE PAY 5127 88XX XXXX 8113 VIRTUEEL KAARTNUMMER CONTACTLOZE BETALING: 5354 00XX XXXX 6677 KAARTHOUDER: BOMBAERT BRAM</t>
  </si>
  <si>
    <t>BETALING VIA DEBIT MASTERCARD        25-11 24-11-2025 OM 15.25 UUR LIDL 803 KORTRIJK 2 BE8500 KORTRIJK MET APPLE PAY 5127 88XX XXXX 8113 VIRTUEEL KAARTNUMMER CONTACTLOZE BETALING: 5354 00XX XXXX 6677 KAARTHOUDER: BOMBAERT BRAM</t>
  </si>
  <si>
    <t>INSTANTOVERSCHRIJVING NAAR           25-11 BE42 7374 0819 6554 BANKIER BEGUNSTIGDE: KREDBEBBXXX DEWULF ELS WERO ROTTY CHRISTOFF OM 13.07 MET WERO</t>
  </si>
  <si>
    <t>BETALING VIA MAESTRO                 25-11 24-11-2025 OM 15.07 UUR VALINSOPAY NL NL WIJK EN AALBU MET APPLE PAY 6703 42XX XXXX X901 0 VIRTUEEL KAARTNUMMER CONTACTLOZE BETALING: 6790 28XX XXXX X005 7 KAARTHOUDER: ROTTY CHRISTOFF</t>
  </si>
  <si>
    <t>OVERSCHRIJVING VAN                   25-11 FR52 2193 3000 01DF 415E 7VNE 419 BANKIER OPDRACHTGEVER: MPAYFRP1XXX MANGOPAY VINTED REFERENTIE: 7E7D31BBD0EA49028E3A67D7AD5C24F5</t>
  </si>
  <si>
    <t>BETALING VIA BANCONTACT              24-11 24-11-2025 OM 16.58 UUR NELE P2P MOBILE MET KBC-DEBETKAART 5127 88XX XXXX 8113 KAARTHOUDER: BOMBAERT BRAM</t>
  </si>
  <si>
    <t>BETALING VIA DEBIT MASTERCARD        24-11 23-11-2025 OM 15.47 UUR PATISSERIE CARUSO BE8400 OOSTENDE MET KBC-DEBETKAART 5127 88XX XXXX 8113 KAARTHOUDER: BOMBAERT BRAM</t>
  </si>
  <si>
    <t>BETALING VIA DEBIT MASTERCARD        24-11 24-11-2025 OM 00.36 UUR OVO CHARGE ANYWHERE GBBS1 6ED BRISTOL MET APPLE PAY 5127 88XX XXXX 8113 VIRTUEEL KAARTNUMMER CONTACTLOZE BETALING: 5354 00XX XXXX 6677 KAARTHOUDER: BOMBAERT BRAM</t>
  </si>
  <si>
    <t>BETALING VIA DEBIT MASTERCARD        24-11 22-11-2025 OM 17.34 UUR CARREFOUR MARKE BE8510 MARKE MET APPLE PAY 5127 88XX XXXX 8113 VIRTUEEL KAARTNUMMER CONTACTLOZE BETALING: 5354 00XX XXXX 8030 KAARTHOUDER: BOMBAERT BRAM</t>
  </si>
  <si>
    <t>BETALING VIA BANCONTACT              24-11 24-11-2025 OM 15.06 UUR VERLINDE LAUREN BE8510 MARKE MET KBC-DEBETKAART 5127 88XX XXXX 8113 KAARTHOUDER: BOMBAERT BRAM</t>
  </si>
  <si>
    <t>BETALING VIA MAESTRO                 24-11 23-11-2025 OM 14.30 UUR AS OOSTENDE 18 BE OOSTENDE MET APPLE PAY 6703 42XX XXXX X901 0 VIRTUEEL KAARTNUMMER CONTACTLOZE BETALING: 6790 28XX XXXX X658 7 KAARTHOUDER: ROTTY CHRISTOFF</t>
  </si>
  <si>
    <t>BETALING VIA DEBIT MASTERCARD        24-11 23-11-2025 OM 10.36 UUR OVO CHARGE ANYWHERE GBBS1 6ED BRISTOL MET APPLE PAY 5127 88XX XXXX 8113 VIRTUEEL KAARTNUMMER CONTACTLOZE BETALING: 5354 00XX XXXX 6677 KAARTHOUDER: BOMBAERT BRAM</t>
  </si>
  <si>
    <t>BETALING VIA MAESTRO                 24-11 22-11-2025 OM 17.15 UUR KORTRIJK P1 BE KORTRIJK MET APPLE PAY 6703 42XX XXXX X901 0 VIRTUEEL KAARTNUMMER CONTACTLOZE BETALING: 6790 28XX XXXX X658 7 KAARTHOUDER: ROTTY CHRISTOFF</t>
  </si>
  <si>
    <t>BETALING VIA MAESTRO                 24-11 22-11-2025 OM 16.37 UUR MEDIA MARKT KORTRIJK N BE KORTRIJK MET APPLE PAY 6703 42XX XXXX X901 0 VIRTUEEL KAARTNUMMER CONTACTLOZE BETALING: 6790 28XX XXXX X658 7 KAARTHOUDER: ROTTY CHRISTOFF</t>
  </si>
  <si>
    <t>BETALING VIA MAESTRO                 24-11 21-11-2025 OM 15.37 UUR VALINSOPAY NL NL WIJK EN AALBU MET APPLE PAY 6703 42XX XXXX X901 0 VIRTUEEL KAARTNUMMER CONTACTLOZE BETALING: 6790 28XX XXXX X658 7 KAARTHOUDER: ROTTY CHRISTOFF</t>
  </si>
  <si>
    <t>BETALING VIA MAESTRO                 24-11 21-11-2025 OM 11.22 UUR COLRUYT LEDEBERG BE GENT MET APPLE PAY 6703 42XX XXXX X901 0 VIRTUEEL KAARTNUMMER CONTACTLOZE BETALING: 6790 28XX XXXX X658 7 KAARTHOUDER: ROTTY CHRISTOFF</t>
  </si>
  <si>
    <t>BETALING VIA DEBIT MASTERCARD        24-11 23-11-2025 OM 06.15 UUR OVO CHARGE ANYWHERE GBBS1 6ED BRISTOL MET APPLE PAY 5127 88XX XXXX 8113 VIRTUEEL KAARTNUMMER CONTACTLOZE BETALING: 5354 00XX XXXX 6677 KAARTHOUDER: BOMBAERT BRAM</t>
  </si>
  <si>
    <t>BETALING VIA DEBIT MASTERCARD        24-11 22-11-2025 OM 12.39 UUR WARI SPRL BE8510 KORTRIJK MET APPLE PAY 5127 88XX XXXX 8113 VIRTUEEL KAARTNUMMER CONTACTLOZE BETALING: 5354 00XX XXXX 8030 KAARTHOUDER: BOMBAERT BRAM</t>
  </si>
  <si>
    <t>BETALING VIA DEBIT MASTERCARD        24-11 22-11-2025 OM 12.30 UUR LIDL 803 KORTRIJK 2 BE8500 KORTRIJK MET APPLE PAY 5127 88XX XXXX 8113 VIRTUEEL KAARTNUMMER CONTACTLOZE BETALING: 5354 00XX XXXX 8030 KAARTHOUDER: BOMBAERT BRAM</t>
  </si>
  <si>
    <t>BETALING VIA DEBIT MASTERCARD        24-11 21-11-2025 OM 23.02 UUR AS ADVENTURE BE BE2660 HOBOKEN MET APPLE PAY 5127 88XX XXXX 8113 VIRTUEEL KAARTNUMMER CONTACTLOZE BETALING: 5354 00XX XXXX 6677 KAARTHOUDER: BOMBAERT BRAM</t>
  </si>
  <si>
    <t>OVERSCHRIJVING NAAR                  23-11 BE23 7330 6155 2691 BANKIER BEGUNSTIGDE: KREDBEBB 4411 4411 OOSTENDE OOS012 2CMY158 - OLMPA100100 - J4WKN2YZ F9KA MET KBC MOBILE</t>
  </si>
  <si>
    <t>STORTING AUTOMAAT                    24-11 BC KAPELLESTRAAT, 6   OOSTENDE MET KBC-DEBETKAART 6703 42XX XXXX X901 0 KAARTHOUDER ROTTY CHRISTOFF REFERTE 000401846011542511231601</t>
  </si>
  <si>
    <t>BETALING VIA BANCONTACT              24-11 22-11-2025 OM 17.06 UUR VIVA SARA SHOP BE8500 KORTRIJK MET KBC-DEBETKAART 5127 88XX XXXX 8113 KAARTHOUDER: BOMBAERT BRAM</t>
  </si>
  <si>
    <t>BETALING VIA DEBIT MASTERCARD        24-11 21-11-2025 OM 13.41 UUR OKAY WEVELGEM 4258 BE8560 WEVELGEM MET APPLE PAY 5127 88XX XXXX 8113 VIRTUEEL KAARTNUMMER CONTACTLOZE BETALING: 5354 00XX XXXX 6677 KAARTHOUDER: BOMBAERT BRAM</t>
  </si>
  <si>
    <t>BETALING VIA DEBIT MASTERCARD        24-11 21-11-2025 OM 16.57 UUR LIDL 803 KORTRIJK 2 BE8500 KORTRIJK MET APPLE PAY 5127 88XX XXXX 8113 VIRTUEEL KAARTNUMMER CONTACTLOZE BETALING: 5354 00XX XXXX 8030 KAARTHOUDER: BOMBAERT BRAM</t>
  </si>
  <si>
    <t>INSTANTOVERSCHRIJVING NAAR           22-11 BE95 7320 4536 7658 BANKIER BEGUNSTIGDE: CREGBEBBXXX CORROYER CHARLES-THIBAULT WERO BOMBAERT BRAM OM 16.26 MET WERO</t>
  </si>
  <si>
    <t>BETALING VIA DEBIT MASTERCARD        24-11 21-11-2025 OM 09.16 UUR OVO CHARGE ANYWHERE GBBS1 6ED BRISTOL MET APPLE PAY 5127 88XX XXXX 8113 VIRTUEEL KAARTNUMMER CONTACTLOZE BETALING: 5354 00XX XXXX 6677 KAARTHOUDER: BOMBAERT BRAM</t>
  </si>
  <si>
    <t>BETALING VIA BANCONTACT              21-11 21-11-2025 OM 16.45 UUR ZALANDO PAYMENTS GMBH DE10243 BERLIN MET KBC-DEBETKAART 6703 42XX XXXX X901 0 KAARTHOUDER: ROTTY CHRISTOFF</t>
  </si>
  <si>
    <t>BETALING VIA DEBIT MASTERCARD        21-11 20-11-2025 OM 18.29 UUR IKEA GENT-FOOD BE9051 SINT-DENIJS-W MET APPLE PAY 5127 88XX XXXX 8113 VIRTUEEL KAARTNUMMER CONTACTLOZE BETALING: 5354 00XX XXXX 6677 KAARTHOUDER: BOMBAERT BRAM</t>
  </si>
  <si>
    <t>BETALING VIA DEBIT MASTERCARD        21-11 20-11-2025 OM 19.07 UUR IKEA GENT-STORE BE9051 SINT-DENIJS-W MET APPLE PAY 5127 88XX XXXX 8113 VIRTUEEL KAARTNUMMER CONTACTLOZE BETALING: 5354 00XX XXXX 6677 KAARTHOUDER: BOMBAERT BRAM</t>
  </si>
  <si>
    <t>BETALING VIA DEBIT MASTERCARD        21-11 20-11-2025 OM 12.28 UUR CARREFOUR MARKE BE8510 MARKE MET KBC-DEBETKAART 5127 88XX XXXX 8113 KAARTHOUDER: BOMBAERT BRAM</t>
  </si>
  <si>
    <t>BETALING VIA BANCONTACT              21-11 21-11-2025 OM 12.27 UUR WARI BE8510 MARKE MET KBC-DEBETKAART 5127 88XX XXXX 8113 KAARTHOUDER: BOMBAERT BRAM INFO VAN DE HANDELAAR: 758N287 BESTELLEN BAKKERIJ RIG</t>
  </si>
  <si>
    <t>BETALING VIA MAESTRO                 21-11 20-11-2025 OM 15.24 UUR VALINSOPAY NL NL WIJK EN AALBU MET APPLE PAY 6703 42XX XXXX X901 0 VIRTUEEL KAARTNUMMER CONTACTLOZE BETALING: 6790 28XX XXXX X658 7 KAARTHOUDER: ROTTY CHRISTOFF</t>
  </si>
  <si>
    <t>BETALING VIA MAESTRO                 21-11 20-11-2025 OM 12.27 UUR VALINSOPAY NL NL WIJK EN AALBU MET APPLE PAY 6703 42XX XXXX X901 0 VIRTUEEL KAARTNUMMER CONTACTLOZE BETALING: 6790 28XX XXXX X005 7 KAARTHOUDER: ROTTY CHRISTOFF</t>
  </si>
  <si>
    <t>INSTANTOVERSCHRIJVING VAN            21-11 BE49 3770 3267 3071 BANKIER OPDRACHTGEVER: BBRUBEBBXXX DE H THOMAS VERCAIGNE WERO ROTTY C. - BOMBAERT B. REFERENTIE: 0E3AB1EB824D4966A93966A4FF417A54 OM 11.06 UUR MET WERO</t>
  </si>
  <si>
    <t>EUROPESE DOMICILIERING               21-11 SCHULDEISER     : AXA REF. SCHULDEISER: 20251115010851233096026371 MANDAATREFERTE  : 010817143526001 MEDEDELING      : 0108171435261042025-11-212025110000 0010817143526</t>
  </si>
  <si>
    <t>BETALING VIA BANCONTACT              21-11 20-11-2025 OM 21.12 UUR FIETSGOEDKOPER B.V. NL9731AK GRONINGEN MET KBC-DEBETKAART 6703 42XX XXXX X901 0 KAARTHOUDER: ROTTY CHRISTOFF INFO VAN DE HANDELAAR: 758CT8Y ORD78880</t>
  </si>
  <si>
    <t>BETALING VIA BANCONTACT              21-11 20-11-2025 OM 20.49 UUR AMAZON BE RETAIL LU1855 LUXEMBOURG MET KBC-DEBETKAART 5127 88XX XXXX 8113 KAARTHOUDER: BOMBAERT BRAM INFO VAN DE HANDELAAR: 758C9B1 WWW.AMAZON.COM.BE</t>
  </si>
  <si>
    <t>BETALING VIA DEBIT MASTERCARD        21-11 20-11-2025 OM 05.41 UUR OVO CHARGE ANYWHERE GBBS1 6ED BRISTOL MET APPLE PAY 5127 88XX XXXX 8113 VIRTUEEL KAARTNUMMER CONTACTLOZE BETALING: 5354 00XX XXXX 6677 KAARTHOUDER: BOMBAERT BRAM</t>
  </si>
  <si>
    <t>OVERSCHRIJVING NAAR                  20-11 BE23 7330 6155 2691 BANKIER BEGUNSTIGDE: KREDBEBB 4411 4411 KORTRIJK KOR4 2CMY158 - OLMPA100100 - 9GM7AHUK03 BD MET KBC MOBILE</t>
  </si>
  <si>
    <t>OVERSCHRIJVING VAN                   20-11 NL92 ADYB 2017 4009 98 BANKIER OPDRACHTGEVER: ADYBNL2AXXX ZALANDO PAYMENTS GMBH TX456129580XT REFUND FOR ZALANDO PAYMENTS GMBH REF:EF 473165-042D-3A59-BE82-DD53136D9F14 REFERENTIE: TX456129580XT</t>
  </si>
  <si>
    <t>BETALING VIA DEBIT MASTERCARD        20-11 19-11-2025 OM 19.16 UUR MOL*STANDAARD BOEKHAND BE9100 3278100078 MET APPLE PAY 5127 88XX XXXX 8113 VIRTUEEL KAARTNUMMER CONTACTLOZE BETALING: 5354 00XX XXXX 6677 KAARTHOUDER: BOMBAERT BRAM</t>
  </si>
  <si>
    <t>BETALING VIA MAESTRO                 20-11 19-11-2025 OM 12.48 UUR VALINSOPAY NL NL WIJK EN AALBU MET APPLE PAY 6703 42XX XXXX X901 0 VIRTUEEL KAARTNUMMER CONTACTLOZE BETALING: 6790 28XX XXXX X658 7 KAARTHOUDER: ROTTY CHRISTOFF</t>
  </si>
  <si>
    <t>EUROPESE DOMICILIERING               20-11 SCHULDEISER     : DIGI COMMUNICATIONS BELGIUM NV REF. SCHULDEISER: 000009716467-858549 MANDAATREFERTE  : 1D574ED99E164823 MEDEDELING      : DIGI FACTUUR - NOVEMBER 2025</t>
  </si>
  <si>
    <t>BETALING VIA BANCONTACT              20-11 19-11-2025 OM 17.17 UUR ORANGE BRUXELLES BE1140 BRUSSEL MET KBC-DEBETKAART 6703 42XX XXXX X901 0 KAARTHOUDER: ROTTY CHRISTOFF</t>
  </si>
  <si>
    <t>BETALING VIA DEBIT MASTERCARD        19-11 18-11-2025 OM 15.45 UUR LIDL 803 KORTRIJK 2 BE8500 KORTRIJK MET APPLE PAY 5127 88XX XXXX 8113 VIRTUEEL KAARTNUMMER CONTACTLOZE BETALING: 5354 00XX XXXX 8030 KAARTHOUDER: BOMBAERT BRAM</t>
  </si>
  <si>
    <t>INSTANTOVERSCHRIJVING NAAR           19-11 BE24 3632 6296 6838 BANKIER BEGUNSTIGDE: BBRUBEBBXXX SIAMO VOF WERO BOMBAERT BRAM OM 15.51 MET WERO</t>
  </si>
  <si>
    <t>BETALING VIA BANCONTACT              19-11 19-11-2025 OM 14.29 UUR LUCIE P2P MOBILE MET KBC-DEBETKAART 6703 42XX XXXX X901 0 KAARTHOUDER: ROTTY CHRISTOFF</t>
  </si>
  <si>
    <t>BETALING VIA MAESTRO                 19-11 18-11-2025 OM 10.37 UUR VALINSOPAY NL NL WIJK EN AALBU MET APPLE PAY 6703 42XX XXXX X901 0 VIRTUEEL KAARTNUMMER CONTACTLOZE BETALING: 6790 28XX XXXX X658 7 KAARTHOUDER: ROTTY CHRISTOFF</t>
  </si>
  <si>
    <t>BETALING VIA MAESTRO                 18-11 17-11-2025 OM 11.08 UUR VALINSOPAY NL NL WIJK EN AALBU MET APPLE PAY 6703 42XX XXXX X901 0 VIRTUEEL KAARTNUMMER CONTACTLOZE BETALING: 6790 28XX XXXX X658 7 KAARTHOUDER: ROTTY CHRISTOFF</t>
  </si>
  <si>
    <t>OVERSCHRIJVING VAN                   18-11 FR52 2193 3000 01DF 415E 7VNE 419 BANKIER OPDRACHTGEVER: MPAYFRP1XXX MANGOPAY VINTED REFERENTIE: FB9EEB860230496799A6855AEC6A2E0A</t>
  </si>
  <si>
    <t>BETALING VIA DEBIT MASTERCARD        17-11 17-11-2025 OM 06.16 UUR SPOTIFY P3C7B8ED43 SE111 53 STOCKHOLM MET M4M - MDES FOR MERCHANTS 5127 88XX XXXX 8113 VIRTUEEL KAARTNUMMER CONTACTLOZE BETALING: 5354 00XX XXXX 5443 KAARTHOUDER: BOMBAERT BRAM</t>
  </si>
  <si>
    <t>BETALING VIA DEBIT MASTERCARD        17-11 17-11-2025 OM 00.45 UUR OVO CHARGE ANYWHERE GBBS1 6ED BRISTOL MET APPLE PAY 5127 88XX XXXX 8113 VIRTUEEL KAARTNUMMER CONTACTLOZE BETALING: 5354 00XX XXXX 6677 KAARTHOUDER: BOMBAERT BRAM</t>
  </si>
  <si>
    <t>BETALING VIA DEBIT MASTERCARD        17-11 15-11-2025 OM 16.01 UUR CARREFOUR MARKE BE8510 MARKE MET APPLE PAY 5127 88XX XXXX 8113 VIRTUEEL KAARTNUMMER CONTACTLOZE BETALING: 5354 00XX XXXX 8030 KAARTHOUDER: BOMBAERT BRAM</t>
  </si>
  <si>
    <t>BETALING VIA DEBIT MASTERCARD        17-11 15-11-2025 OM 12.23 UUR CARREFOUR MARKE BE8510 MARKE MET APPLE PAY 5127 88XX XXXX 8113 VIRTUEEL KAARTNUMMER CONTACTLOZE BETALING: 5354 00XX XXXX 6677 KAARTHOUDER: BOMBAERT BRAM</t>
  </si>
  <si>
    <t>BETALING VIA DEBIT MASTERCARD        17-11 16-11-2025 OM 13.15 UUR CARREFOUR MARKE BE8510 MARKE MET APPLE PAY 5127 88XX XXXX 8113 VIRTUEEL KAARTNUMMER CONTACTLOZE BETALING: 5354 00XX XXXX 8030 KAARTHOUDER: BOMBAERT BRAM</t>
  </si>
  <si>
    <t>BETALING VIA DEBIT MASTERCARD        17-11 16-11-2025 OM 05.35 UUR SP EDGARD &amp; COOPER BE8500 KORTRIJK MET APPLE PAY 5127 88XX XXXX 8113 VIRTUEEL KAARTNUMMER CONTACTLOZE BETALING: 5354 00XX XXXX 6677 KAARTHOUDER: BOMBAERT BRAM</t>
  </si>
  <si>
    <t>BETALING VIA MAESTRO                 17-11 15-11-2025 OM 09.48 UUR CCV*APOTHEEK VANNESTE BE KORTRIJK MET APPLE PAY 6703 42XX XXXX X901 0 VIRTUEEL KAARTNUMMER CONTACTLOZE BETALING: 6790 28XX XXXX X658 7 KAARTHOUDER: ROTTY CHRISTOFF</t>
  </si>
  <si>
    <t>BETALING VIA MAESTRO                 17-11 15-11-2025 OM 20.18 UUR CCV*RIBS N BEER BE MARKE MET APPLE PAY 6703 42XX XXXX X901 0 VIRTUEEL KAARTNUMMER CONTACTLOZE BETALING: 6790 28XX XXXX X658 7 KAARTHOUDER: ROTTY CHRISTOFF</t>
  </si>
  <si>
    <t>BETALING VIA MAESTRO                 17-11 14-11-2025 OM 14.00 UUR VALINSOPAY NL NL WIJK EN AALBU MET APPLE PAY 6703 42XX XXXX X901 0 VIRTUEEL KAARTNUMMER CONTACTLOZE BETALING: 6790 28XX XXXX X005 7 KAARTHOUDER: ROTTY CHRISTOFF</t>
  </si>
  <si>
    <t>BETALING VIA MAESTRO                 17-11 14-11-2025 OM 16.40 UUR VALINSOPAY NL NL WIJK EN AALBU MET APPLE PAY 6703 42XX XXXX X901 0 VIRTUEEL KAARTNUMMER CONTACTLOZE BETALING: 6790 28XX XXXX X658 7 KAARTHOUDER: ROTTY CHRISTOFF</t>
  </si>
  <si>
    <t>EUROPESE DOMICILIERING               17-11 SCHULDEISER     : BALOISE BELGIUM NV REF. SCHULDEISER: 0000000000000024585580893 MANDAATREFERTE  : 202025682289 MEDEDELING      : POL.1A02635 VERV.10/11/25 9849</t>
  </si>
  <si>
    <t>EUROPESE DOMICILIERING               17-11 SCHULDEISER     : BALOISE BELGIUM NV REF. SCHULDEISER: 0000000000000024588977210 MANDAATREFERTE  : 202025687747 MEDEDELING      : POL.1B57806 VERV.10/11/25 9849</t>
  </si>
  <si>
    <t>BETALING VIA DEBIT MASTERCARD        17-11 16-11-2025 OM 06.14 UUR OVO CHARGE ANYWHERE GBBS1 6ED BRISTOL MET APPLE PAY 5127 88XX XXXX 8113 VIRTUEEL KAARTNUMMER CONTACTLOZE BETALING: 5354 00XX XXXX 6677 KAARTHOUDER: BOMBAERT BRAM</t>
  </si>
  <si>
    <t>BETALING VIA BANCONTACT              17-11 16-11-2025 OM 16.43 UUR ORANGE BRUXELLES BE1140 BRUSSEL MET KBC-DEBETKAART 6703 42XX XXXX X901 0 KAARTHOUDER: ROTTY CHRISTOFF</t>
  </si>
  <si>
    <t>BETALING VIA DEBIT MASTERCARD        17-11 15-11-2025 OM 22.45 UUR KORTRIJK P1 BE8500 KORTRIJK MET APPLE PAY 5127 88XX XXXX 8113 VIRTUEEL KAARTNUMMER CONTACTLOZE BETALING: 5354 00XX XXXX 8030 KAARTHOUDER: BOMBAERT BRAM</t>
  </si>
  <si>
    <t>BETALING VIA DEBIT MASTERCARD        17-11 15-11-2025 OM 14.55 UUR ALBERT HEIJN 3012 BE8500 KORTRIJK MET APPLE PAY 5127 88XX XXXX 8113 VIRTUEEL KAARTNUMMER CONTACTLOZE BETALING: 5354 00XX XXXX 8030 KAARTHOUDER: BOMBAERT BRAM</t>
  </si>
  <si>
    <t>BETALING VIA DEBIT MASTERCARD        17-11 15-11-2025 OM 14.48 UUR JACK &amp; JONES KORTRIJK BE8500 KORTRIJK MET APPLE PAY 5127 88XX XXXX 8113 VIRTUEEL KAARTNUMMER CONTACTLOZE BETALING: 5354 00XX XXXX 8030 KAARTHOUDER: BOMBAERT BRAM</t>
  </si>
  <si>
    <t>BETALING VIA DEBIT MASTERCARD        17-11 15-11-2025 OM 15.51 UUR LIDL 803 KORTRIJK 2 BE8500 KORTRIJK MET APPLE PAY 5127 88XX XXXX 8113 VIRTUEEL KAARTNUMMER CONTACTLOZE BETALING: 5354 00XX XXXX 8030 KAARTHOUDER: BOMBAERT BRAM</t>
  </si>
  <si>
    <t>BETALING VIA DEBIT MASTERCARD        17-11 15-11-2025 OM 15.18 UUR LS MADAME CROQUO BV BE8500 KORTRIJK MET APPLE PAY 5127 88XX XXXX 8113 VIRTUEEL KAARTNUMMER CONTACTLOZE BETALING: 5354 00XX XXXX 8030 KAARTHOUDER: BOMBAERT BRAM</t>
  </si>
  <si>
    <t>BETALING VIA DEBIT MASTERCARD        17-11 15-11-2025 OM 14.33 UUR ACTION 2002 BE8520 KUURNE MET APPLE PAY 5127 88XX XXXX 8113 VIRTUEEL KAARTNUMMER CONTACTLOZE BETALING: 5354 00XX XXXX 8030 KAARTHOUDER: BOMBAERT BRAM</t>
  </si>
  <si>
    <t>INSTANTOVERSCHRIJVING NAAR           15-11 BE97 7376 0400 9949 BANKIER BEGUNSTIGDE: KREDBEBBXXX DHONDT MONICA WERO ROTTY CHRISTOFF OM 22.33 MET WERO</t>
  </si>
  <si>
    <t>INSTANTOVERSCHRIJVING VAN            15-11 BE87 7380 4370 5794 BANKIER OPDRACHTGEVER: KREDBEBBXXX DHONDT-BELLETER M &amp; C WERO DHONDT  MONICA OM 20.17 MET WERO</t>
  </si>
  <si>
    <t>BETALING VIA BANCONTACT              17-11 15-11-2025 OM 14.00 UUR CARWASH DE SINGEL KUUR BE8250 KUUME MET KBC-DEBETKAART 6703 42XX XXXX X901 0 KAARTHOUDER: ROTTY CHRISTOFF</t>
  </si>
  <si>
    <t>BETALING VIA BANCONTACT              17-11 15-11-2025 OM 12.10 UUR DOCCLE -MEDISCHCENTRUM BE8500 KORTRIJK MET KBC-DEBETKAART 5127 88XX XXXX 8113 KAARTHOUDER: BOMBAERT BRAM INFO VAN DE HANDELAAR: 251103693367</t>
  </si>
  <si>
    <t>BETALING VIA BANCONTACT              17-11 14-11-2025 OM 22.54 UUR BJORN P2P MOBILE MET KBC-DEBETKAART 6703 42XX XXXX X901 0 KAARTHOUDER: ROTTY CHRISTOFF</t>
  </si>
  <si>
    <t>INSTANTOVERSCHRIJVING NAAR           14-11 BE20 1430 9338 7156 BANKIER BEGUNSTIGDE: GEBABEBBXXX VERDURME KRISTOF WERO ROTTY CHRISTOFF OM 20.46 MET WERO</t>
  </si>
  <si>
    <t>BETALING VIA DEBIT MASTERCARD        17-11 13-11-2025 OM 17.02 UUR LIDL 803 KORTRIJK 2 BE8500 KORTRIJK MET APPLE PAY 5127 88XX XXXX 8113 VIRTUEEL KAARTNUMMER CONTACTLOZE BETALING: 5354 00XX XXXX 8030 KAARTHOUDER: BOMBAERT BRAM</t>
  </si>
  <si>
    <t>BETALING VIA MAESTRO                 14-11 13-11-2025 OM 12.19 UUR VALINSOPAY NL NL WIJK EN AALBU MET APPLE PAY 6703 42XX XXXX X901 0 VIRTUEEL KAARTNUMMER CONTACTLOZE BETALING: 6790 28XX XXXX X658 7 KAARTHOUDER: ROTTY CHRISTOFF</t>
  </si>
  <si>
    <t>BETALING VIA DEBIT MASTERCARD        14-11 13-11-2025 OM 05.45 UUR OVO CHARGE ANYWHERE GBBS1 6ED BRISTOL MET APPLE PAY 5127 88XX XXXX 8113 VIRTUEEL KAARTNUMMER CONTACTLOZE BETALING: 5354 00XX XXXX 6677 KAARTHOUDER: BOMBAERT BRAM</t>
  </si>
  <si>
    <t>OVERSCHRIJVING NAAR                  13-11 BE79 3632 2576 6833 BANKIER BEGUNSTIGDE: LASER LINE PAYCONIQ 0B68B9BB6EE8A55B0607C6A2 LASER LINE MET PAYCONIQ IN KBC MOBILE</t>
  </si>
  <si>
    <t>BETALING VIA DEBIT MASTERCARD        13-11 12-11-2025 OM 13.58 UUR LIDL 803 KORTRIJK 2 BE8500 KORTRIJK MET APPLE PAY 5127 88XX XXXX 8113 VIRTUEEL KAARTNUMMER CONTACTLOZE BETALING: 5354 00XX XXXX 8030 KAARTHOUDER: BOMBAERT BRAM</t>
  </si>
  <si>
    <t>BETALING VIA DEBIT MASTERCARD        13-11 12-11-2025 OM 18.16 UUR CARREFOUR MARKE BE8510 MARKE MET KBC-DEBETKAART 5127 88XX XXXX 8113 KAARTHOUDER: BOMBAERT BRAM</t>
  </si>
  <si>
    <t>STORTING AUTOMAAT                    13-11 BC KONINGIN MARIA H       GENT MET KBC-DEBETKAART 6703 42XX XXXX X901 0 KAARTHOUDER ROTTY CHRISTOFF REFERTE 000401856092412511131524</t>
  </si>
  <si>
    <t>BETALING VIA BANCONTACT              13-11 13-11-2025 OM 12.53 UUR DOMINIQUE P2P MOBILE MET KBC-DEBETKAART 6703 42XX XXXX X901 0 KAARTHOUDER: ROTTY CHRISTOFF</t>
  </si>
  <si>
    <t>BETALING VIA MAESTRO                 13-11 12-11-2025 OM 10.19 UUR VALINSOPAY NL NL WIJK EN AALBU MET APPLE PAY 6703 42XX XXXX X901 0 VIRTUEEL KAARTNUMMER CONTACTLOZE BETALING: 6790 28XX XXXX X005 7 KAARTHOUDER: ROTTY CHRISTOFF</t>
  </si>
  <si>
    <t>BETALING VIA MAESTRO                 13-11 12-11-2025 OM 14.17 UUR VALINSOPAY NL NL WIJK EN AALBU MET APPLE PAY 6703 42XX XXXX X901 0 VIRTUEEL KAARTNUMMER CONTACTLOZE BETALING: 6790 28XX XXXX X658 7 KAARTHOUDER: ROTTY CHRISTOFF</t>
  </si>
  <si>
    <t>BETALING VIA MAESTRO                 13-11 12-11-2025 OM 13.42 UUR VALINSOPAY NL NL WIJK EN AALBU MET APPLE PAY 6703 42XX XXXX X901 0 VIRTUEEL KAARTNUMMER CONTACTLOZE BETALING: 6790 28XX XXXX X658 7 KAARTHOUDER: ROTTY CHRISTOFF</t>
  </si>
  <si>
    <t>BETALING VIA DEBIT MASTERCARD        12-11 11-11-2025 OM 10.38 UUR CARREFOUR MARKE BE8510 MARKE MET APPLE PAY 5127 88XX XXXX 8113 VIRTUEEL KAARTNUMMER CONTACTLOZE BETALING: 5354 00XX XXXX 6677 KAARTHOUDER: BOMBAERT BRAM</t>
  </si>
  <si>
    <t>BETALING VIA BANCONTACT              12-11 12-11-2025 OM 13.38 UUR LIEN P2P MOBILE MET KBC-DEBETKAART 5127 88XX XXXX 8113 KAARTHOUDER: BOMBAERT BRAM</t>
  </si>
  <si>
    <t>BETALING VIA DEBIT MASTERCARD        12-11 11-11-2025 OM 12.28 UUR OVO CHARGE ANYWHERE GBBS1 6ED BRISTOL MET APPLE PAY 5127 88XX XXXX 8113 VIRTUEEL KAARTNUMMER CONTACTLOZE BETALING: 5354 00XX XXXX 6677 KAARTHOUDER: BOMBAERT BRAM</t>
  </si>
  <si>
    <t>BETALING VIA BANCONTACT              12-11 11-11-2025 OM 17.42 UUR ZALANDO PAYMENTS GMBH DE10243 BERLIN MET KBC-DEBETKAART 6703 42XX XXXX X901 0 KAARTHOUDER: ROTTY CHRISTOFF</t>
  </si>
  <si>
    <t>BETALING VIA DEBIT MASTERCARD        12-11 10-11-2025 OM 11.28 UUR LIDL 803 KORTRIJK 2 BE8500 KORTRIJK MET APPLE PAY 5127 88XX XXXX 8113 VIRTUEEL KAARTNUMMER CONTACTLOZE BETALING: 5354 00XX XXXX 8030 KAARTHOUDER: BOMBAERT BRAM</t>
  </si>
  <si>
    <t>BETALING VIA DEBIT MASTERCARD        12-11 10-11-2025 OM 10.17 UUR EURO SHOP KORTRIJK BE8800 ROESELARE MET APPLE PAY 5127 88XX XXXX 8113 VIRTUEEL KAARTNUMMER CONTACTLOZE BETALING: 5354 00XX XXXX 6677 KAARTHOUDER: BOMBAERT BRAM</t>
  </si>
  <si>
    <t>BETALING VIA DEBIT MASTERCARD        12-11 10-11-2025 OM 18.11 UUR DUPONZOO 2 BE8520 KUURNE MET APPLE PAY 5127 88XX XXXX 8113 VIRTUEEL KAARTNUMMER CONTACTLOZE BETALING: 5354 00XX XXXX 6677 KAARTHOUDER: BOMBAERT BRAM</t>
  </si>
  <si>
    <t>BETALING VIA DEBIT MASTERCARD        12-11 10-11-2025 OM 08.07 UUR OVO CHARGE ANYWHERE GBBS1 6ED BRISTOL MET APPLE PAY 5127 88XX XXXX 8113 VIRTUEEL KAARTNUMMER CONTACTLOZE BETALING: 5354 00XX XXXX 6677 KAARTHOUDER: BOMBAERT BRAM</t>
  </si>
  <si>
    <t>BETALING VIA DEBIT MASTERCARD        10-11 08-11-2025 OM 14.46 UUR DECATHLON 384 KORTRIJK BE8500 KORTRIJK MET APPLE PAY 5127 88XX XXXX 8113 VIRTUEEL KAARTNUMMER CONTACTLOZE BETALING: 5354 00XX XXXX 6677 KAARTHOUDER: BOMBAERT BRAM</t>
  </si>
  <si>
    <t>BETALING VIA BANCONTACT              10-11 10-11-2025 OM 11.11 UUR BANCONTACT PAYCONIQ CO BE8770 INGELMUNSTER MET KBC-DEBETKAART 5127 88XX XXXX 8113 KAARTHOUDER: BOMBAERT BRAM INFO VAN DE HANDELAAR: PAYMENT DESCRIPTION</t>
  </si>
  <si>
    <t>BETALING VIA MAESTRO                 10-11 07-11-2025 OM 13.47 UUR VALINSOPAY NL NL WIJK EN AALBU MET APPLE PAY 6703 42XX XXXX X901 0 VIRTUEEL KAARTNUMMER CONTACTLOZE BETALING: 6790 28XX XXXX X658 7 KAARTHOUDER: ROTTY CHRISTOFF</t>
  </si>
  <si>
    <t>BETALING VIA MAESTRO                 10-11 07-11-2025 OM 10.42 UUR VALINSOPAY NL NL WIJK EN AALBU MET APPLE PAY 6703 42XX XXXX X901 0 VIRTUEEL KAARTNUMMER CONTACTLOZE BETALING: 6790 28XX XXXX X658 7 KAARTHOUDER: ROTTY CHRISTOFF</t>
  </si>
  <si>
    <t>BETALING VIA DEBIT MASTERCARD        10-11 08-11-2025 OM 07.47 UUR OVO CHARGE ANYWHERE GBBS1 6ED BRISTOL MET APPLE PAY 5127 88XX XXXX 8113 VIRTUEEL KAARTNUMMER CONTACTLOZE BETALING: 5354 00XX XXXX 6677 KAARTHOUDER: BOMBAERT BRAM</t>
  </si>
  <si>
    <t>BETALING VIA BANCONTACT              10-11 08-11-2025 OM 14.55 UUR SARAH P2P MOBILE MET KBC-DEBETKAART 5127 88XX XXXX 8113 KAARTHOUDER: BOMBAERT BRAM</t>
  </si>
  <si>
    <t>BETALING VIA BANCONTACT              07-11 07-11-2025 OM 17.00 UUR BRICOPLANIT 4210 KORTR BE8500 KORTRIJK MET KBC-DEBETKAART 5127 88XX XXXX 8113 KAARTHOUDER: BOMBAERT BRAM</t>
  </si>
  <si>
    <t>BETALING VIA DEBIT MASTERCARD        07-11 06-11-2025 OM 16.23 UUR LIDL 803 KORTRIJK 2 BE8500 KORTRIJK MET APPLE PAY 5127 88XX XXXX 8113 VIRTUEEL KAARTNUMMER CONTACTLOZE BETALING: 5354 00XX XXXX 6677 KAARTHOUDER: BOMBAERT BRAM</t>
  </si>
  <si>
    <t>BETALING VIA DEBIT MASTERCARD        07-11 06-11-2025 OM 16.41 UUR CARREFOUR MARKE BE8510 MARKE MET APPLE PAY 5127 88XX XXXX 8113 VIRTUEEL KAARTNUMMER CONTACTLOZE BETALING: 5354 00XX XXXX 6677 KAARTHOUDER: BOMBAERT BRAM</t>
  </si>
  <si>
    <t>BETALING VIA MAESTRO                 07-11 06-11-2025 OM 10.40 UUR VALINSOPAY NL NL WIJK EN AALBU MET APPLE PAY 6703 42XX XXXX X901 0 VIRTUEEL KAARTNUMMER CONTACTLOZE BETALING: 6790 28XX XXXX X658 7 KAARTHOUDER: ROTTY CHRISTOFF</t>
  </si>
  <si>
    <t>BETALING VIA MAESTRO                 07-11 06-11-2025 OM 12.43 UUR VALINSOPAY NL NL WIJK EN AALBU MET APPLE PAY 6703 42XX XXXX X901 0 VIRTUEEL KAARTNUMMER CONTACTLOZE BETALING: 6790 28XX XXXX X658 7 KAARTHOUDER: ROTTY CHRISTOFF</t>
  </si>
  <si>
    <t>EUROPESE DOMICILIERING               07-11 SCHULDEISER     : EUROMEX NV REF. SCHULDEISER: BALN-BE-EMX-P-DF9RK1RKWT5HFE MANDAATREFERTE  : 30507E MEDEDELING      : SCOR                   BBA                   251182091797</t>
  </si>
  <si>
    <t>EUROPESE DOMICILIERING               07-11 SCHULDEISER     : ONESTO KREDIETMAATSCHAPPIJ REF. SCHULDEISER: CASHFLOW-60005967 MANDAATREFERTE  : BE96SDA077001313774 MEDEDELING      : DOSSIER 077001313774 - 01112025</t>
  </si>
  <si>
    <t>EUROPESE DOMICILIERING               07-11 SCHULDEISER     : DATS 24  NV REF. SCHULDEISER: 030205088611 REF: 2638894 MANDAATREFERTE  : DAKL-000000538161-5-1 MEDEDELING      : 2638894 DATS24 00737137</t>
  </si>
  <si>
    <t>EUROPESE DOMICILIERING               07-11 SCHULDEISER     : SOLIDARIS WEST-VLAANDEREN REF. SCHULDEISER: 507549947583 MANDAATREFERTE  : SDD30984112213972202203030070 MEDEDELING      : 507549947583 - DENTAPLAN TOT 280220 26/5591566</t>
  </si>
  <si>
    <t>BETALING VIA DEBIT MASTERCARD        07-11 06-11-2025 OM 05.08 UUR OVO CHARGE ANYWHERE GBBS1 6ED BRISTOL MET APPLE PAY 5127 88XX XXXX 8113 VIRTUEEL KAARTNUMMER CONTACTLOZE BETALING: 5354 00XX XXXX 6677 KAARTHOUDER: BOMBAERT BRAM</t>
  </si>
  <si>
    <t>BETALING VIA DEBIT MASTERCARD        07-11 05-11-2025 OM 16.05 UUR LIDL 803 KORTRIJK 2 BE8500 KORTRIJK MET APPLE PAY 5127 88XX XXXX 8113 VIRTUEEL KAARTNUMMER CONTACTLOZE BETALING: 5354 00XX XXXX 8030 KAARTHOUDER: BOMBAERT BRAM</t>
  </si>
  <si>
    <t>BETALING VIA BANCONTACT              06-11 06-11-2025 OM 15.19 UUR BOL.COM NL3528 BJ UTRECHT MET KBC-DEBETKAART 5127 88XX XXXX 8113 KAARTHOUDER: BOMBAERT BRAM</t>
  </si>
  <si>
    <t>BETALING VIA MAESTRO                 06-11 05-11-2025 OM 12.34 UUR VALINSOPAY NL NL WIJK EN AALBU MET APPLE PAY 6703 42XX XXXX X901 0 VIRTUEEL KAARTNUMMER CONTACTLOZE BETALING: 6790 28XX XXXX X658 7 KAARTHOUDER: ROTTY CHRISTOFF</t>
  </si>
  <si>
    <t>BETALING VIA MAESTRO                 06-11 05-11-2025 OM 11.53 UUR Q8 108131 GENTBRUGGE V BE GENTBRUGGE MET APPLE PAY 6703 42XX XXXX X901 0 VIRTUEEL KAARTNUMMER CONTACTLOZE BETALING: 6790 28XX XXXX X658 7 KAARTHOUDER: ROTTY CHRISTOFF</t>
  </si>
  <si>
    <t>TERUGBETALING                        06-11 LENING OP AFBETALING VOLGENS AFLOSSINGSPLAN REFERENTIE 420-6466664-69</t>
  </si>
  <si>
    <t>OVERSCHRIJVING NAAR                  05-11 BE79 3632 2576 6833 BANKIER BEGUNSTIGDE: DOKTER FLORIN DENNIS PAYCONIQ 42E5F1AD76EDF884BF446C67 DOKTER FLORIN DENNI S MET PAYCONIQ IN KBC MOBILE</t>
  </si>
  <si>
    <t>BETALING VIA MAESTRO                 05-11 04-11-2025 OM 08.25 UUR SSP GENT MARIA HEN BE GENT MET APPLE PAY 6703 42XX XXXX X901 0 VIRTUEEL KAARTNUMMER CONTACTLOZE BETALING: 6790 28XX XXXX X658 7 KAARTHOUDER: ROTTY CHRISTOFF</t>
  </si>
  <si>
    <t>BETALING VIA MAESTRO                 05-11 04-11-2025 OM 14.39 UUR VAC GENT BE GENT MET APPLE PAY 6703 42XX XXXX X901 0 VIRTUEEL KAARTNUMMER CONTACTLOZE BETALING: 6790 28XX XXXX X658 7 KAARTHOUDER: ROTTY CHRISTOFF</t>
  </si>
  <si>
    <t>BETALING VIA MAESTRO                 05-11 04-11-2025 OM 13.02 UUR VAC GENT BE GENT MET APPLE PAY 6703 42XX XXXX X901 0 VIRTUEEL KAARTNUMMER CONTACTLOZE BETALING: 6790 28XX XXXX X658 7 KAARTHOUDER: ROTTY CHRISTOFF</t>
  </si>
  <si>
    <t>BETALING VIA MAESTRO                 05-11 04-11-2025 OM 12.33 UUR VAC GENT BE GENT MET APPLE PAY 6703 42XX XXXX X901 0 VIRTUEEL KAARTNUMMER CONTACTLOZE BETALING: 6790 28XX XXXX X658 7 KAARTHOUDER: ROTTY CHRISTOFF</t>
  </si>
  <si>
    <t>EUROPESE DOMICILIERING               05-11 SCHULDEISER     : CHARGEMAP SAS REF. SCHULDEISER: STR16NATM2T61B0YRK2T2RANMNOLQ1EA73 MANDAATREFERTE  : YGAYU1XCULZ4UQUA MEDEDELING      : CHARGEMAP</t>
  </si>
  <si>
    <t>BETALING VIA BANCONTACT              04-11 04-11-2025 OM 17.00 UUR APOTHEEK ARIE BE8510 MARKE MET KBC-DEBETKAART 5127 88XX XXXX 8113 KAARTHOUDER: BOMBAERT BRAM</t>
  </si>
  <si>
    <t>BETALING VIA DEBIT MASTERCARD        04-11 03-11-2025 OM 18.25 UUR CARREFOUR MARKE BE8510 MARKE MET APPLE PAY 5127 88XX XXXX 8113 VIRTUEEL KAARTNUMMER CONTACTLOZE BETALING: 5354 00XX XXXX 6677 KAARTHOUDER: BOMBAERT BRAM</t>
  </si>
  <si>
    <t>BETALING VIA MAESTRO                 04-11 03-11-2025 OM 07.55 UUR NYA*SELECTA BELGIUM NV BE BRUSSELS MET APPLE PAY 6703 42XX XXXX X901 0 VIRTUEEL KAARTNUMMER CONTACTLOZE BETALING: 6790 28XX XXXX X005 7 KAARTHOUDER: ROTTY CHRISTOFF</t>
  </si>
  <si>
    <t>BETALING VIA MAESTRO                 04-11 03-11-2025 OM 10.12 UUR VALINSOPAY NL NL WIJK EN AALBU MET APPLE PAY 6703 42XX XXXX X901 0 VIRTUEEL KAARTNUMMER CONTACTLOZE BETALING: 6790 28XX XXXX X658 7 KAARTHOUDER: ROTTY CHRISTOFF</t>
  </si>
  <si>
    <t>BETALING VIA MAESTRO                 04-11 03-11-2025 OM 12.30 UUR VALINSOPAY NL NL WIJK EN AALBU MET APPLE PAY 6703 42XX XXXX X901 0 VIRTUEEL KAARTNUMMER CONTACTLOZE BETALING: 6790 28XX XXXX X658 7 KAARTHOUDER: ROTTY CHRISTOFF</t>
  </si>
  <si>
    <t>BETALING VIA DEBIT MASTERCARD        03-11 02-11-2025 OM 11.40 UUR CARREFOUR MARKE BE8510 MARKE MET KBC-DEBETKAART 5127 88XX XXXX 8113 KAARTHOUDER: BOMBAERT BRAM</t>
  </si>
  <si>
    <t>BETALING VIA DEBIT MASTERCARD        03-11 02-11-2025 OM 17.22 UUR COOLBLUE N.V. BE2600 BERCHEM MET APPLE PAY 5127 88XX XXXX 8113 VIRTUEEL KAARTNUMMER CONTACTLOZE BETALING: 5354 00XX XXXX 6677 KAARTHOUDER: BOMBAERT BRAM</t>
  </si>
  <si>
    <t>BETALING VIA MAESTRO                 03-11 31-10-2025 OM 12.46 UUR CCV*POESKAFFEE BE OOSTENDE MET APPLE PAY 6703 42XX XXXX X901 0 VIRTUEEL KAARTNUMMER CONTACTLOZE BETALING: 6790 28XX XXXX X658 7 KAARTHOUDER: ROTTY CHRISTOFF</t>
  </si>
  <si>
    <t>EUROPESE DOMICILIERING               03-11 SCHULDEISER     : ACV-CSC REF. SCHULDEISER: 1125 BIJDRAGEN 112025-112025 MANDAATREFERTE  : N00814013 MEDEDELING      : SCOR                   BBA                   081760860769</t>
  </si>
  <si>
    <t>EUROPESE DOMICILIERING               03-11 SCHULDEISER     : LUMINUS SA REF. SCHULDEISER: 002573173996 MANDAATREFERTE  : 0087006660811 MEDEDELING      : LUMINUS VOORSCHOT 5674242917</t>
  </si>
  <si>
    <t>EUROPESE DOMICILIERING               03-11 SCHULDEISER     : DKV BELGIUM REF. SCHULDEISER: 2025297345523551X000000000000001 MANDAATREFERTE  : 345523551/002 MEDEDELING      : 1125-1225 PREMIE</t>
  </si>
  <si>
    <t>EUROPESE DOMICILIERING               03-11 SCHULDEISER     : DKV BELGIUM REF. SCHULDEISER: 2025297358543901X000000000000001 MANDAATREFERTE  : 358543901/001 MEDEDELING      : 1125-1225 PREMIE</t>
  </si>
  <si>
    <t>EUROPESE DOMICILIERING               03-11 SCHULDEISER     : MEDIAHUIS NV - NB REF. SCHULDEISER: K1012826 MANDAATREFERTE  : 101000942759 MEDEDELING      : ABONR. 5862848 : 04/11/25 - 03/12/2 5</t>
  </si>
  <si>
    <t>BETALING VIA DEBIT MASTERCARD        03-11 31-10-2025 OM 14.44 UUR LIDL 803 KORTRIJK 2 BE8500 KORTRIJK MET APPLE PAY 5127 88XX XXXX 8113 VIRTUEEL KAARTNUMMER CONTACTLOZE BETALING: 5354 00XX XXXX 8030 KAARTHOUDER: BOMBAERT BRAM</t>
  </si>
  <si>
    <t>AUTOMATISCH SPAREN                   01-11 NAAR BE13 7460 4686 9539 AUTOMATISCH SPAREN</t>
  </si>
  <si>
    <t>AUTOMATISCHE BETALING                01-11 FLEX BUDGET 420-6319589-46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</si>
</sst>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pivotButton="1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4" fillId="2" borderId="0" xfId="0" applyNumberFormat="1" applyFont="1" applyFill="1"/>
    <xf numFmtId="10" fontId="0" fillId="2" borderId="0" xfId="0" applyNumberFormat="1" applyFill="1"/>
    <xf numFmtId="2" fontId="4" fillId="3" borderId="0" xfId="0" applyNumberFormat="1" applyFont="1" applyFill="1" applyProtection="1">
      <protection locked="0"/>
    </xf>
    <xf numFmtId="164" fontId="4" fillId="2" borderId="0" xfId="0" applyNumberFormat="1" applyFont="1" applyFill="1"/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2" fontId="0" fillId="5" borderId="0" xfId="0" applyNumberFormat="1" applyFill="1"/>
    <xf numFmtId="0" fontId="8" fillId="2" borderId="0" xfId="0" applyFont="1" applyFill="1"/>
    <xf numFmtId="0" fontId="0" fillId="6" borderId="0" xfId="0" applyFill="1" applyAlignment="1">
      <alignment horizontal="left"/>
    </xf>
    <xf numFmtId="2" fontId="4" fillId="2" borderId="0" xfId="0" applyNumberFormat="1" applyFont="1" applyFill="1" applyProtection="1">
      <protection locked="0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0" fillId="0" borderId="0" xfId="0" applyNumberFormat="1"/>
    <xf numFmtId="2" fontId="0" fillId="0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6" borderId="0" xfId="0" applyNumberFormat="1" applyFill="1"/>
  </cellXfs>
  <cellStyles count="1">
    <cellStyle name="Standaard" xfId="0" builtinId="0"/>
  </cellStyles>
  <dxfs count="186"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 tint="4.9989318521683403E-2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2" formatCode="0.00"/>
      <fill>
        <patternFill patternType="solid">
          <fgColor indexed="64"/>
          <bgColor theme="1"/>
        </patternFill>
      </fill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numFmt numFmtId="2" formatCode="0.00"/>
      <protection locked="1" hidden="0"/>
    </dxf>
    <dxf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protection locked="1" hidden="0"/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533041871717241E-2"/>
          <c:y val="3.1519199348380926E-2"/>
          <c:w val="0.90246692759381608"/>
          <c:h val="0.89633174502607615"/>
        </c:manualLayout>
      </c:layout>
      <c:lineChart>
        <c:grouping val="standard"/>
        <c:varyColors val="0"/>
        <c:ser>
          <c:idx val="1"/>
          <c:order val="0"/>
          <c:tx>
            <c:v>inkomst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Dashboard!$C$8:$N$8</c:f>
              <c:numCache>
                <c:formatCode>0.00</c:formatCode>
                <c:ptCount val="12"/>
                <c:pt idx="0">
                  <c:v>4880.3500000000004</c:v>
                </c:pt>
                <c:pt idx="1">
                  <c:v>4656.53</c:v>
                </c:pt>
                <c:pt idx="2">
                  <c:v>5546.02</c:v>
                </c:pt>
                <c:pt idx="3">
                  <c:v>5108.93</c:v>
                </c:pt>
                <c:pt idx="4">
                  <c:v>7249.02</c:v>
                </c:pt>
                <c:pt idx="5">
                  <c:v>6896.6299999999992</c:v>
                </c:pt>
                <c:pt idx="6">
                  <c:v>5039.74</c:v>
                </c:pt>
                <c:pt idx="7">
                  <c:v>4526.2800000000007</c:v>
                </c:pt>
                <c:pt idx="8">
                  <c:v>5638.08</c:v>
                </c:pt>
                <c:pt idx="9">
                  <c:v>5258.8099999999995</c:v>
                </c:pt>
                <c:pt idx="10">
                  <c:v>5120.21</c:v>
                </c:pt>
                <c:pt idx="11">
                  <c:v>5123.7299999999996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0-46ED-BF17-948F1618512F}"/>
            </c:ext>
          </c:extLst>
        </c:ser>
        <c:ser>
          <c:idx val="2"/>
          <c:order val="1"/>
          <c:tx>
            <c:v>uitgave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Dashboard!$C$78:$N$78</c:f>
              <c:numCache>
                <c:formatCode>General</c:formatCode>
                <c:ptCount val="12"/>
                <c:pt idx="0">
                  <c:v>-5760.35</c:v>
                </c:pt>
                <c:pt idx="1">
                  <c:v>-6451.93</c:v>
                </c:pt>
                <c:pt idx="2">
                  <c:v>-2835.4800000000005</c:v>
                </c:pt>
                <c:pt idx="3">
                  <c:v>-6366.1400000000012</c:v>
                </c:pt>
                <c:pt idx="4">
                  <c:v>-6329.9699999999993</c:v>
                </c:pt>
                <c:pt idx="5">
                  <c:v>-5551.75</c:v>
                </c:pt>
                <c:pt idx="6">
                  <c:v>-5447.02</c:v>
                </c:pt>
                <c:pt idx="7">
                  <c:v>-4973.72</c:v>
                </c:pt>
                <c:pt idx="8">
                  <c:v>-5051.45</c:v>
                </c:pt>
                <c:pt idx="9">
                  <c:v>-6452.33</c:v>
                </c:pt>
                <c:pt idx="10">
                  <c:v>-4637.0400000000009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30-46ED-BF17-948F16185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558527"/>
        <c:axId val="2025578687"/>
      </c:lineChart>
      <c:catAx>
        <c:axId val="202555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Rood: inkomsten - Groen: uitgaven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25578687"/>
        <c:crosses val="autoZero"/>
        <c:auto val="1"/>
        <c:lblAlgn val="ctr"/>
        <c:lblOffset val="100"/>
        <c:noMultiLvlLbl val="0"/>
      </c:catAx>
      <c:valAx>
        <c:axId val="202557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2555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[huishoud.xlsx]Dashboard!Draaitabel2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Dashboard!$B$115</c:f>
              <c:strCache>
                <c:ptCount val="1"/>
                <c:pt idx="0">
                  <c:v>Totaal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Dashboard!$A$116:$A$128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maart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augustus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Dashboard!$B$116:$B$128</c:f>
              <c:numCache>
                <c:formatCode>General</c:formatCode>
                <c:ptCount val="12"/>
                <c:pt idx="1">
                  <c:v>104.9</c:v>
                </c:pt>
                <c:pt idx="2">
                  <c:v>114.895</c:v>
                </c:pt>
                <c:pt idx="3">
                  <c:v>129.88499999999999</c:v>
                </c:pt>
                <c:pt idx="4">
                  <c:v>149.87</c:v>
                </c:pt>
                <c:pt idx="5">
                  <c:v>174.85</c:v>
                </c:pt>
                <c:pt idx="6">
                  <c:v>175.82499999999999</c:v>
                </c:pt>
                <c:pt idx="7">
                  <c:v>239.82400000000001</c:v>
                </c:pt>
                <c:pt idx="8">
                  <c:v>279.76</c:v>
                </c:pt>
                <c:pt idx="9">
                  <c:v>324.72000000000003</c:v>
                </c:pt>
                <c:pt idx="10">
                  <c:v>374.67500000000001</c:v>
                </c:pt>
                <c:pt idx="11">
                  <c:v>429.625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D-4118-8348-3A1882EC3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695567"/>
        <c:axId val="2012693647"/>
      </c:lineChart>
      <c:catAx>
        <c:axId val="201269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12693647"/>
        <c:crosses val="autoZero"/>
        <c:auto val="1"/>
        <c:lblAlgn val="ctr"/>
        <c:lblOffset val="100"/>
        <c:noMultiLvlLbl val="0"/>
      </c:catAx>
      <c:valAx>
        <c:axId val="20126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1269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76</xdr:row>
      <xdr:rowOff>8043</xdr:rowOff>
    </xdr:from>
    <xdr:to>
      <xdr:col>17</xdr:col>
      <xdr:colOff>25399</xdr:colOff>
      <xdr:row>112</xdr:row>
      <xdr:rowOff>179917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C831768-277C-4E0F-AB5C-2645C0C5E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33866</xdr:colOff>
      <xdr:row>113</xdr:row>
      <xdr:rowOff>183725</xdr:rowOff>
    </xdr:from>
    <xdr:to>
      <xdr:col>17</xdr:col>
      <xdr:colOff>55034</xdr:colOff>
      <xdr:row>128</xdr:row>
      <xdr:rowOff>188382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E3F4CB92-A88C-C479-20D8-55D919985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ff Rotty" refreshedDate="45865.580618287036" createdVersion="8" refreshedVersion="8" minRefreshableVersion="3" recordCount="12" xr:uid="{A0EADDF2-351E-4794-9F12-492AC6BE8B66}">
  <cacheSource type="worksheet">
    <worksheetSource name="Tabel3"/>
  </cacheSource>
  <cacheFields count="4">
    <cacheField name="maand" numFmtId="0">
      <sharedItems containsBlank="1" count="13">
        <s v="januari"/>
        <s v="februari"/>
        <s v="maart"/>
        <s v="april"/>
        <s v="mei"/>
        <s v="juni"/>
        <s v="juli"/>
        <s v="augustus"/>
        <s v="september"/>
        <s v="oktober"/>
        <s v="november"/>
        <s v="december"/>
        <m u="1"/>
      </sharedItems>
    </cacheField>
    <cacheField name="water (m³)" numFmtId="0">
      <sharedItems containsSemiMixedTypes="0" containsString="0" containsNumber="1" containsInteger="1" minValue="100" maxValue="430"/>
    </cacheField>
    <cacheField name="Water (m³) netto" numFmtId="0">
      <sharedItems containsString="0" containsBlank="1" containsNumber="1" minValue="104.9" maxValue="429.625"/>
    </cacheField>
    <cacheField name="opmerkinge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ff Rotty" refreshedDate="45993.853600694441" createdVersion="8" refreshedVersion="8" minRefreshableVersion="3" recordCount="2257" xr:uid="{37D8D32B-1E0C-4A5E-BCFD-69AF9CCA8BB5}">
  <cacheSource type="worksheet">
    <worksheetSource name="Tabel1"/>
  </cacheSource>
  <cacheFields count="9">
    <cacheField name="datum" numFmtId="14">
      <sharedItems containsSemiMixedTypes="0" containsNonDate="0" containsDate="1" containsString="0" minDate="2025-01-01T00:00:00" maxDate="2025-12-02T00:00:00"/>
    </cacheField>
    <cacheField name="maand" numFmtId="0">
      <sharedItems count="27">
        <s v="januari "/>
        <s v="februari "/>
        <s v="maart "/>
        <s v="april "/>
        <s v="mei "/>
        <s v="juni "/>
        <s v="juli "/>
        <s v="augustus "/>
        <s v="september "/>
        <s v="oktober "/>
        <s v="november "/>
        <s v="december "/>
        <s v="m" u="1"/>
        <s v="juli 2025" u="1"/>
        <s v="augustus 2024" u="1"/>
        <s v="september 2024" u="1"/>
        <s v="juni 2025" u="1"/>
        <s v="mei 2025" u="1"/>
        <s v="april 2025" u="1"/>
        <s v="maart 2025" u="1"/>
        <s v="februari 2025" u="1"/>
        <s v="januari 2025" u="1"/>
        <s v="december 2024" u="1"/>
        <s v="november 2024" u="1"/>
        <s v="oktober 2024" u="1"/>
        <s v="Butget" u="1"/>
        <s v="januari 1900" u="1"/>
      </sharedItems>
    </cacheField>
    <cacheField name="bedrag" numFmtId="0">
      <sharedItems containsSemiMixedTypes="0" containsString="0" containsNumber="1" minValue="-1385" maxValue="4520.3999999999996"/>
    </cacheField>
    <cacheField name="categorie" numFmtId="0">
      <sharedItems containsMixedTypes="1" containsNumber="1" containsInteger="1" minValue="0" maxValue="0" count="68">
        <s v="Inkomsten Loon"/>
        <s v="Ouders Bram"/>
        <s v="voeding"/>
        <s v="Hospitalisatie"/>
        <s v="Laadbeurt"/>
        <s v="Parkeren"/>
        <s v="gas/elektriciteit"/>
        <s v="school Bram"/>
        <s v="uitstapkes"/>
        <s v="restaurant"/>
        <s v="Louis/Vis"/>
        <s v="automaat De Lijn"/>
        <s v="kledij"/>
        <s v="kapster"/>
        <s v="ICT"/>
        <s v="Ikea"/>
        <s v="Gezondheid"/>
        <s v="Allerlei"/>
        <s v="Deborah/nieuwkuis"/>
        <s v="hypotheek"/>
        <s v="vakbond"/>
        <s v="Euromex"/>
        <s v="EuroShop"/>
        <s v="Bol"/>
        <s v="Streamz"/>
        <s v="kruidvat"/>
        <s v="Brico"/>
        <s v="pensioensparen"/>
        <s v="krant"/>
        <s v="Coolblue"/>
        <s v="GSM Bram"/>
        <s v="Cardif"/>
        <s v="NMBS"/>
        <s v="AXA"/>
        <s v="car wash"/>
        <s v="Laserontharing"/>
        <s v="Leasing Auto"/>
        <s v="Telenet"/>
        <s v="Water"/>
        <s v="Ramenwas"/>
        <s v="Bankkost"/>
        <s v="Koffie"/>
        <s v="Hema"/>
        <s v="verzekering"/>
        <s v="cadeautjes"/>
        <s v="belasting"/>
        <s v="visa"/>
        <s v="molecule"/>
        <s v="AVA"/>
        <s v="Onderhoud huis"/>
        <s v="decathlon"/>
        <s v="GSM Christoff"/>
        <s v="Dreamland"/>
        <s v="Action"/>
        <s v="Amazon"/>
        <s v="afbetaling fiets"/>
        <s v="Jysk"/>
        <s v="DPG"/>
        <s v="Rituals"/>
        <s v="omnium"/>
        <s v="Gamma"/>
        <s v="trein"/>
        <s v="Mediahuis"/>
        <s v="dietiste"/>
        <s v="Zwemmen"/>
        <s v="Auto onderhoud"/>
        <s v="standaardboekhandel"/>
        <n v="0"/>
      </sharedItems>
    </cacheField>
    <cacheField name="omschrijving" numFmtId="0">
      <sharedItems containsBlank="1" longText="1"/>
    </cacheField>
    <cacheField name="in/uitgave" numFmtId="0">
      <sharedItems/>
    </cacheField>
    <cacheField name="Bedrag +/-" numFmtId="0">
      <sharedItems containsMixedTypes="1" containsNumber="1" minValue="-1385" maxValue="4520.3999999999996"/>
    </cacheField>
    <cacheField name="vast/variabel" numFmtId="0">
      <sharedItems containsBlank="1" count="7">
        <s v="Inkomsten"/>
        <s v="Variabel"/>
        <s v="Vast"/>
        <e v="#N/A"/>
        <m u="1"/>
        <s v="sparen" u="1"/>
        <s v="eding" u="1"/>
      </sharedItems>
    </cacheField>
    <cacheField name="controle" numFmtId="0">
      <sharedItems/>
    </cacheField>
  </cacheFields>
  <extLst>
    <ext xmlns:x14="http://schemas.microsoft.com/office/spreadsheetml/2009/9/main" uri="{725AE2AE-9491-48be-B2B4-4EB974FC3084}">
      <x14:pivotCacheDefinition pivotCacheId="6529431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00"/>
    <m/>
    <s v="netto verbruik met december manueel uitrekenen"/>
  </r>
  <r>
    <x v="1"/>
    <n v="105"/>
    <n v="104.9"/>
    <m/>
  </r>
  <r>
    <x v="2"/>
    <n v="115"/>
    <n v="114.895"/>
    <m/>
  </r>
  <r>
    <x v="3"/>
    <n v="130"/>
    <n v="129.88499999999999"/>
    <m/>
  </r>
  <r>
    <x v="4"/>
    <n v="150"/>
    <n v="149.87"/>
    <m/>
  </r>
  <r>
    <x v="5"/>
    <n v="175"/>
    <n v="174.85"/>
    <m/>
  </r>
  <r>
    <x v="6"/>
    <n v="176"/>
    <n v="175.82499999999999"/>
    <m/>
  </r>
  <r>
    <x v="7"/>
    <n v="240"/>
    <n v="239.82400000000001"/>
    <m/>
  </r>
  <r>
    <x v="8"/>
    <n v="280"/>
    <n v="279.76"/>
    <m/>
  </r>
  <r>
    <x v="9"/>
    <n v="325"/>
    <n v="324.72000000000003"/>
    <m/>
  </r>
  <r>
    <x v="10"/>
    <n v="375"/>
    <n v="374.67500000000001"/>
    <m/>
  </r>
  <r>
    <x v="11"/>
    <n v="430"/>
    <n v="429.62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7">
  <r>
    <d v="2025-01-01T00:00:00"/>
    <x v="0"/>
    <n v="2693.39"/>
    <x v="0"/>
    <s v="OVERSCHRIJVING VAN                   30-12 BE64 3751 1173 1652 BANKIER OPDRACHTGEVER: BBRUBEBB VVM DE LIJN ALGEMENE REK /A/ 29076 LOON VVM 12/2024"/>
    <s v="Inkomst"/>
    <n v="2693.39"/>
    <x v="0"/>
    <s v="OK"/>
  </r>
  <r>
    <d v="2025-01-01T00:00:00"/>
    <x v="0"/>
    <n v="2186.96"/>
    <x v="0"/>
    <s v="OVERSCHRIJVING VAN                   31-12 BE57 3751 1109 9435 BANKIER OPDRACHTGEVER: BBRUBEBB OV HULPREKENING /A/E002543 - 19303221177-118257-311 BETALING-12/2024- -- REFERENTIE: 241201-002543-/A/E002543"/>
    <s v="Inkomst"/>
    <n v="2186.96"/>
    <x v="0"/>
    <s v="OK"/>
  </r>
  <r>
    <d v="2025-01-01T00:00:00"/>
    <x v="0"/>
    <n v="70"/>
    <x v="1"/>
    <m/>
    <s v="Inkomst"/>
    <n v="70"/>
    <x v="1"/>
    <s v="OK"/>
  </r>
  <r>
    <d v="2025-01-02T00:00:00"/>
    <x v="0"/>
    <n v="-65.849999999999994"/>
    <x v="2"/>
    <m/>
    <s v="Uitgave"/>
    <n v="-65.849999999999994"/>
    <x v="2"/>
    <s v="OK"/>
  </r>
  <r>
    <d v="2025-01-02T00:00:00"/>
    <x v="0"/>
    <n v="-42.81"/>
    <x v="2"/>
    <m/>
    <s v="Uitgave"/>
    <n v="-42.81"/>
    <x v="2"/>
    <s v="OK"/>
  </r>
  <r>
    <d v="2025-01-02T00:00:00"/>
    <x v="0"/>
    <n v="-40.619999999999997"/>
    <x v="3"/>
    <m/>
    <s v="Uitgave"/>
    <n v="-40.619999999999997"/>
    <x v="2"/>
    <s v="OK"/>
  </r>
  <r>
    <d v="2025-01-02T00:00:00"/>
    <x v="0"/>
    <n v="-30.79"/>
    <x v="2"/>
    <m/>
    <s v="Uitgave"/>
    <n v="-30.79"/>
    <x v="2"/>
    <s v="OK"/>
  </r>
  <r>
    <d v="2025-01-02T00:00:00"/>
    <x v="0"/>
    <n v="-13.15"/>
    <x v="4"/>
    <m/>
    <s v="Uitgave"/>
    <n v="-13.15"/>
    <x v="2"/>
    <s v="OK"/>
  </r>
  <r>
    <d v="2025-01-02T00:00:00"/>
    <x v="0"/>
    <n v="-11.25"/>
    <x v="2"/>
    <m/>
    <s v="Uitgave"/>
    <n v="-11.25"/>
    <x v="2"/>
    <s v="OK"/>
  </r>
  <r>
    <d v="2025-01-02T00:00:00"/>
    <x v="0"/>
    <n v="-5"/>
    <x v="4"/>
    <m/>
    <s v="Uitgave"/>
    <n v="-5"/>
    <x v="2"/>
    <s v="OK"/>
  </r>
  <r>
    <d v="2025-01-02T00:00:00"/>
    <x v="0"/>
    <n v="-3.27"/>
    <x v="2"/>
    <m/>
    <s v="Uitgave"/>
    <n v="-3.27"/>
    <x v="2"/>
    <s v="OK"/>
  </r>
  <r>
    <d v="2025-01-02T00:00:00"/>
    <x v="0"/>
    <n v="-1"/>
    <x v="5"/>
    <m/>
    <s v="Uitgave"/>
    <n v="-1"/>
    <x v="1"/>
    <s v="OK"/>
  </r>
  <r>
    <d v="2025-01-03T00:00:00"/>
    <x v="0"/>
    <n v="-121.5"/>
    <x v="6"/>
    <m/>
    <s v="Uitgave"/>
    <n v="-121.5"/>
    <x v="2"/>
    <s v="OK"/>
  </r>
  <r>
    <d v="2025-01-03T00:00:00"/>
    <x v="0"/>
    <n v="-65.95"/>
    <x v="7"/>
    <m/>
    <s v="Uitgave"/>
    <n v="-65.95"/>
    <x v="1"/>
    <s v="OK"/>
  </r>
  <r>
    <d v="2025-01-03T00:00:00"/>
    <x v="0"/>
    <n v="-56.7"/>
    <x v="8"/>
    <m/>
    <s v="Uitgave"/>
    <n v="-56.7"/>
    <x v="1"/>
    <s v="OK"/>
  </r>
  <r>
    <d v="2025-01-03T00:00:00"/>
    <x v="0"/>
    <n v="-25"/>
    <x v="7"/>
    <m/>
    <s v="Uitgave"/>
    <n v="-25"/>
    <x v="1"/>
    <s v="OK"/>
  </r>
  <r>
    <d v="2025-01-03T00:00:00"/>
    <x v="0"/>
    <n v="-21.94"/>
    <x v="9"/>
    <m/>
    <s v="Uitgave"/>
    <n v="-21.94"/>
    <x v="1"/>
    <s v="OK"/>
  </r>
  <r>
    <d v="2025-01-03T00:00:00"/>
    <x v="0"/>
    <n v="-19.95"/>
    <x v="10"/>
    <m/>
    <s v="Uitgave"/>
    <n v="-19.95"/>
    <x v="1"/>
    <s v="OK"/>
  </r>
  <r>
    <d v="2025-01-03T00:00:00"/>
    <x v="0"/>
    <n v="-14"/>
    <x v="10"/>
    <m/>
    <s v="Uitgave"/>
    <n v="-14"/>
    <x v="1"/>
    <s v="OK"/>
  </r>
  <r>
    <d v="2025-01-03T00:00:00"/>
    <x v="0"/>
    <n v="-10.37"/>
    <x v="4"/>
    <m/>
    <s v="Uitgave"/>
    <n v="-10.37"/>
    <x v="2"/>
    <s v="OK"/>
  </r>
  <r>
    <d v="2025-01-03T00:00:00"/>
    <x v="0"/>
    <n v="-5"/>
    <x v="4"/>
    <m/>
    <s v="Uitgave"/>
    <n v="-5"/>
    <x v="2"/>
    <s v="OK"/>
  </r>
  <r>
    <d v="2025-01-03T00:00:00"/>
    <x v="0"/>
    <n v="-4.2"/>
    <x v="2"/>
    <m/>
    <s v="Uitgave"/>
    <n v="-4.2"/>
    <x v="2"/>
    <s v="OK"/>
  </r>
  <r>
    <d v="2025-01-03T00:00:00"/>
    <x v="0"/>
    <n v="-2.75"/>
    <x v="2"/>
    <m/>
    <s v="Uitgave"/>
    <n v="-2.75"/>
    <x v="2"/>
    <s v="OK"/>
  </r>
  <r>
    <d v="2025-01-03T00:00:00"/>
    <x v="0"/>
    <n v="-1.5"/>
    <x v="11"/>
    <m/>
    <s v="Uitgave"/>
    <n v="-1.5"/>
    <x v="1"/>
    <s v="OK"/>
  </r>
  <r>
    <d v="2025-01-03T00:00:00"/>
    <x v="0"/>
    <n v="-1.5"/>
    <x v="11"/>
    <m/>
    <s v="Uitgave"/>
    <n v="-1.5"/>
    <x v="1"/>
    <s v="OK"/>
  </r>
  <r>
    <d v="2025-01-03T00:00:00"/>
    <x v="0"/>
    <n v="-0.94"/>
    <x v="12"/>
    <m/>
    <s v="Uitgave"/>
    <n v="-0.94"/>
    <x v="1"/>
    <s v="OK"/>
  </r>
  <r>
    <d v="2025-01-04T00:00:00"/>
    <x v="0"/>
    <n v="-25"/>
    <x v="13"/>
    <m/>
    <s v="Uitgave"/>
    <n v="-25"/>
    <x v="2"/>
    <s v="OK"/>
  </r>
  <r>
    <d v="2025-01-04T00:00:00"/>
    <x v="0"/>
    <n v="-8.1"/>
    <x v="2"/>
    <m/>
    <s v="Uitgave"/>
    <n v="-8.1"/>
    <x v="2"/>
    <s v="OK"/>
  </r>
  <r>
    <d v="2025-01-04T00:00:00"/>
    <x v="0"/>
    <n v="-5.99"/>
    <x v="14"/>
    <m/>
    <s v="Uitgave"/>
    <n v="-5.99"/>
    <x v="1"/>
    <s v="OK"/>
  </r>
  <r>
    <d v="2025-01-04T00:00:00"/>
    <x v="0"/>
    <n v="6"/>
    <x v="14"/>
    <m/>
    <s v="Inkomst"/>
    <n v="6"/>
    <x v="1"/>
    <s v="OK"/>
  </r>
  <r>
    <d v="2025-01-05T00:00:00"/>
    <x v="0"/>
    <n v="-94.5"/>
    <x v="8"/>
    <m/>
    <s v="Uitgave"/>
    <n v="-94.5"/>
    <x v="1"/>
    <s v="OK"/>
  </r>
  <r>
    <d v="2025-01-05T00:00:00"/>
    <x v="0"/>
    <n v="-5.36"/>
    <x v="12"/>
    <m/>
    <s v="Uitgave"/>
    <n v="-5.36"/>
    <x v="1"/>
    <s v="OK"/>
  </r>
  <r>
    <d v="2025-01-06T00:00:00"/>
    <x v="0"/>
    <n v="-632.77"/>
    <x v="10"/>
    <m/>
    <s v="Uitgave"/>
    <n v="-632.77"/>
    <x v="1"/>
    <s v="OK"/>
  </r>
  <r>
    <d v="2025-01-06T00:00:00"/>
    <x v="0"/>
    <n v="-92.96"/>
    <x v="15"/>
    <m/>
    <s v="Uitgave"/>
    <n v="-92.96"/>
    <x v="1"/>
    <s v="OK"/>
  </r>
  <r>
    <d v="2025-01-06T00:00:00"/>
    <x v="0"/>
    <n v="-19.149999999999999"/>
    <x v="7"/>
    <m/>
    <s v="Uitgave"/>
    <n v="-19.149999999999999"/>
    <x v="1"/>
    <s v="OK"/>
  </r>
  <r>
    <d v="2025-01-06T00:00:00"/>
    <x v="0"/>
    <n v="-18.89"/>
    <x v="2"/>
    <m/>
    <s v="Uitgave"/>
    <n v="-18.89"/>
    <x v="2"/>
    <s v="OK"/>
  </r>
  <r>
    <d v="2025-01-06T00:00:00"/>
    <x v="0"/>
    <n v="-8.8800000000000008"/>
    <x v="2"/>
    <m/>
    <s v="Uitgave"/>
    <n v="-8.8800000000000008"/>
    <x v="2"/>
    <s v="OK"/>
  </r>
  <r>
    <d v="2025-01-06T00:00:00"/>
    <x v="0"/>
    <n v="-6.99"/>
    <x v="4"/>
    <m/>
    <s v="Uitgave"/>
    <n v="-6.99"/>
    <x v="2"/>
    <s v="OK"/>
  </r>
  <r>
    <d v="2025-01-06T00:00:00"/>
    <x v="0"/>
    <n v="-6.95"/>
    <x v="2"/>
    <m/>
    <s v="Uitgave"/>
    <n v="-6.95"/>
    <x v="2"/>
    <s v="OK"/>
  </r>
  <r>
    <d v="2025-01-06T00:00:00"/>
    <x v="0"/>
    <n v="-5.85"/>
    <x v="2"/>
    <m/>
    <s v="Uitgave"/>
    <n v="-5.85"/>
    <x v="2"/>
    <s v="OK"/>
  </r>
  <r>
    <d v="2025-01-06T00:00:00"/>
    <x v="0"/>
    <n v="-5"/>
    <x v="4"/>
    <m/>
    <s v="Uitgave"/>
    <n v="-5"/>
    <x v="2"/>
    <s v="OK"/>
  </r>
  <r>
    <d v="2025-01-06T00:00:00"/>
    <x v="0"/>
    <n v="-5"/>
    <x v="4"/>
    <m/>
    <s v="Uitgave"/>
    <n v="-5"/>
    <x v="2"/>
    <s v="OK"/>
  </r>
  <r>
    <d v="2025-01-06T00:00:00"/>
    <x v="0"/>
    <n v="-4.99"/>
    <x v="2"/>
    <m/>
    <s v="Uitgave"/>
    <n v="-4.99"/>
    <x v="2"/>
    <s v="OK"/>
  </r>
  <r>
    <d v="2025-01-06T00:00:00"/>
    <x v="0"/>
    <n v="-3.9"/>
    <x v="16"/>
    <m/>
    <s v="Uitgave"/>
    <n v="-3.9"/>
    <x v="2"/>
    <s v="OK"/>
  </r>
  <r>
    <d v="2025-01-06T00:00:00"/>
    <x v="0"/>
    <n v="-3.85"/>
    <x v="4"/>
    <m/>
    <s v="Uitgave"/>
    <n v="-3.85"/>
    <x v="2"/>
    <s v="OK"/>
  </r>
  <r>
    <d v="2025-01-06T00:00:00"/>
    <x v="0"/>
    <n v="-2.1"/>
    <x v="7"/>
    <m/>
    <s v="Uitgave"/>
    <n v="-2.1"/>
    <x v="1"/>
    <s v="OK"/>
  </r>
  <r>
    <d v="2025-01-06T00:00:00"/>
    <x v="0"/>
    <n v="-1.5"/>
    <x v="11"/>
    <m/>
    <s v="Uitgave"/>
    <n v="-1.5"/>
    <x v="1"/>
    <s v="OK"/>
  </r>
  <r>
    <d v="2025-01-06T00:00:00"/>
    <x v="0"/>
    <n v="-1.5"/>
    <x v="11"/>
    <m/>
    <s v="Uitgave"/>
    <n v="-1.5"/>
    <x v="1"/>
    <s v="OK"/>
  </r>
  <r>
    <d v="2025-01-06T00:00:00"/>
    <x v="0"/>
    <n v="-0.74"/>
    <x v="5"/>
    <m/>
    <s v="Uitgave"/>
    <n v="-0.74"/>
    <x v="1"/>
    <s v="OK"/>
  </r>
  <r>
    <d v="2025-01-06T00:00:00"/>
    <x v="0"/>
    <n v="-0.1"/>
    <x v="17"/>
    <m/>
    <s v="Uitgave"/>
    <n v="-0.1"/>
    <x v="1"/>
    <s v="OK"/>
  </r>
  <r>
    <d v="2025-01-07T00:00:00"/>
    <x v="0"/>
    <n v="-50"/>
    <x v="17"/>
    <m/>
    <s v="Uitgave"/>
    <n v="-50"/>
    <x v="1"/>
    <s v="OK"/>
  </r>
  <r>
    <d v="2025-01-07T00:00:00"/>
    <x v="0"/>
    <n v="-28.51"/>
    <x v="2"/>
    <m/>
    <s v="Uitgave"/>
    <n v="-28.51"/>
    <x v="2"/>
    <s v="OK"/>
  </r>
  <r>
    <d v="2025-01-07T00:00:00"/>
    <x v="0"/>
    <n v="-25"/>
    <x v="18"/>
    <m/>
    <s v="Uitgave"/>
    <n v="-25"/>
    <x v="1"/>
    <s v="OK"/>
  </r>
  <r>
    <d v="2025-01-07T00:00:00"/>
    <x v="0"/>
    <n v="-21.94"/>
    <x v="9"/>
    <m/>
    <s v="Uitgave"/>
    <n v="-21.94"/>
    <x v="1"/>
    <s v="OK"/>
  </r>
  <r>
    <d v="2025-01-07T00:00:00"/>
    <x v="0"/>
    <n v="-7.19"/>
    <x v="2"/>
    <m/>
    <s v="Uitgave"/>
    <n v="-7.19"/>
    <x v="2"/>
    <s v="OK"/>
  </r>
  <r>
    <d v="2025-01-07T00:00:00"/>
    <x v="0"/>
    <n v="-5.5"/>
    <x v="2"/>
    <m/>
    <s v="Uitgave"/>
    <n v="-5.5"/>
    <x v="2"/>
    <s v="OK"/>
  </r>
  <r>
    <d v="2025-01-07T00:00:00"/>
    <x v="0"/>
    <n v="-3.85"/>
    <x v="2"/>
    <m/>
    <s v="Uitgave"/>
    <n v="-3.85"/>
    <x v="2"/>
    <s v="OK"/>
  </r>
  <r>
    <d v="2025-01-08T00:00:00"/>
    <x v="0"/>
    <n v="-810.65"/>
    <x v="19"/>
    <m/>
    <s v="Uitgave"/>
    <n v="-810.65"/>
    <x v="2"/>
    <s v="OK"/>
  </r>
  <r>
    <d v="2025-01-08T00:00:00"/>
    <x v="0"/>
    <n v="-158.61000000000001"/>
    <x v="14"/>
    <m/>
    <s v="Uitgave"/>
    <n v="-158.61000000000001"/>
    <x v="1"/>
    <s v="OK"/>
  </r>
  <r>
    <d v="2025-01-08T00:00:00"/>
    <x v="0"/>
    <n v="-50.95"/>
    <x v="10"/>
    <m/>
    <s v="Uitgave"/>
    <n v="-50.95"/>
    <x v="1"/>
    <s v="OK"/>
  </r>
  <r>
    <d v="2025-01-08T00:00:00"/>
    <x v="0"/>
    <n v="-44.98"/>
    <x v="4"/>
    <m/>
    <s v="Uitgave"/>
    <n v="-44.98"/>
    <x v="2"/>
    <s v="OK"/>
  </r>
  <r>
    <d v="2025-01-08T00:00:00"/>
    <x v="0"/>
    <n v="-33.450000000000003"/>
    <x v="10"/>
    <m/>
    <s v="Uitgave"/>
    <n v="-33.450000000000003"/>
    <x v="1"/>
    <s v="OK"/>
  </r>
  <r>
    <d v="2025-01-08T00:00:00"/>
    <x v="0"/>
    <n v="-25.95"/>
    <x v="16"/>
    <m/>
    <s v="Uitgave"/>
    <n v="-25.95"/>
    <x v="2"/>
    <s v="OK"/>
  </r>
  <r>
    <d v="2025-01-08T00:00:00"/>
    <x v="0"/>
    <n v="-25.95"/>
    <x v="16"/>
    <m/>
    <s v="Uitgave"/>
    <n v="-25.95"/>
    <x v="2"/>
    <s v="OK"/>
  </r>
  <r>
    <d v="2025-01-08T00:00:00"/>
    <x v="0"/>
    <n v="-20.71"/>
    <x v="20"/>
    <m/>
    <s v="Uitgave"/>
    <n v="-20.71"/>
    <x v="2"/>
    <s v="OK"/>
  </r>
  <r>
    <d v="2025-01-08T00:00:00"/>
    <x v="0"/>
    <n v="-12.01"/>
    <x v="21"/>
    <m/>
    <s v="Uitgave"/>
    <n v="-12.01"/>
    <x v="2"/>
    <s v="OK"/>
  </r>
  <r>
    <d v="2025-01-08T00:00:00"/>
    <x v="0"/>
    <n v="-8.1999999999999993"/>
    <x v="2"/>
    <m/>
    <s v="Uitgave"/>
    <n v="-8.1999999999999993"/>
    <x v="2"/>
    <s v="OK"/>
  </r>
  <r>
    <d v="2025-01-08T00:00:00"/>
    <x v="0"/>
    <n v="0.93"/>
    <x v="12"/>
    <m/>
    <s v="Inkomst"/>
    <n v="0.93"/>
    <x v="1"/>
    <s v="OK"/>
  </r>
  <r>
    <d v="2025-01-08T00:00:00"/>
    <x v="0"/>
    <n v="4.5999999999999996"/>
    <x v="2"/>
    <m/>
    <s v="Inkomst"/>
    <n v="4.5999999999999996"/>
    <x v="2"/>
    <s v="OK"/>
  </r>
  <r>
    <d v="2025-01-08T00:00:00"/>
    <x v="0"/>
    <n v="159"/>
    <x v="14"/>
    <m/>
    <s v="Inkomst"/>
    <n v="159"/>
    <x v="1"/>
    <s v="OK"/>
  </r>
  <r>
    <d v="2025-01-09T00:00:00"/>
    <x v="0"/>
    <n v="-29.6"/>
    <x v="9"/>
    <m/>
    <s v="Uitgave"/>
    <n v="-29.6"/>
    <x v="1"/>
    <s v="OK"/>
  </r>
  <r>
    <d v="2025-01-09T00:00:00"/>
    <x v="0"/>
    <n v="-14.35"/>
    <x v="2"/>
    <m/>
    <s v="Uitgave"/>
    <n v="-14.35"/>
    <x v="2"/>
    <s v="OK"/>
  </r>
  <r>
    <d v="2025-01-09T00:00:00"/>
    <x v="0"/>
    <n v="-11.5"/>
    <x v="4"/>
    <m/>
    <s v="Uitgave"/>
    <n v="-11.5"/>
    <x v="2"/>
    <s v="OK"/>
  </r>
  <r>
    <d v="2025-01-09T00:00:00"/>
    <x v="0"/>
    <n v="-9.59"/>
    <x v="2"/>
    <m/>
    <s v="Uitgave"/>
    <n v="-9.59"/>
    <x v="2"/>
    <s v="OK"/>
  </r>
  <r>
    <d v="2025-01-09T00:00:00"/>
    <x v="0"/>
    <n v="-5.54"/>
    <x v="2"/>
    <m/>
    <s v="Uitgave"/>
    <n v="-5.54"/>
    <x v="2"/>
    <s v="OK"/>
  </r>
  <r>
    <d v="2025-01-09T00:00:00"/>
    <x v="0"/>
    <n v="50"/>
    <x v="17"/>
    <m/>
    <s v="Inkomst"/>
    <n v="50"/>
    <x v="1"/>
    <s v="OK"/>
  </r>
  <r>
    <d v="2025-01-10T00:00:00"/>
    <x v="0"/>
    <n v="-8.1199999999999992"/>
    <x v="2"/>
    <m/>
    <s v="Uitgave"/>
    <n v="-8.1199999999999992"/>
    <x v="2"/>
    <s v="OK"/>
  </r>
  <r>
    <d v="2025-01-10T00:00:00"/>
    <x v="0"/>
    <n v="-5.99"/>
    <x v="2"/>
    <m/>
    <s v="Uitgave"/>
    <n v="-5.99"/>
    <x v="2"/>
    <s v="OK"/>
  </r>
  <r>
    <d v="2025-01-10T00:00:00"/>
    <x v="0"/>
    <n v="-5.45"/>
    <x v="2"/>
    <m/>
    <s v="Uitgave"/>
    <n v="-5.45"/>
    <x v="2"/>
    <s v="OK"/>
  </r>
  <r>
    <d v="2025-01-10T00:00:00"/>
    <x v="0"/>
    <n v="-1.9"/>
    <x v="2"/>
    <m/>
    <s v="Uitgave"/>
    <n v="-1.9"/>
    <x v="2"/>
    <s v="OK"/>
  </r>
  <r>
    <d v="2025-01-10T00:00:00"/>
    <x v="0"/>
    <n v="-1.5"/>
    <x v="11"/>
    <m/>
    <s v="Uitgave"/>
    <n v="-1.5"/>
    <x v="1"/>
    <s v="OK"/>
  </r>
  <r>
    <d v="2025-01-11T00:00:00"/>
    <x v="0"/>
    <n v="-49.5"/>
    <x v="7"/>
    <m/>
    <s v="Uitgave"/>
    <n v="-49.5"/>
    <x v="1"/>
    <s v="OK"/>
  </r>
  <r>
    <d v="2025-01-12T00:00:00"/>
    <x v="0"/>
    <n v="-49"/>
    <x v="17"/>
    <m/>
    <s v="Uitgave"/>
    <n v="-49"/>
    <x v="1"/>
    <s v="OK"/>
  </r>
  <r>
    <d v="2025-01-12T00:00:00"/>
    <x v="0"/>
    <n v="-41.5"/>
    <x v="8"/>
    <m/>
    <s v="Uitgave"/>
    <n v="-41.5"/>
    <x v="1"/>
    <s v="OK"/>
  </r>
  <r>
    <d v="2025-01-12T00:00:00"/>
    <x v="0"/>
    <n v="-6.6"/>
    <x v="5"/>
    <m/>
    <s v="Uitgave"/>
    <n v="-6.6"/>
    <x v="1"/>
    <s v="OK"/>
  </r>
  <r>
    <d v="2025-01-12T00:00:00"/>
    <x v="0"/>
    <n v="600"/>
    <x v="14"/>
    <m/>
    <s v="Inkomst"/>
    <n v="600"/>
    <x v="1"/>
    <s v="OK"/>
  </r>
  <r>
    <d v="2025-01-13T00:00:00"/>
    <x v="0"/>
    <n v="-399.25"/>
    <x v="10"/>
    <m/>
    <s v="Uitgave"/>
    <n v="-399.25"/>
    <x v="1"/>
    <s v="OK"/>
  </r>
  <r>
    <d v="2025-01-13T00:00:00"/>
    <x v="0"/>
    <n v="-106.99"/>
    <x v="10"/>
    <m/>
    <s v="Uitgave"/>
    <n v="-106.99"/>
    <x v="1"/>
    <s v="OK"/>
  </r>
  <r>
    <d v="2025-01-13T00:00:00"/>
    <x v="0"/>
    <n v="-51.95"/>
    <x v="10"/>
    <m/>
    <s v="Uitgave"/>
    <n v="-51.95"/>
    <x v="1"/>
    <s v="OK"/>
  </r>
  <r>
    <d v="2025-01-13T00:00:00"/>
    <x v="0"/>
    <n v="-38.950000000000003"/>
    <x v="10"/>
    <m/>
    <s v="Uitgave"/>
    <n v="-38.950000000000003"/>
    <x v="1"/>
    <s v="OK"/>
  </r>
  <r>
    <d v="2025-01-13T00:00:00"/>
    <x v="0"/>
    <n v="-33.6"/>
    <x v="10"/>
    <m/>
    <s v="Uitgave"/>
    <n v="-33.6"/>
    <x v="1"/>
    <s v="OK"/>
  </r>
  <r>
    <d v="2025-01-13T00:00:00"/>
    <x v="0"/>
    <n v="-29.15"/>
    <x v="22"/>
    <m/>
    <s v="Uitgave"/>
    <n v="-29.15"/>
    <x v="1"/>
    <s v="OK"/>
  </r>
  <r>
    <d v="2025-01-13T00:00:00"/>
    <x v="0"/>
    <n v="-28.65"/>
    <x v="9"/>
    <m/>
    <s v="Uitgave"/>
    <n v="-28.65"/>
    <x v="1"/>
    <s v="OK"/>
  </r>
  <r>
    <d v="2025-01-13T00:00:00"/>
    <x v="0"/>
    <n v="-22.59"/>
    <x v="10"/>
    <m/>
    <s v="Uitgave"/>
    <n v="-22.59"/>
    <x v="1"/>
    <s v="OK"/>
  </r>
  <r>
    <d v="2025-01-13T00:00:00"/>
    <x v="0"/>
    <n v="-14.9"/>
    <x v="23"/>
    <m/>
    <s v="Uitgave"/>
    <n v="-14.9"/>
    <x v="1"/>
    <s v="OK"/>
  </r>
  <r>
    <d v="2025-01-13T00:00:00"/>
    <x v="0"/>
    <n v="-12.95"/>
    <x v="24"/>
    <m/>
    <s v="Uitgave"/>
    <n v="-12.95"/>
    <x v="1"/>
    <s v="OK"/>
  </r>
  <r>
    <d v="2025-01-13T00:00:00"/>
    <x v="0"/>
    <n v="-8"/>
    <x v="4"/>
    <m/>
    <s v="Uitgave"/>
    <n v="-8"/>
    <x v="2"/>
    <s v="OK"/>
  </r>
  <r>
    <d v="2025-01-13T00:00:00"/>
    <x v="0"/>
    <n v="-7.68"/>
    <x v="4"/>
    <m/>
    <s v="Uitgave"/>
    <n v="-7.68"/>
    <x v="2"/>
    <s v="OK"/>
  </r>
  <r>
    <d v="2025-01-13T00:00:00"/>
    <x v="0"/>
    <n v="-5.93"/>
    <x v="4"/>
    <m/>
    <s v="Uitgave"/>
    <n v="-5.93"/>
    <x v="2"/>
    <s v="OK"/>
  </r>
  <r>
    <d v="2025-01-13T00:00:00"/>
    <x v="0"/>
    <n v="-5"/>
    <x v="4"/>
    <m/>
    <s v="Uitgave"/>
    <n v="-5"/>
    <x v="2"/>
    <s v="OK"/>
  </r>
  <r>
    <d v="2025-01-13T00:00:00"/>
    <x v="0"/>
    <n v="-5"/>
    <x v="4"/>
    <m/>
    <s v="Uitgave"/>
    <n v="-5"/>
    <x v="2"/>
    <s v="OK"/>
  </r>
  <r>
    <d v="2025-01-13T00:00:00"/>
    <x v="0"/>
    <n v="-4.59"/>
    <x v="2"/>
    <m/>
    <s v="Uitgave"/>
    <n v="-4.59"/>
    <x v="2"/>
    <s v="OK"/>
  </r>
  <r>
    <d v="2025-01-13T00:00:00"/>
    <x v="0"/>
    <n v="-3.98"/>
    <x v="2"/>
    <m/>
    <s v="Uitgave"/>
    <n v="-3.98"/>
    <x v="2"/>
    <s v="OK"/>
  </r>
  <r>
    <d v="2025-01-13T00:00:00"/>
    <x v="0"/>
    <n v="-3.86"/>
    <x v="2"/>
    <m/>
    <s v="Uitgave"/>
    <n v="-3.86"/>
    <x v="2"/>
    <s v="OK"/>
  </r>
  <r>
    <d v="2025-01-13T00:00:00"/>
    <x v="0"/>
    <n v="-3.67"/>
    <x v="2"/>
    <m/>
    <s v="Uitgave"/>
    <n v="-3.67"/>
    <x v="2"/>
    <s v="OK"/>
  </r>
  <r>
    <d v="2025-01-13T00:00:00"/>
    <x v="0"/>
    <n v="-1.5"/>
    <x v="11"/>
    <m/>
    <s v="Uitgave"/>
    <n v="-1.5"/>
    <x v="1"/>
    <s v="OK"/>
  </r>
  <r>
    <d v="2025-01-14T00:00:00"/>
    <x v="0"/>
    <n v="-13.76"/>
    <x v="2"/>
    <m/>
    <s v="Uitgave"/>
    <n v="-13.76"/>
    <x v="2"/>
    <s v="OK"/>
  </r>
  <r>
    <d v="2025-01-14T00:00:00"/>
    <x v="0"/>
    <n v="-12.48"/>
    <x v="25"/>
    <m/>
    <s v="Uitgave"/>
    <n v="-12.48"/>
    <x v="1"/>
    <s v="OK"/>
  </r>
  <r>
    <d v="2025-01-14T00:00:00"/>
    <x v="0"/>
    <n v="-6.29"/>
    <x v="26"/>
    <m/>
    <s v="Uitgave"/>
    <n v="-6.29"/>
    <x v="1"/>
    <s v="OK"/>
  </r>
  <r>
    <d v="2025-01-14T00:00:00"/>
    <x v="0"/>
    <n v="-5.6"/>
    <x v="2"/>
    <m/>
    <s v="Uitgave"/>
    <n v="-5.6"/>
    <x v="2"/>
    <s v="OK"/>
  </r>
  <r>
    <d v="2025-01-14T00:00:00"/>
    <x v="0"/>
    <n v="-5.49"/>
    <x v="2"/>
    <m/>
    <s v="Uitgave"/>
    <n v="-5.49"/>
    <x v="2"/>
    <s v="OK"/>
  </r>
  <r>
    <d v="2025-01-14T00:00:00"/>
    <x v="0"/>
    <n v="-1.5"/>
    <x v="11"/>
    <m/>
    <s v="Uitgave"/>
    <n v="-1.5"/>
    <x v="1"/>
    <s v="OK"/>
  </r>
  <r>
    <d v="2025-01-14T00:00:00"/>
    <x v="0"/>
    <n v="17.5"/>
    <x v="17"/>
    <m/>
    <s v="Inkomst"/>
    <n v="17.5"/>
    <x v="1"/>
    <s v="OK"/>
  </r>
  <r>
    <d v="2025-01-15T00:00:00"/>
    <x v="0"/>
    <n v="-30.99"/>
    <x v="23"/>
    <m/>
    <s v="Uitgave"/>
    <n v="-30.99"/>
    <x v="1"/>
    <s v="OK"/>
  </r>
  <r>
    <d v="2025-01-15T00:00:00"/>
    <x v="0"/>
    <n v="-15"/>
    <x v="17"/>
    <m/>
    <s v="Uitgave"/>
    <n v="-15"/>
    <x v="1"/>
    <s v="OK"/>
  </r>
  <r>
    <d v="2025-01-15T00:00:00"/>
    <x v="0"/>
    <n v="-14.22"/>
    <x v="2"/>
    <m/>
    <s v="Uitgave"/>
    <n v="-14.22"/>
    <x v="2"/>
    <s v="OK"/>
  </r>
  <r>
    <d v="2025-01-15T00:00:00"/>
    <x v="0"/>
    <n v="-11.55"/>
    <x v="2"/>
    <m/>
    <s v="Uitgave"/>
    <n v="-11.55"/>
    <x v="2"/>
    <s v="OK"/>
  </r>
  <r>
    <d v="2025-01-15T00:00:00"/>
    <x v="0"/>
    <n v="-9.7100000000000009"/>
    <x v="16"/>
    <m/>
    <s v="Uitgave"/>
    <n v="-9.7100000000000009"/>
    <x v="2"/>
    <s v="OK"/>
  </r>
  <r>
    <d v="2025-01-15T00:00:00"/>
    <x v="0"/>
    <n v="-3.14"/>
    <x v="2"/>
    <m/>
    <s v="Uitgave"/>
    <n v="-3.14"/>
    <x v="2"/>
    <s v="OK"/>
  </r>
  <r>
    <d v="2025-01-15T00:00:00"/>
    <x v="0"/>
    <n v="-1.5"/>
    <x v="11"/>
    <m/>
    <s v="Uitgave"/>
    <n v="-1.5"/>
    <x v="1"/>
    <s v="OK"/>
  </r>
  <r>
    <d v="2025-01-15T00:00:00"/>
    <x v="0"/>
    <n v="17.5"/>
    <x v="17"/>
    <m/>
    <s v="Inkomst"/>
    <n v="17.5"/>
    <x v="1"/>
    <s v="OK"/>
  </r>
  <r>
    <d v="2025-01-16T00:00:00"/>
    <x v="0"/>
    <n v="-85"/>
    <x v="27"/>
    <m/>
    <s v="Uitgave"/>
    <n v="-85"/>
    <x v="2"/>
    <s v="OK"/>
  </r>
  <r>
    <d v="2025-01-16T00:00:00"/>
    <x v="0"/>
    <n v="-81.66"/>
    <x v="27"/>
    <m/>
    <s v="Uitgave"/>
    <n v="-81.66"/>
    <x v="2"/>
    <s v="OK"/>
  </r>
  <r>
    <d v="2025-01-16T00:00:00"/>
    <x v="0"/>
    <n v="-74.989999999999995"/>
    <x v="14"/>
    <m/>
    <s v="Uitgave"/>
    <n v="-74.989999999999995"/>
    <x v="1"/>
    <s v="OK"/>
  </r>
  <r>
    <d v="2025-01-16T00:00:00"/>
    <x v="0"/>
    <n v="-47.6"/>
    <x v="10"/>
    <m/>
    <s v="Uitgave"/>
    <n v="-47.6"/>
    <x v="1"/>
    <s v="OK"/>
  </r>
  <r>
    <d v="2025-01-16T00:00:00"/>
    <x v="0"/>
    <n v="-20.94"/>
    <x v="9"/>
    <m/>
    <s v="Uitgave"/>
    <n v="-20.94"/>
    <x v="1"/>
    <s v="OK"/>
  </r>
  <r>
    <d v="2025-01-16T00:00:00"/>
    <x v="0"/>
    <n v="-12.45"/>
    <x v="2"/>
    <m/>
    <s v="Uitgave"/>
    <n v="-12.45"/>
    <x v="2"/>
    <s v="OK"/>
  </r>
  <r>
    <d v="2025-01-16T00:00:00"/>
    <x v="0"/>
    <n v="-11.95"/>
    <x v="28"/>
    <m/>
    <s v="Uitgave"/>
    <n v="-11.95"/>
    <x v="2"/>
    <s v="OK"/>
  </r>
  <r>
    <d v="2025-01-16T00:00:00"/>
    <x v="0"/>
    <n v="-8.6199999999999992"/>
    <x v="2"/>
    <m/>
    <s v="Uitgave"/>
    <n v="-8.6199999999999992"/>
    <x v="2"/>
    <s v="OK"/>
  </r>
  <r>
    <d v="2025-01-16T00:00:00"/>
    <x v="0"/>
    <n v="-5.49"/>
    <x v="2"/>
    <m/>
    <s v="Uitgave"/>
    <n v="-5.49"/>
    <x v="2"/>
    <s v="OK"/>
  </r>
  <r>
    <d v="2025-01-16T00:00:00"/>
    <x v="0"/>
    <n v="-3.8"/>
    <x v="2"/>
    <m/>
    <s v="Uitgave"/>
    <n v="-3.8"/>
    <x v="2"/>
    <s v="OK"/>
  </r>
  <r>
    <d v="2025-01-16T00:00:00"/>
    <x v="0"/>
    <n v="-1.5"/>
    <x v="11"/>
    <m/>
    <s v="Uitgave"/>
    <n v="-1.5"/>
    <x v="1"/>
    <s v="OK"/>
  </r>
  <r>
    <d v="2025-01-16T00:00:00"/>
    <x v="0"/>
    <n v="-1.4"/>
    <x v="11"/>
    <m/>
    <s v="Uitgave"/>
    <n v="-1.4"/>
    <x v="1"/>
    <s v="OK"/>
  </r>
  <r>
    <d v="2025-01-17T00:00:00"/>
    <x v="0"/>
    <n v="-54"/>
    <x v="10"/>
    <m/>
    <s v="Uitgave"/>
    <n v="-54"/>
    <x v="1"/>
    <s v="OK"/>
  </r>
  <r>
    <d v="2025-01-17T00:00:00"/>
    <x v="0"/>
    <n v="-9.25"/>
    <x v="5"/>
    <m/>
    <s v="Uitgave"/>
    <n v="-9.25"/>
    <x v="1"/>
    <s v="OK"/>
  </r>
  <r>
    <d v="2025-01-17T00:00:00"/>
    <x v="0"/>
    <n v="-8.48"/>
    <x v="2"/>
    <m/>
    <s v="Uitgave"/>
    <n v="-8.48"/>
    <x v="2"/>
    <s v="OK"/>
  </r>
  <r>
    <d v="2025-01-17T00:00:00"/>
    <x v="0"/>
    <n v="-8.1199999999999992"/>
    <x v="2"/>
    <m/>
    <s v="Uitgave"/>
    <n v="-8.1199999999999992"/>
    <x v="2"/>
    <s v="OK"/>
  </r>
  <r>
    <d v="2025-01-17T00:00:00"/>
    <x v="0"/>
    <n v="-1.5"/>
    <x v="11"/>
    <m/>
    <s v="Uitgave"/>
    <n v="-1.5"/>
    <x v="1"/>
    <s v="OK"/>
  </r>
  <r>
    <d v="2025-01-17T00:00:00"/>
    <x v="0"/>
    <n v="-1.5"/>
    <x v="11"/>
    <m/>
    <s v="Uitgave"/>
    <n v="-1.5"/>
    <x v="1"/>
    <s v="OK"/>
  </r>
  <r>
    <d v="2025-01-17T00:00:00"/>
    <x v="0"/>
    <n v="-1.5"/>
    <x v="11"/>
    <m/>
    <s v="Uitgave"/>
    <n v="-1.5"/>
    <x v="1"/>
    <s v="OK"/>
  </r>
  <r>
    <d v="2025-01-17T00:00:00"/>
    <x v="0"/>
    <n v="0.94"/>
    <x v="12"/>
    <m/>
    <s v="Inkomst"/>
    <n v="0.94"/>
    <x v="1"/>
    <s v="OK"/>
  </r>
  <r>
    <d v="2025-01-18T00:00:00"/>
    <x v="0"/>
    <n v="-194.4"/>
    <x v="9"/>
    <s v="keyaki"/>
    <s v="Uitgave"/>
    <n v="-194.4"/>
    <x v="1"/>
    <s v="OK"/>
  </r>
  <r>
    <d v="2025-01-18T00:00:00"/>
    <x v="0"/>
    <n v="-22.96"/>
    <x v="29"/>
    <m/>
    <s v="Uitgave"/>
    <n v="-22.96"/>
    <x v="1"/>
    <s v="OK"/>
  </r>
  <r>
    <d v="2025-01-18T00:00:00"/>
    <x v="0"/>
    <n v="97"/>
    <x v="9"/>
    <m/>
    <s v="Inkomst"/>
    <n v="97"/>
    <x v="1"/>
    <s v="OK"/>
  </r>
  <r>
    <d v="2025-01-19T00:00:00"/>
    <x v="0"/>
    <n v="-122.14"/>
    <x v="7"/>
    <m/>
    <s v="Uitgave"/>
    <n v="-122.14"/>
    <x v="1"/>
    <s v="OK"/>
  </r>
  <r>
    <d v="2025-01-20T00:00:00"/>
    <x v="0"/>
    <n v="-239.7"/>
    <x v="10"/>
    <m/>
    <s v="Uitgave"/>
    <n v="-239.7"/>
    <x v="1"/>
    <s v="OK"/>
  </r>
  <r>
    <d v="2025-01-20T00:00:00"/>
    <x v="0"/>
    <n v="-95.95"/>
    <x v="30"/>
    <m/>
    <s v="Uitgave"/>
    <n v="-95.95"/>
    <x v="2"/>
    <s v="OK"/>
  </r>
  <r>
    <d v="2025-01-20T00:00:00"/>
    <x v="0"/>
    <n v="-42.71"/>
    <x v="2"/>
    <m/>
    <s v="Uitgave"/>
    <n v="-42.71"/>
    <x v="2"/>
    <s v="OK"/>
  </r>
  <r>
    <d v="2025-01-20T00:00:00"/>
    <x v="0"/>
    <n v="-33.549999999999997"/>
    <x v="31"/>
    <m/>
    <s v="Uitgave"/>
    <n v="-33.549999999999997"/>
    <x v="2"/>
    <s v="OK"/>
  </r>
  <r>
    <d v="2025-01-20T00:00:00"/>
    <x v="0"/>
    <n v="-27.85"/>
    <x v="9"/>
    <m/>
    <s v="Uitgave"/>
    <n v="-27.85"/>
    <x v="1"/>
    <s v="OK"/>
  </r>
  <r>
    <d v="2025-01-20T00:00:00"/>
    <x v="0"/>
    <n v="-16"/>
    <x v="7"/>
    <m/>
    <s v="Uitgave"/>
    <n v="-16"/>
    <x v="1"/>
    <s v="OK"/>
  </r>
  <r>
    <d v="2025-01-20T00:00:00"/>
    <x v="0"/>
    <n v="-13.99"/>
    <x v="2"/>
    <m/>
    <s v="Uitgave"/>
    <n v="-13.99"/>
    <x v="2"/>
    <s v="OK"/>
  </r>
  <r>
    <d v="2025-01-20T00:00:00"/>
    <x v="0"/>
    <n v="-11.67"/>
    <x v="2"/>
    <m/>
    <s v="Uitgave"/>
    <n v="-11.67"/>
    <x v="2"/>
    <s v="OK"/>
  </r>
  <r>
    <d v="2025-01-20T00:00:00"/>
    <x v="0"/>
    <n v="-9.35"/>
    <x v="4"/>
    <m/>
    <s v="Uitgave"/>
    <n v="-9.35"/>
    <x v="2"/>
    <s v="OK"/>
  </r>
  <r>
    <d v="2025-01-20T00:00:00"/>
    <x v="0"/>
    <n v="-7.34"/>
    <x v="4"/>
    <m/>
    <s v="Uitgave"/>
    <n v="-7.34"/>
    <x v="2"/>
    <s v="OK"/>
  </r>
  <r>
    <d v="2025-01-20T00:00:00"/>
    <x v="0"/>
    <n v="-6.85"/>
    <x v="2"/>
    <m/>
    <s v="Uitgave"/>
    <n v="-6.85"/>
    <x v="2"/>
    <s v="OK"/>
  </r>
  <r>
    <d v="2025-01-20T00:00:00"/>
    <x v="0"/>
    <n v="-6.4"/>
    <x v="2"/>
    <m/>
    <s v="Uitgave"/>
    <n v="-6.4"/>
    <x v="2"/>
    <s v="OK"/>
  </r>
  <r>
    <d v="2025-01-20T00:00:00"/>
    <x v="0"/>
    <n v="-5"/>
    <x v="4"/>
    <m/>
    <s v="Uitgave"/>
    <n v="-5"/>
    <x v="2"/>
    <s v="OK"/>
  </r>
  <r>
    <d v="2025-01-20T00:00:00"/>
    <x v="0"/>
    <n v="-5"/>
    <x v="4"/>
    <m/>
    <s v="Uitgave"/>
    <n v="-5"/>
    <x v="2"/>
    <s v="OK"/>
  </r>
  <r>
    <d v="2025-01-20T00:00:00"/>
    <x v="0"/>
    <n v="-5"/>
    <x v="4"/>
    <m/>
    <s v="Uitgave"/>
    <n v="-5"/>
    <x v="2"/>
    <s v="OK"/>
  </r>
  <r>
    <d v="2025-01-20T00:00:00"/>
    <x v="0"/>
    <n v="-3.3"/>
    <x v="32"/>
    <m/>
    <s v="Uitgave"/>
    <n v="-3.3"/>
    <x v="1"/>
    <s v="OK"/>
  </r>
  <r>
    <d v="2025-01-20T00:00:00"/>
    <x v="0"/>
    <n v="-1.46"/>
    <x v="4"/>
    <m/>
    <s v="Uitgave"/>
    <n v="-1.46"/>
    <x v="2"/>
    <s v="OK"/>
  </r>
  <r>
    <d v="2025-01-20T00:00:00"/>
    <x v="0"/>
    <n v="5.36"/>
    <x v="12"/>
    <m/>
    <s v="Inkomst"/>
    <n v="5.36"/>
    <x v="1"/>
    <s v="OK"/>
  </r>
  <r>
    <d v="2025-01-21T00:00:00"/>
    <x v="0"/>
    <n v="-37.99"/>
    <x v="29"/>
    <m/>
    <s v="Uitgave"/>
    <n v="-37.99"/>
    <x v="1"/>
    <s v="OK"/>
  </r>
  <r>
    <d v="2025-01-21T00:00:00"/>
    <x v="0"/>
    <n v="-19.95"/>
    <x v="9"/>
    <m/>
    <s v="Uitgave"/>
    <n v="-19.95"/>
    <x v="1"/>
    <s v="OK"/>
  </r>
  <r>
    <d v="2025-01-21T00:00:00"/>
    <x v="0"/>
    <n v="-9.89"/>
    <x v="2"/>
    <m/>
    <s v="Uitgave"/>
    <n v="-9.89"/>
    <x v="2"/>
    <s v="OK"/>
  </r>
  <r>
    <d v="2025-01-21T00:00:00"/>
    <x v="0"/>
    <n v="-6.4"/>
    <x v="2"/>
    <m/>
    <s v="Uitgave"/>
    <n v="-6.4"/>
    <x v="2"/>
    <s v="OK"/>
  </r>
  <r>
    <d v="2025-01-21T00:00:00"/>
    <x v="0"/>
    <n v="-1.5"/>
    <x v="11"/>
    <m/>
    <s v="Uitgave"/>
    <n v="-1.5"/>
    <x v="1"/>
    <s v="OK"/>
  </r>
  <r>
    <d v="2025-01-21T00:00:00"/>
    <x v="0"/>
    <n v="-0.5"/>
    <x v="11"/>
    <m/>
    <s v="Uitgave"/>
    <n v="-0.5"/>
    <x v="1"/>
    <s v="OK"/>
  </r>
  <r>
    <d v="2025-01-21T00:00:00"/>
    <x v="0"/>
    <n v="-0.5"/>
    <x v="11"/>
    <m/>
    <s v="Uitgave"/>
    <n v="-0.5"/>
    <x v="1"/>
    <s v="OK"/>
  </r>
  <r>
    <d v="2025-01-22T00:00:00"/>
    <x v="0"/>
    <n v="-52.31"/>
    <x v="33"/>
    <m/>
    <s v="Uitgave"/>
    <n v="-52.31"/>
    <x v="2"/>
    <s v="OK"/>
  </r>
  <r>
    <d v="2025-01-22T00:00:00"/>
    <x v="0"/>
    <n v="-15.04"/>
    <x v="4"/>
    <m/>
    <s v="Uitgave"/>
    <n v="-15.04"/>
    <x v="2"/>
    <s v="OK"/>
  </r>
  <r>
    <d v="2025-01-22T00:00:00"/>
    <x v="0"/>
    <n v="-12.19"/>
    <x v="2"/>
    <m/>
    <s v="Uitgave"/>
    <n v="-12.19"/>
    <x v="2"/>
    <s v="OK"/>
  </r>
  <r>
    <d v="2025-01-22T00:00:00"/>
    <x v="0"/>
    <n v="-3.8"/>
    <x v="2"/>
    <m/>
    <s v="Uitgave"/>
    <n v="-3.8"/>
    <x v="2"/>
    <s v="OK"/>
  </r>
  <r>
    <d v="2025-01-22T00:00:00"/>
    <x v="0"/>
    <n v="-3.5"/>
    <x v="2"/>
    <m/>
    <s v="Uitgave"/>
    <n v="-3.5"/>
    <x v="2"/>
    <s v="OK"/>
  </r>
  <r>
    <d v="2025-01-22T00:00:00"/>
    <x v="0"/>
    <n v="-0.3"/>
    <x v="2"/>
    <m/>
    <s v="Uitgave"/>
    <n v="-0.3"/>
    <x v="2"/>
    <s v="OK"/>
  </r>
  <r>
    <d v="2025-01-23T00:00:00"/>
    <x v="0"/>
    <n v="-9.39"/>
    <x v="2"/>
    <m/>
    <s v="Uitgave"/>
    <n v="-9.39"/>
    <x v="2"/>
    <s v="OK"/>
  </r>
  <r>
    <d v="2025-01-24T00:00:00"/>
    <x v="0"/>
    <n v="-113.49"/>
    <x v="33"/>
    <m/>
    <s v="Uitgave"/>
    <n v="-113.49"/>
    <x v="2"/>
    <s v="OK"/>
  </r>
  <r>
    <d v="2025-01-24T00:00:00"/>
    <x v="0"/>
    <n v="-30.5"/>
    <x v="10"/>
    <m/>
    <s v="Uitgave"/>
    <n v="-30.5"/>
    <x v="1"/>
    <s v="OK"/>
  </r>
  <r>
    <d v="2025-01-24T00:00:00"/>
    <x v="0"/>
    <n v="-24.99"/>
    <x v="30"/>
    <m/>
    <s v="Uitgave"/>
    <n v="-24.99"/>
    <x v="2"/>
    <s v="OK"/>
  </r>
  <r>
    <d v="2025-01-24T00:00:00"/>
    <x v="0"/>
    <n v="-18.45"/>
    <x v="2"/>
    <m/>
    <s v="Uitgave"/>
    <n v="-18.45"/>
    <x v="2"/>
    <s v="OK"/>
  </r>
  <r>
    <d v="2025-01-24T00:00:00"/>
    <x v="0"/>
    <n v="-9.39"/>
    <x v="2"/>
    <m/>
    <s v="Uitgave"/>
    <n v="-9.39"/>
    <x v="2"/>
    <s v="OK"/>
  </r>
  <r>
    <d v="2025-01-24T00:00:00"/>
    <x v="0"/>
    <n v="-8.52"/>
    <x v="2"/>
    <m/>
    <s v="Uitgave"/>
    <n v="-8.52"/>
    <x v="2"/>
    <s v="OK"/>
  </r>
  <r>
    <d v="2025-01-24T00:00:00"/>
    <x v="0"/>
    <n v="-1.5"/>
    <x v="11"/>
    <m/>
    <s v="Uitgave"/>
    <n v="-1.5"/>
    <x v="1"/>
    <s v="OK"/>
  </r>
  <r>
    <d v="2025-01-25T00:00:00"/>
    <x v="0"/>
    <n v="-133"/>
    <x v="14"/>
    <m/>
    <s v="Uitgave"/>
    <n v="-133"/>
    <x v="1"/>
    <s v="OK"/>
  </r>
  <r>
    <d v="2025-01-25T00:00:00"/>
    <x v="0"/>
    <n v="-13"/>
    <x v="34"/>
    <m/>
    <s v="Uitgave"/>
    <n v="-13"/>
    <x v="1"/>
    <s v="OK"/>
  </r>
  <r>
    <d v="2025-01-27T00:00:00"/>
    <x v="0"/>
    <n v="-105.21"/>
    <x v="10"/>
    <m/>
    <s v="Uitgave"/>
    <n v="-105.21"/>
    <x v="1"/>
    <s v="OK"/>
  </r>
  <r>
    <d v="2025-01-27T00:00:00"/>
    <x v="0"/>
    <n v="-44.75"/>
    <x v="10"/>
    <m/>
    <s v="Uitgave"/>
    <n v="-44.75"/>
    <x v="1"/>
    <s v="OK"/>
  </r>
  <r>
    <d v="2025-01-27T00:00:00"/>
    <x v="0"/>
    <n v="-32.97"/>
    <x v="10"/>
    <m/>
    <s v="Uitgave"/>
    <n v="-32.97"/>
    <x v="1"/>
    <s v="OK"/>
  </r>
  <r>
    <d v="2025-01-27T00:00:00"/>
    <x v="0"/>
    <n v="-27.4"/>
    <x v="9"/>
    <m/>
    <s v="Uitgave"/>
    <n v="-27.4"/>
    <x v="1"/>
    <s v="OK"/>
  </r>
  <r>
    <d v="2025-01-27T00:00:00"/>
    <x v="0"/>
    <n v="-24.75"/>
    <x v="2"/>
    <m/>
    <s v="Uitgave"/>
    <n v="-24.75"/>
    <x v="2"/>
    <s v="OK"/>
  </r>
  <r>
    <d v="2025-01-27T00:00:00"/>
    <x v="0"/>
    <n v="-21.5"/>
    <x v="10"/>
    <m/>
    <s v="Uitgave"/>
    <n v="-21.5"/>
    <x v="1"/>
    <s v="OK"/>
  </r>
  <r>
    <d v="2025-01-27T00:00:00"/>
    <x v="0"/>
    <n v="-15"/>
    <x v="10"/>
    <m/>
    <s v="Uitgave"/>
    <n v="-15"/>
    <x v="1"/>
    <s v="OK"/>
  </r>
  <r>
    <d v="2025-01-27T00:00:00"/>
    <x v="0"/>
    <n v="-14.95"/>
    <x v="9"/>
    <m/>
    <s v="Uitgave"/>
    <n v="-14.95"/>
    <x v="1"/>
    <s v="OK"/>
  </r>
  <r>
    <d v="2025-01-27T00:00:00"/>
    <x v="0"/>
    <n v="-12.7"/>
    <x v="10"/>
    <m/>
    <s v="Uitgave"/>
    <n v="-12.7"/>
    <x v="1"/>
    <s v="OK"/>
  </r>
  <r>
    <d v="2025-01-27T00:00:00"/>
    <x v="0"/>
    <n v="-8.84"/>
    <x v="2"/>
    <m/>
    <s v="Uitgave"/>
    <n v="-8.84"/>
    <x v="2"/>
    <s v="OK"/>
  </r>
  <r>
    <d v="2025-01-27T00:00:00"/>
    <x v="0"/>
    <n v="-7.11"/>
    <x v="4"/>
    <m/>
    <s v="Uitgave"/>
    <n v="-7.11"/>
    <x v="2"/>
    <s v="OK"/>
  </r>
  <r>
    <d v="2025-01-27T00:00:00"/>
    <x v="0"/>
    <n v="-6.7"/>
    <x v="2"/>
    <m/>
    <s v="Uitgave"/>
    <n v="-6.7"/>
    <x v="2"/>
    <s v="OK"/>
  </r>
  <r>
    <d v="2025-01-27T00:00:00"/>
    <x v="0"/>
    <n v="-5.77"/>
    <x v="4"/>
    <m/>
    <s v="Uitgave"/>
    <n v="-5.77"/>
    <x v="2"/>
    <s v="OK"/>
  </r>
  <r>
    <d v="2025-01-27T00:00:00"/>
    <x v="0"/>
    <n v="-5.49"/>
    <x v="2"/>
    <m/>
    <s v="Uitgave"/>
    <n v="-5.49"/>
    <x v="2"/>
    <s v="OK"/>
  </r>
  <r>
    <d v="2025-01-27T00:00:00"/>
    <x v="0"/>
    <n v="-5"/>
    <x v="2"/>
    <m/>
    <s v="Uitgave"/>
    <n v="-5"/>
    <x v="2"/>
    <s v="OK"/>
  </r>
  <r>
    <d v="2025-01-27T00:00:00"/>
    <x v="0"/>
    <n v="-5"/>
    <x v="4"/>
    <m/>
    <s v="Uitgave"/>
    <n v="-5"/>
    <x v="2"/>
    <s v="OK"/>
  </r>
  <r>
    <d v="2025-01-27T00:00:00"/>
    <x v="0"/>
    <n v="-5"/>
    <x v="4"/>
    <m/>
    <s v="Uitgave"/>
    <n v="-5"/>
    <x v="2"/>
    <s v="OK"/>
  </r>
  <r>
    <d v="2025-01-27T00:00:00"/>
    <x v="0"/>
    <n v="-2.08"/>
    <x v="14"/>
    <m/>
    <s v="Uitgave"/>
    <n v="-2.08"/>
    <x v="1"/>
    <s v="OK"/>
  </r>
  <r>
    <d v="2025-01-27T00:00:00"/>
    <x v="0"/>
    <n v="-1.5"/>
    <x v="11"/>
    <m/>
    <s v="Uitgave"/>
    <n v="-1.5"/>
    <x v="1"/>
    <s v="OK"/>
  </r>
  <r>
    <d v="2025-01-28T00:00:00"/>
    <x v="0"/>
    <n v="-150"/>
    <x v="35"/>
    <m/>
    <s v="Uitgave"/>
    <n v="-150"/>
    <x v="1"/>
    <s v="OK"/>
  </r>
  <r>
    <d v="2025-01-28T00:00:00"/>
    <x v="0"/>
    <n v="-10.42"/>
    <x v="7"/>
    <m/>
    <s v="Uitgave"/>
    <n v="-10.42"/>
    <x v="1"/>
    <s v="OK"/>
  </r>
  <r>
    <d v="2025-01-28T00:00:00"/>
    <x v="0"/>
    <n v="-6.7"/>
    <x v="2"/>
    <m/>
    <s v="Uitgave"/>
    <n v="-6.7"/>
    <x v="2"/>
    <s v="OK"/>
  </r>
  <r>
    <d v="2025-01-28T00:00:00"/>
    <x v="0"/>
    <n v="-4.5999999999999996"/>
    <x v="2"/>
    <m/>
    <s v="Uitgave"/>
    <n v="-4.5999999999999996"/>
    <x v="2"/>
    <s v="OK"/>
  </r>
  <r>
    <d v="2025-01-28T00:00:00"/>
    <x v="0"/>
    <n v="-3.21"/>
    <x v="2"/>
    <m/>
    <s v="Uitgave"/>
    <n v="-3.21"/>
    <x v="2"/>
    <s v="OK"/>
  </r>
  <r>
    <d v="2025-01-28T00:00:00"/>
    <x v="0"/>
    <n v="-1.5"/>
    <x v="11"/>
    <m/>
    <s v="Uitgave"/>
    <n v="-1.5"/>
    <x v="1"/>
    <s v="OK"/>
  </r>
  <r>
    <d v="2025-01-28T00:00:00"/>
    <x v="0"/>
    <n v="20"/>
    <x v="16"/>
    <m/>
    <s v="Inkomst"/>
    <n v="20"/>
    <x v="2"/>
    <s v="OK"/>
  </r>
  <r>
    <d v="2025-01-29T00:00:00"/>
    <x v="0"/>
    <n v="-209.35"/>
    <x v="10"/>
    <m/>
    <s v="Uitgave"/>
    <n v="-209.35"/>
    <x v="1"/>
    <s v="OK"/>
  </r>
  <r>
    <d v="2025-01-29T00:00:00"/>
    <x v="0"/>
    <n v="-32.799999999999997"/>
    <x v="9"/>
    <m/>
    <s v="Uitgave"/>
    <n v="-32.799999999999997"/>
    <x v="1"/>
    <s v="OK"/>
  </r>
  <r>
    <d v="2025-01-29T00:00:00"/>
    <x v="0"/>
    <n v="-11.05"/>
    <x v="2"/>
    <m/>
    <s v="Uitgave"/>
    <n v="-11.05"/>
    <x v="2"/>
    <s v="OK"/>
  </r>
  <r>
    <d v="2025-01-29T00:00:00"/>
    <x v="0"/>
    <n v="-6.79"/>
    <x v="26"/>
    <m/>
    <s v="Uitgave"/>
    <n v="-6.79"/>
    <x v="1"/>
    <s v="OK"/>
  </r>
  <r>
    <d v="2025-01-30T00:00:00"/>
    <x v="0"/>
    <n v="-449.06"/>
    <x v="36"/>
    <m/>
    <s v="Uitgave"/>
    <n v="-449.06"/>
    <x v="2"/>
    <s v="OK"/>
  </r>
  <r>
    <d v="2025-01-30T00:00:00"/>
    <x v="0"/>
    <n v="-137.06"/>
    <x v="36"/>
    <m/>
    <s v="Uitgave"/>
    <n v="-137.06"/>
    <x v="2"/>
    <s v="OK"/>
  </r>
  <r>
    <d v="2025-01-30T00:00:00"/>
    <x v="0"/>
    <n v="-66.23"/>
    <x v="37"/>
    <m/>
    <s v="Uitgave"/>
    <n v="-66.23"/>
    <x v="2"/>
    <s v="OK"/>
  </r>
  <r>
    <d v="2025-01-30T00:00:00"/>
    <x v="0"/>
    <n v="-10"/>
    <x v="7"/>
    <m/>
    <s v="Uitgave"/>
    <n v="-10"/>
    <x v="1"/>
    <s v="OK"/>
  </r>
  <r>
    <d v="2025-01-30T00:00:00"/>
    <x v="0"/>
    <n v="-9.39"/>
    <x v="2"/>
    <m/>
    <s v="Uitgave"/>
    <n v="-9.39"/>
    <x v="2"/>
    <s v="OK"/>
  </r>
  <r>
    <d v="2025-01-30T00:00:00"/>
    <x v="0"/>
    <n v="-6.16"/>
    <x v="2"/>
    <m/>
    <s v="Uitgave"/>
    <n v="-6.16"/>
    <x v="2"/>
    <s v="OK"/>
  </r>
  <r>
    <d v="2025-01-30T00:00:00"/>
    <x v="0"/>
    <n v="-5.99"/>
    <x v="2"/>
    <m/>
    <s v="Uitgave"/>
    <n v="-5.99"/>
    <x v="2"/>
    <s v="OK"/>
  </r>
  <r>
    <d v="2025-01-30T00:00:00"/>
    <x v="0"/>
    <n v="600"/>
    <x v="10"/>
    <m/>
    <s v="Inkomst"/>
    <n v="600"/>
    <x v="1"/>
    <s v="OK"/>
  </r>
  <r>
    <d v="2025-01-31T00:00:00"/>
    <x v="0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1-31T00:00:00"/>
    <x v="0"/>
    <n v="-11.45"/>
    <x v="2"/>
    <m/>
    <s v="Uitgave"/>
    <n v="-11.45"/>
    <x v="2"/>
    <s v="OK"/>
  </r>
  <r>
    <d v="2025-01-31T00:00:00"/>
    <x v="0"/>
    <n v="-6.28"/>
    <x v="2"/>
    <m/>
    <s v="Uitgave"/>
    <n v="-6.28"/>
    <x v="2"/>
    <s v="OK"/>
  </r>
  <r>
    <d v="2025-01-31T00:00:00"/>
    <x v="0"/>
    <n v="-5.89"/>
    <x v="2"/>
    <m/>
    <s v="Uitgave"/>
    <n v="-5.89"/>
    <x v="2"/>
    <s v="OK"/>
  </r>
  <r>
    <d v="2025-01-31T00:00:00"/>
    <x v="0"/>
    <n v="-4.9000000000000004"/>
    <x v="2"/>
    <m/>
    <s v="Uitgave"/>
    <n v="-4.9000000000000004"/>
    <x v="2"/>
    <s v="OK"/>
  </r>
  <r>
    <d v="2025-01-31T00:00:00"/>
    <x v="0"/>
    <n v="-4"/>
    <x v="2"/>
    <m/>
    <s v="Uitgave"/>
    <n v="-4"/>
    <x v="2"/>
    <s v="OK"/>
  </r>
  <r>
    <d v="2025-01-31T00:00:00"/>
    <x v="0"/>
    <n v="-3.9"/>
    <x v="2"/>
    <m/>
    <s v="Uitgave"/>
    <n v="-3.9"/>
    <x v="2"/>
    <s v="OK"/>
  </r>
  <r>
    <d v="2025-01-31T00:00:00"/>
    <x v="0"/>
    <n v="-1.5"/>
    <x v="11"/>
    <m/>
    <s v="Uitgave"/>
    <n v="-1.5"/>
    <x v="1"/>
    <s v="OK"/>
  </r>
  <r>
    <d v="2025-02-01T00:00:00"/>
    <x v="1"/>
    <n v="2206.9299999999998"/>
    <x v="0"/>
    <m/>
    <s v="Inkomst"/>
    <n v="2206.9299999999998"/>
    <x v="0"/>
    <s v="OK"/>
  </r>
  <r>
    <d v="2025-02-01T00:00:00"/>
    <x v="1"/>
    <n v="2449.6"/>
    <x v="0"/>
    <m/>
    <s v="Inkomst"/>
    <n v="2449.6"/>
    <x v="0"/>
    <s v="OK"/>
  </r>
  <r>
    <d v="2025-02-01T00:00:00"/>
    <x v="1"/>
    <n v="-22.89"/>
    <x v="23"/>
    <m/>
    <s v="Uitgave"/>
    <n v="-22.89"/>
    <x v="1"/>
    <s v="OK"/>
  </r>
  <r>
    <d v="2025-02-01T00:00:00"/>
    <x v="1"/>
    <n v="-25"/>
    <x v="13"/>
    <m/>
    <s v="Uitgave"/>
    <n v="-25"/>
    <x v="2"/>
    <s v="OK"/>
  </r>
  <r>
    <d v="2025-02-01T00:00:00"/>
    <x v="1"/>
    <n v="-13.2"/>
    <x v="9"/>
    <m/>
    <s v="Uitgave"/>
    <n v="-13.2"/>
    <x v="1"/>
    <s v="OK"/>
  </r>
  <r>
    <d v="2025-02-02T00:00:00"/>
    <x v="1"/>
    <n v="-13.99"/>
    <x v="29"/>
    <m/>
    <s v="Uitgave"/>
    <n v="-13.99"/>
    <x v="1"/>
    <s v="OK"/>
  </r>
  <r>
    <d v="2025-02-03T00:00:00"/>
    <x v="1"/>
    <n v="-88.5"/>
    <x v="9"/>
    <m/>
    <s v="Uitgave"/>
    <n v="-88.5"/>
    <x v="1"/>
    <s v="OK"/>
  </r>
  <r>
    <d v="2025-02-03T00:00:00"/>
    <x v="1"/>
    <n v="-95.86"/>
    <x v="38"/>
    <m/>
    <s v="Uitgave"/>
    <n v="-95.86"/>
    <x v="2"/>
    <s v="OK"/>
  </r>
  <r>
    <d v="2025-02-03T00:00:00"/>
    <x v="1"/>
    <n v="-5"/>
    <x v="2"/>
    <m/>
    <s v="Uitgave"/>
    <n v="-5"/>
    <x v="2"/>
    <s v="OK"/>
  </r>
  <r>
    <d v="2025-02-03T00:00:00"/>
    <x v="1"/>
    <n v="-9.35"/>
    <x v="4"/>
    <m/>
    <s v="Uitgave"/>
    <n v="-9.35"/>
    <x v="2"/>
    <s v="OK"/>
  </r>
  <r>
    <d v="2025-02-03T00:00:00"/>
    <x v="1"/>
    <n v="-5"/>
    <x v="4"/>
    <m/>
    <s v="Uitgave"/>
    <n v="-5"/>
    <x v="2"/>
    <s v="OK"/>
  </r>
  <r>
    <d v="2025-02-03T00:00:00"/>
    <x v="1"/>
    <n v="-19.45"/>
    <x v="10"/>
    <m/>
    <s v="Uitgave"/>
    <n v="-19.45"/>
    <x v="1"/>
    <s v="OK"/>
  </r>
  <r>
    <d v="2025-02-03T00:00:00"/>
    <x v="1"/>
    <n v="-17.97"/>
    <x v="2"/>
    <m/>
    <s v="Uitgave"/>
    <n v="-17.97"/>
    <x v="2"/>
    <s v="OK"/>
  </r>
  <r>
    <d v="2025-02-03T00:00:00"/>
    <x v="1"/>
    <n v="-8.73"/>
    <x v="2"/>
    <m/>
    <s v="Uitgave"/>
    <n v="-8.73"/>
    <x v="2"/>
    <s v="OK"/>
  </r>
  <r>
    <d v="2025-02-03T00:00:00"/>
    <x v="1"/>
    <n v="-18.75"/>
    <x v="10"/>
    <m/>
    <s v="Uitgave"/>
    <n v="-18.75"/>
    <x v="1"/>
    <s v="OK"/>
  </r>
  <r>
    <d v="2025-02-03T00:00:00"/>
    <x v="1"/>
    <n v="-4.71"/>
    <x v="2"/>
    <m/>
    <s v="Uitgave"/>
    <n v="-4.71"/>
    <x v="2"/>
    <s v="OK"/>
  </r>
  <r>
    <d v="2025-02-03T00:00:00"/>
    <x v="1"/>
    <n v="-1.5"/>
    <x v="11"/>
    <m/>
    <s v="Uitgave"/>
    <n v="-1.5"/>
    <x v="1"/>
    <s v="OK"/>
  </r>
  <r>
    <d v="2025-02-03T00:00:00"/>
    <x v="1"/>
    <n v="-1.1000000000000001"/>
    <x v="11"/>
    <m/>
    <s v="Uitgave"/>
    <n v="-1.1000000000000001"/>
    <x v="1"/>
    <s v="OK"/>
  </r>
  <r>
    <d v="2025-02-03T00:00:00"/>
    <x v="1"/>
    <n v="-5.99"/>
    <x v="2"/>
    <m/>
    <s v="Uitgave"/>
    <n v="-5.99"/>
    <x v="2"/>
    <s v="OK"/>
  </r>
  <r>
    <d v="2025-02-03T00:00:00"/>
    <x v="1"/>
    <n v="-17.95"/>
    <x v="17"/>
    <m/>
    <s v="Uitgave"/>
    <n v="-17.95"/>
    <x v="1"/>
    <s v="OK"/>
  </r>
  <r>
    <d v="2025-02-03T00:00:00"/>
    <x v="1"/>
    <n v="-9.77"/>
    <x v="4"/>
    <m/>
    <s v="Uitgave"/>
    <n v="-9.77"/>
    <x v="2"/>
    <s v="OK"/>
  </r>
  <r>
    <d v="2025-02-03T00:00:00"/>
    <x v="1"/>
    <n v="-5"/>
    <x v="4"/>
    <m/>
    <s v="Uitgave"/>
    <n v="-5"/>
    <x v="2"/>
    <s v="OK"/>
  </r>
  <r>
    <d v="2025-02-03T00:00:00"/>
    <x v="1"/>
    <n v="-4.42"/>
    <x v="4"/>
    <m/>
    <s v="Uitgave"/>
    <n v="-4.42"/>
    <x v="2"/>
    <s v="OK"/>
  </r>
  <r>
    <d v="2025-02-03T00:00:00"/>
    <x v="1"/>
    <n v="-22.25"/>
    <x v="10"/>
    <m/>
    <s v="Uitgave"/>
    <n v="-22.25"/>
    <x v="1"/>
    <s v="OK"/>
  </r>
  <r>
    <d v="2025-02-03T00:00:00"/>
    <x v="1"/>
    <n v="-20.85"/>
    <x v="10"/>
    <m/>
    <s v="Uitgave"/>
    <n v="-20.85"/>
    <x v="1"/>
    <s v="OK"/>
  </r>
  <r>
    <d v="2025-02-03T00:00:00"/>
    <x v="1"/>
    <n v="-81.2"/>
    <x v="10"/>
    <m/>
    <s v="Uitgave"/>
    <n v="-81.2"/>
    <x v="1"/>
    <s v="OK"/>
  </r>
  <r>
    <d v="2025-02-03T00:00:00"/>
    <x v="1"/>
    <n v="-10.94"/>
    <x v="7"/>
    <m/>
    <s v="Uitgave"/>
    <n v="-10.94"/>
    <x v="1"/>
    <s v="OK"/>
  </r>
  <r>
    <d v="2025-02-03T00:00:00"/>
    <x v="1"/>
    <n v="-40.619999999999997"/>
    <x v="3"/>
    <m/>
    <s v="Uitgave"/>
    <n v="-40.619999999999997"/>
    <x v="2"/>
    <s v="OK"/>
  </r>
  <r>
    <d v="2025-02-04T00:00:00"/>
    <x v="1"/>
    <n v="-5.49"/>
    <x v="2"/>
    <m/>
    <s v="Uitgave"/>
    <n v="-5.49"/>
    <x v="2"/>
    <s v="OK"/>
  </r>
  <r>
    <d v="2025-02-04T00:00:00"/>
    <x v="1"/>
    <n v="-33.799999999999997"/>
    <x v="10"/>
    <m/>
    <s v="Uitgave"/>
    <n v="-33.799999999999997"/>
    <x v="1"/>
    <s v="OK"/>
  </r>
  <r>
    <d v="2025-02-04T00:00:00"/>
    <x v="1"/>
    <n v="-1.5"/>
    <x v="11"/>
    <m/>
    <s v="Uitgave"/>
    <n v="-1.5"/>
    <x v="1"/>
    <s v="OK"/>
  </r>
  <r>
    <d v="2025-02-04T00:00:00"/>
    <x v="1"/>
    <n v="-2.94"/>
    <x v="2"/>
    <m/>
    <s v="Uitgave"/>
    <n v="-2.94"/>
    <x v="2"/>
    <s v="OK"/>
  </r>
  <r>
    <d v="2025-02-04T00:00:00"/>
    <x v="1"/>
    <n v="-21.67"/>
    <x v="2"/>
    <m/>
    <s v="Uitgave"/>
    <n v="-21.67"/>
    <x v="2"/>
    <s v="OK"/>
  </r>
  <r>
    <d v="2025-02-04T00:00:00"/>
    <x v="1"/>
    <n v="-127.5"/>
    <x v="6"/>
    <m/>
    <s v="Uitgave"/>
    <n v="-127.5"/>
    <x v="2"/>
    <s v="OK"/>
  </r>
  <r>
    <d v="2025-02-04T00:00:00"/>
    <x v="1"/>
    <n v="-21.94"/>
    <x v="9"/>
    <m/>
    <s v="Uitgave"/>
    <n v="-21.94"/>
    <x v="1"/>
    <s v="OK"/>
  </r>
  <r>
    <d v="2025-02-05T00:00:00"/>
    <x v="1"/>
    <n v="-8.5"/>
    <x v="2"/>
    <m/>
    <s v="Uitgave"/>
    <n v="-8.5"/>
    <x v="2"/>
    <s v="OK"/>
  </r>
  <r>
    <d v="2025-02-05T00:00:00"/>
    <x v="1"/>
    <n v="-1.5"/>
    <x v="11"/>
    <m/>
    <s v="Uitgave"/>
    <n v="-1.5"/>
    <x v="1"/>
    <s v="OK"/>
  </r>
  <r>
    <d v="2025-02-05T00:00:00"/>
    <x v="1"/>
    <n v="-8.0399999999999991"/>
    <x v="2"/>
    <m/>
    <s v="Uitgave"/>
    <n v="-8.0399999999999991"/>
    <x v="2"/>
    <s v="OK"/>
  </r>
  <r>
    <d v="2025-02-05T00:00:00"/>
    <x v="1"/>
    <n v="-20.71"/>
    <x v="20"/>
    <m/>
    <s v="Uitgave"/>
    <n v="-20.71"/>
    <x v="2"/>
    <s v="OK"/>
  </r>
  <r>
    <d v="2025-02-05T00:00:00"/>
    <x v="1"/>
    <n v="-13.9"/>
    <x v="10"/>
    <m/>
    <s v="Uitgave"/>
    <n v="-13.9"/>
    <x v="1"/>
    <s v="OK"/>
  </r>
  <r>
    <d v="2025-02-05T00:00:00"/>
    <x v="1"/>
    <n v="-19.95"/>
    <x v="10"/>
    <m/>
    <s v="Uitgave"/>
    <n v="-19.95"/>
    <x v="1"/>
    <s v="OK"/>
  </r>
  <r>
    <d v="2025-02-06T00:00:00"/>
    <x v="1"/>
    <n v="-9.11"/>
    <x v="4"/>
    <m/>
    <s v="Uitgave"/>
    <n v="-9.11"/>
    <x v="2"/>
    <s v="OK"/>
  </r>
  <r>
    <d v="2025-02-06T00:00:00"/>
    <x v="1"/>
    <n v="-5"/>
    <x v="4"/>
    <m/>
    <s v="Uitgave"/>
    <n v="-5"/>
    <x v="2"/>
    <s v="OK"/>
  </r>
  <r>
    <d v="2025-02-06T00:00:00"/>
    <x v="1"/>
    <n v="-2.5"/>
    <x v="15"/>
    <m/>
    <s v="Uitgave"/>
    <n v="-2.5"/>
    <x v="1"/>
    <s v="OK"/>
  </r>
  <r>
    <d v="2025-02-06T00:00:00"/>
    <x v="1"/>
    <n v="-30.2"/>
    <x v="15"/>
    <m/>
    <s v="Uitgave"/>
    <n v="-30.2"/>
    <x v="1"/>
    <s v="OK"/>
  </r>
  <r>
    <d v="2025-02-06T00:00:00"/>
    <x v="1"/>
    <n v="-49.42"/>
    <x v="15"/>
    <m/>
    <s v="Uitgave"/>
    <n v="-49.42"/>
    <x v="1"/>
    <s v="OK"/>
  </r>
  <r>
    <d v="2025-02-06T00:00:00"/>
    <x v="1"/>
    <n v="-1.5"/>
    <x v="11"/>
    <m/>
    <s v="Uitgave"/>
    <n v="-1.5"/>
    <x v="1"/>
    <s v="OK"/>
  </r>
  <r>
    <d v="2025-02-06T00:00:00"/>
    <x v="1"/>
    <n v="-9.4"/>
    <x v="2"/>
    <m/>
    <s v="Uitgave"/>
    <n v="-9.4"/>
    <x v="2"/>
    <s v="OK"/>
  </r>
  <r>
    <d v="2025-02-06T00:00:00"/>
    <x v="1"/>
    <n v="-21.02"/>
    <x v="7"/>
    <m/>
    <s v="Uitgave"/>
    <n v="-21.02"/>
    <x v="1"/>
    <s v="OK"/>
  </r>
  <r>
    <d v="2025-02-06T00:00:00"/>
    <x v="1"/>
    <n v="-8.19"/>
    <x v="2"/>
    <m/>
    <s v="Uitgave"/>
    <n v="-8.19"/>
    <x v="2"/>
    <s v="OK"/>
  </r>
  <r>
    <d v="2025-02-06T00:00:00"/>
    <x v="1"/>
    <n v="-15.39"/>
    <x v="2"/>
    <m/>
    <s v="Uitgave"/>
    <n v="-15.39"/>
    <x v="2"/>
    <s v="OK"/>
  </r>
  <r>
    <d v="2025-02-06T00:00:00"/>
    <x v="1"/>
    <n v="-810.65"/>
    <x v="19"/>
    <m/>
    <s v="Uitgave"/>
    <n v="-810.65"/>
    <x v="2"/>
    <s v="OK"/>
  </r>
  <r>
    <d v="2025-02-07T00:00:00"/>
    <x v="1"/>
    <n v="-9.6999999999999993"/>
    <x v="2"/>
    <m/>
    <s v="Uitgave"/>
    <n v="-9.6999999999999993"/>
    <x v="2"/>
    <s v="OK"/>
  </r>
  <r>
    <d v="2025-02-07T00:00:00"/>
    <x v="1"/>
    <n v="-1.5"/>
    <x v="11"/>
    <m/>
    <s v="Uitgave"/>
    <n v="-1.5"/>
    <x v="1"/>
    <s v="OK"/>
  </r>
  <r>
    <d v="2025-02-07T00:00:00"/>
    <x v="1"/>
    <n v="-1.5"/>
    <x v="11"/>
    <m/>
    <s v="Uitgave"/>
    <n v="-1.5"/>
    <x v="1"/>
    <s v="OK"/>
  </r>
  <r>
    <d v="2025-02-07T00:00:00"/>
    <x v="1"/>
    <n v="-4.5999999999999996"/>
    <x v="2"/>
    <m/>
    <s v="Uitgave"/>
    <n v="-4.5999999999999996"/>
    <x v="2"/>
    <s v="OK"/>
  </r>
  <r>
    <d v="2025-02-07T00:00:00"/>
    <x v="1"/>
    <n v="-16.29"/>
    <x v="2"/>
    <m/>
    <s v="Uitgave"/>
    <n v="-16.29"/>
    <x v="2"/>
    <s v="OK"/>
  </r>
  <r>
    <d v="2025-02-07T00:00:00"/>
    <x v="1"/>
    <n v="-1.5"/>
    <x v="11"/>
    <m/>
    <s v="Uitgave"/>
    <n v="-1.5"/>
    <x v="1"/>
    <s v="OK"/>
  </r>
  <r>
    <d v="2025-02-07T00:00:00"/>
    <x v="1"/>
    <n v="-1.1000000000000001"/>
    <x v="11"/>
    <m/>
    <s v="Uitgave"/>
    <n v="-1.1000000000000001"/>
    <x v="1"/>
    <s v="OK"/>
  </r>
  <r>
    <d v="2025-02-07T00:00:00"/>
    <x v="1"/>
    <n v="-3.9"/>
    <x v="2"/>
    <m/>
    <s v="Uitgave"/>
    <n v="-3.9"/>
    <x v="2"/>
    <s v="OK"/>
  </r>
  <r>
    <d v="2025-02-07T00:00:00"/>
    <x v="1"/>
    <n v="-26.7"/>
    <x v="10"/>
    <m/>
    <s v="Uitgave"/>
    <n v="-26.7"/>
    <x v="1"/>
    <s v="OK"/>
  </r>
  <r>
    <d v="2025-02-07T00:00:00"/>
    <x v="1"/>
    <n v="-58.35"/>
    <x v="10"/>
    <m/>
    <s v="Uitgave"/>
    <n v="-58.35"/>
    <x v="1"/>
    <s v="OK"/>
  </r>
  <r>
    <d v="2025-02-07T00:00:00"/>
    <x v="1"/>
    <n v="-63.36"/>
    <x v="4"/>
    <m/>
    <s v="Uitgave"/>
    <n v="-63.36"/>
    <x v="2"/>
    <s v="OK"/>
  </r>
  <r>
    <d v="2025-02-07T00:00:00"/>
    <x v="1"/>
    <n v="-25.8"/>
    <x v="9"/>
    <m/>
    <s v="Uitgave"/>
    <n v="-25.8"/>
    <x v="1"/>
    <s v="OK"/>
  </r>
  <r>
    <d v="2025-02-07T00:00:00"/>
    <x v="1"/>
    <n v="-39.119999999999997"/>
    <x v="16"/>
    <m/>
    <s v="Uitgave"/>
    <n v="-39.119999999999997"/>
    <x v="2"/>
    <s v="OK"/>
  </r>
  <r>
    <d v="2025-02-09T00:00:00"/>
    <x v="1"/>
    <n v="-917.18"/>
    <x v="10"/>
    <m/>
    <s v="Uitgave"/>
    <n v="-917.18"/>
    <x v="1"/>
    <s v="OK"/>
  </r>
  <r>
    <d v="2025-02-10T00:00:00"/>
    <x v="1"/>
    <n v="-10.73"/>
    <x v="4"/>
    <m/>
    <s v="Uitgave"/>
    <n v="-10.73"/>
    <x v="2"/>
    <s v="OK"/>
  </r>
  <r>
    <d v="2025-02-10T00:00:00"/>
    <x v="1"/>
    <n v="-5"/>
    <x v="4"/>
    <m/>
    <s v="Uitgave"/>
    <n v="-5"/>
    <x v="2"/>
    <s v="OK"/>
  </r>
  <r>
    <d v="2025-02-10T00:00:00"/>
    <x v="1"/>
    <n v="-10.45"/>
    <x v="10"/>
    <m/>
    <s v="Uitgave"/>
    <n v="-10.45"/>
    <x v="1"/>
    <s v="OK"/>
  </r>
  <r>
    <d v="2025-02-10T00:00:00"/>
    <x v="1"/>
    <n v="-28.7"/>
    <x v="22"/>
    <m/>
    <s v="Uitgave"/>
    <n v="-28.7"/>
    <x v="1"/>
    <s v="OK"/>
  </r>
  <r>
    <d v="2025-02-10T00:00:00"/>
    <x v="1"/>
    <n v="-7.9"/>
    <x v="2"/>
    <m/>
    <s v="Uitgave"/>
    <n v="-7.9"/>
    <x v="2"/>
    <s v="OK"/>
  </r>
  <r>
    <d v="2025-02-10T00:00:00"/>
    <x v="1"/>
    <n v="-0.99"/>
    <x v="2"/>
    <m/>
    <s v="Uitgave"/>
    <n v="-0.99"/>
    <x v="2"/>
    <s v="OK"/>
  </r>
  <r>
    <d v="2025-02-10T00:00:00"/>
    <x v="1"/>
    <n v="-4.8"/>
    <x v="10"/>
    <m/>
    <s v="Uitgave"/>
    <n v="-4.8"/>
    <x v="1"/>
    <s v="OK"/>
  </r>
  <r>
    <d v="2025-02-10T00:00:00"/>
    <x v="1"/>
    <n v="-13.9"/>
    <x v="10"/>
    <m/>
    <s v="Uitgave"/>
    <n v="-13.9"/>
    <x v="1"/>
    <s v="OK"/>
  </r>
  <r>
    <d v="2025-02-10T00:00:00"/>
    <x v="1"/>
    <n v="-5.99"/>
    <x v="2"/>
    <m/>
    <s v="Uitgave"/>
    <n v="-5.99"/>
    <x v="2"/>
    <s v="OK"/>
  </r>
  <r>
    <d v="2025-02-10T00:00:00"/>
    <x v="1"/>
    <n v="-65.25"/>
    <x v="10"/>
    <m/>
    <s v="Uitgave"/>
    <n v="-65.25"/>
    <x v="1"/>
    <s v="OK"/>
  </r>
  <r>
    <d v="2025-02-10T00:00:00"/>
    <x v="1"/>
    <n v="-1.5"/>
    <x v="11"/>
    <m/>
    <s v="Uitgave"/>
    <n v="-1.5"/>
    <x v="1"/>
    <s v="OK"/>
  </r>
  <r>
    <d v="2025-02-10T00:00:00"/>
    <x v="1"/>
    <n v="-1.1000000000000001"/>
    <x v="11"/>
    <m/>
    <s v="Uitgave"/>
    <n v="-1.1000000000000001"/>
    <x v="1"/>
    <s v="OK"/>
  </r>
  <r>
    <d v="2025-02-10T00:00:00"/>
    <x v="1"/>
    <n v="-1.5"/>
    <x v="11"/>
    <m/>
    <s v="Uitgave"/>
    <n v="-1.5"/>
    <x v="1"/>
    <s v="OK"/>
  </r>
  <r>
    <d v="2025-02-10T00:00:00"/>
    <x v="1"/>
    <n v="-4.49"/>
    <x v="2"/>
    <m/>
    <s v="Uitgave"/>
    <n v="-4.49"/>
    <x v="2"/>
    <s v="OK"/>
  </r>
  <r>
    <d v="2025-02-10T00:00:00"/>
    <x v="1"/>
    <n v="-4.18"/>
    <x v="2"/>
    <m/>
    <s v="Uitgave"/>
    <n v="-4.18"/>
    <x v="2"/>
    <s v="OK"/>
  </r>
  <r>
    <d v="2025-02-10T00:00:00"/>
    <x v="1"/>
    <n v="-18.72"/>
    <x v="2"/>
    <m/>
    <s v="Uitgave"/>
    <n v="-18.72"/>
    <x v="2"/>
    <s v="OK"/>
  </r>
  <r>
    <d v="2025-02-10T00:00:00"/>
    <x v="1"/>
    <n v="-1.73"/>
    <x v="4"/>
    <m/>
    <s v="Uitgave"/>
    <n v="-1.73"/>
    <x v="2"/>
    <s v="OK"/>
  </r>
  <r>
    <d v="2025-02-10T00:00:00"/>
    <x v="1"/>
    <n v="-5"/>
    <x v="4"/>
    <m/>
    <s v="Uitgave"/>
    <n v="-5"/>
    <x v="2"/>
    <s v="OK"/>
  </r>
  <r>
    <d v="2025-02-10T00:00:00"/>
    <x v="1"/>
    <n v="-12.01"/>
    <x v="21"/>
    <m/>
    <s v="Uitgave"/>
    <n v="-12.01"/>
    <x v="2"/>
    <s v="OK"/>
  </r>
  <r>
    <d v="2025-02-11T00:00:00"/>
    <x v="1"/>
    <n v="160.38"/>
    <x v="16"/>
    <m/>
    <s v="Inkomst"/>
    <n v="160.38"/>
    <x v="2"/>
    <s v="OK"/>
  </r>
  <r>
    <d v="2025-02-11T00:00:00"/>
    <x v="1"/>
    <n v="-353.67"/>
    <x v="10"/>
    <m/>
    <s v="Uitgave"/>
    <n v="-353.67"/>
    <x v="1"/>
    <s v="OK"/>
  </r>
  <r>
    <d v="2025-02-11T00:00:00"/>
    <x v="1"/>
    <n v="-1.5"/>
    <x v="11"/>
    <m/>
    <s v="Uitgave"/>
    <n v="-1.5"/>
    <x v="1"/>
    <s v="OK"/>
  </r>
  <r>
    <d v="2025-02-11T00:00:00"/>
    <x v="1"/>
    <n v="-0.9"/>
    <x v="11"/>
    <m/>
    <s v="Uitgave"/>
    <n v="-0.9"/>
    <x v="1"/>
    <s v="OK"/>
  </r>
  <r>
    <d v="2025-02-11T00:00:00"/>
    <x v="1"/>
    <n v="-1.1000000000000001"/>
    <x v="11"/>
    <m/>
    <s v="Uitgave"/>
    <n v="-1.1000000000000001"/>
    <x v="1"/>
    <s v="OK"/>
  </r>
  <r>
    <d v="2025-02-11T00:00:00"/>
    <x v="1"/>
    <n v="-5.49"/>
    <x v="2"/>
    <m/>
    <s v="Uitgave"/>
    <n v="-5.49"/>
    <x v="2"/>
    <s v="OK"/>
  </r>
  <r>
    <d v="2025-02-11T00:00:00"/>
    <x v="1"/>
    <n v="-43.2"/>
    <x v="10"/>
    <m/>
    <s v="Uitgave"/>
    <n v="-43.2"/>
    <x v="1"/>
    <s v="OK"/>
  </r>
  <r>
    <d v="2025-02-11T00:00:00"/>
    <x v="1"/>
    <n v="-17.899999999999999"/>
    <x v="12"/>
    <m/>
    <s v="Uitgave"/>
    <n v="-17.899999999999999"/>
    <x v="1"/>
    <s v="OK"/>
  </r>
  <r>
    <d v="2025-02-11T00:00:00"/>
    <x v="1"/>
    <n v="-6.4"/>
    <x v="2"/>
    <m/>
    <s v="Uitgave"/>
    <n v="-6.4"/>
    <x v="2"/>
    <s v="OK"/>
  </r>
  <r>
    <d v="2025-02-11T00:00:00"/>
    <x v="1"/>
    <n v="9.3000000000000007"/>
    <x v="2"/>
    <m/>
    <s v="Inkomst"/>
    <n v="9.3000000000000007"/>
    <x v="2"/>
    <s v="OK"/>
  </r>
  <r>
    <d v="2025-02-11T00:00:00"/>
    <x v="1"/>
    <n v="-19.64"/>
    <x v="2"/>
    <m/>
    <s v="Uitgave"/>
    <n v="-19.64"/>
    <x v="2"/>
    <s v="OK"/>
  </r>
  <r>
    <d v="2025-02-11T00:00:00"/>
    <x v="1"/>
    <n v="143"/>
    <x v="20"/>
    <m/>
    <s v="Inkomst"/>
    <n v="143"/>
    <x v="2"/>
    <s v="OK"/>
  </r>
  <r>
    <d v="2025-02-11T00:00:00"/>
    <x v="1"/>
    <n v="-12.95"/>
    <x v="24"/>
    <m/>
    <s v="Uitgave"/>
    <n v="-12.95"/>
    <x v="1"/>
    <s v="OK"/>
  </r>
  <r>
    <d v="2025-02-12T00:00:00"/>
    <x v="1"/>
    <n v="-23.09"/>
    <x v="2"/>
    <m/>
    <s v="Uitgave"/>
    <n v="-23.09"/>
    <x v="2"/>
    <s v="OK"/>
  </r>
  <r>
    <d v="2025-02-12T00:00:00"/>
    <x v="1"/>
    <n v="-1.5"/>
    <x v="11"/>
    <m/>
    <s v="Uitgave"/>
    <n v="-1.5"/>
    <x v="1"/>
    <s v="OK"/>
  </r>
  <r>
    <d v="2025-02-12T00:00:00"/>
    <x v="1"/>
    <n v="-1.5"/>
    <x v="11"/>
    <m/>
    <s v="Uitgave"/>
    <n v="-1.5"/>
    <x v="1"/>
    <s v="OK"/>
  </r>
  <r>
    <d v="2025-02-12T00:00:00"/>
    <x v="1"/>
    <n v="-18.920000000000002"/>
    <x v="2"/>
    <m/>
    <s v="Uitgave"/>
    <n v="-18.920000000000002"/>
    <x v="2"/>
    <s v="OK"/>
  </r>
  <r>
    <d v="2025-02-12T00:00:00"/>
    <x v="1"/>
    <n v="-8"/>
    <x v="4"/>
    <m/>
    <s v="Uitgave"/>
    <n v="-8"/>
    <x v="2"/>
    <s v="OK"/>
  </r>
  <r>
    <d v="2025-02-12T00:00:00"/>
    <x v="1"/>
    <n v="2.7"/>
    <x v="17"/>
    <m/>
    <s v="Inkomst"/>
    <n v="2.7"/>
    <x v="1"/>
    <s v="OK"/>
  </r>
  <r>
    <d v="2025-02-12T00:00:00"/>
    <x v="1"/>
    <n v="4.5999999999999996"/>
    <x v="17"/>
    <m/>
    <s v="Inkomst"/>
    <n v="4.5999999999999996"/>
    <x v="1"/>
    <s v="OK"/>
  </r>
  <r>
    <d v="2025-02-13T00:00:00"/>
    <x v="1"/>
    <n v="-70"/>
    <x v="17"/>
    <m/>
    <s v="Uitgave"/>
    <n v="-70"/>
    <x v="1"/>
    <s v="OK"/>
  </r>
  <r>
    <d v="2025-02-13T00:00:00"/>
    <x v="1"/>
    <n v="-9.7899999999999991"/>
    <x v="10"/>
    <m/>
    <s v="Uitgave"/>
    <n v="-9.7899999999999991"/>
    <x v="1"/>
    <s v="OK"/>
  </r>
  <r>
    <d v="2025-02-13T00:00:00"/>
    <x v="1"/>
    <n v="-8.5"/>
    <x v="2"/>
    <m/>
    <s v="Uitgave"/>
    <n v="-8.5"/>
    <x v="2"/>
    <s v="OK"/>
  </r>
  <r>
    <d v="2025-02-13T00:00:00"/>
    <x v="1"/>
    <n v="-1.5"/>
    <x v="11"/>
    <m/>
    <s v="Uitgave"/>
    <n v="-1.5"/>
    <x v="1"/>
    <s v="OK"/>
  </r>
  <r>
    <d v="2025-02-13T00:00:00"/>
    <x v="1"/>
    <n v="-7.5"/>
    <x v="10"/>
    <m/>
    <s v="Uitgave"/>
    <n v="-7.5"/>
    <x v="1"/>
    <s v="OK"/>
  </r>
  <r>
    <d v="2025-02-13T00:00:00"/>
    <x v="1"/>
    <n v="-8.98"/>
    <x v="2"/>
    <m/>
    <s v="Uitgave"/>
    <n v="-8.98"/>
    <x v="2"/>
    <s v="OK"/>
  </r>
  <r>
    <d v="2025-02-14T00:00:00"/>
    <x v="1"/>
    <n v="-12.79"/>
    <x v="2"/>
    <m/>
    <s v="Uitgave"/>
    <n v="-12.79"/>
    <x v="2"/>
    <s v="OK"/>
  </r>
  <r>
    <d v="2025-02-14T00:00:00"/>
    <x v="1"/>
    <n v="-1.5"/>
    <x v="11"/>
    <m/>
    <s v="Uitgave"/>
    <n v="-1.5"/>
    <x v="1"/>
    <s v="OK"/>
  </r>
  <r>
    <d v="2025-02-14T00:00:00"/>
    <x v="1"/>
    <n v="-1.5"/>
    <x v="11"/>
    <m/>
    <s v="Uitgave"/>
    <n v="-1.5"/>
    <x v="1"/>
    <s v="OK"/>
  </r>
  <r>
    <d v="2025-02-14T00:00:00"/>
    <x v="1"/>
    <n v="2.7"/>
    <x v="2"/>
    <m/>
    <s v="Inkomst"/>
    <n v="2.7"/>
    <x v="2"/>
    <s v="OK"/>
  </r>
  <r>
    <d v="2025-02-14T00:00:00"/>
    <x v="1"/>
    <n v="-12.2"/>
    <x v="2"/>
    <m/>
    <s v="Uitgave"/>
    <n v="-12.2"/>
    <x v="2"/>
    <s v="OK"/>
  </r>
  <r>
    <d v="2025-02-14T00:00:00"/>
    <x v="1"/>
    <n v="-32.299999999999997"/>
    <x v="9"/>
    <m/>
    <s v="Uitgave"/>
    <n v="-32.299999999999997"/>
    <x v="1"/>
    <s v="OK"/>
  </r>
  <r>
    <d v="2025-02-15T00:00:00"/>
    <x v="1"/>
    <n v="-17.600000000000001"/>
    <x v="9"/>
    <m/>
    <s v="Uitgave"/>
    <n v="-17.600000000000001"/>
    <x v="1"/>
    <s v="OK"/>
  </r>
  <r>
    <d v="2025-02-15T00:00:00"/>
    <x v="1"/>
    <n v="-5.6"/>
    <x v="2"/>
    <m/>
    <s v="Uitgave"/>
    <n v="-5.6"/>
    <x v="2"/>
    <s v="OK"/>
  </r>
  <r>
    <d v="2025-02-16T00:00:00"/>
    <x v="1"/>
    <n v="-84.7"/>
    <x v="39"/>
    <m/>
    <s v="Uitgave"/>
    <n v="-84.7"/>
    <x v="1"/>
    <s v="OK"/>
  </r>
  <r>
    <d v="2025-02-16T00:00:00"/>
    <x v="1"/>
    <n v="-34.549999999999997"/>
    <x v="2"/>
    <m/>
    <s v="Uitgave"/>
    <n v="-34.549999999999997"/>
    <x v="2"/>
    <s v="OK"/>
  </r>
  <r>
    <d v="2025-02-16T00:00:00"/>
    <x v="1"/>
    <n v="-13.2"/>
    <x v="9"/>
    <m/>
    <s v="Uitgave"/>
    <n v="-13.2"/>
    <x v="1"/>
    <s v="OK"/>
  </r>
  <r>
    <d v="2025-02-17T00:00:00"/>
    <x v="1"/>
    <n v="-5"/>
    <x v="4"/>
    <m/>
    <s v="Uitgave"/>
    <n v="-5"/>
    <x v="2"/>
    <s v="OK"/>
  </r>
  <r>
    <d v="2025-02-17T00:00:00"/>
    <x v="1"/>
    <n v="-4.3499999999999996"/>
    <x v="4"/>
    <m/>
    <s v="Uitgave"/>
    <n v="-4.3499999999999996"/>
    <x v="2"/>
    <s v="OK"/>
  </r>
  <r>
    <d v="2025-02-17T00:00:00"/>
    <x v="1"/>
    <n v="-4.5"/>
    <x v="7"/>
    <m/>
    <s v="Uitgave"/>
    <n v="-4.5"/>
    <x v="1"/>
    <s v="OK"/>
  </r>
  <r>
    <d v="2025-02-17T00:00:00"/>
    <x v="1"/>
    <n v="-9.73"/>
    <x v="2"/>
    <m/>
    <s v="Uitgave"/>
    <n v="-9.73"/>
    <x v="2"/>
    <s v="OK"/>
  </r>
  <r>
    <d v="2025-02-17T00:00:00"/>
    <x v="1"/>
    <n v="-32.549999999999997"/>
    <x v="10"/>
    <m/>
    <s v="Uitgave"/>
    <n v="-32.549999999999997"/>
    <x v="1"/>
    <s v="OK"/>
  </r>
  <r>
    <d v="2025-02-17T00:00:00"/>
    <x v="1"/>
    <n v="-10.5"/>
    <x v="10"/>
    <m/>
    <s v="Uitgave"/>
    <n v="-10.5"/>
    <x v="1"/>
    <s v="OK"/>
  </r>
  <r>
    <d v="2025-02-17T00:00:00"/>
    <x v="1"/>
    <n v="-16.489999999999998"/>
    <x v="10"/>
    <m/>
    <s v="Uitgave"/>
    <n v="-16.489999999999998"/>
    <x v="1"/>
    <s v="OK"/>
  </r>
  <r>
    <d v="2025-02-17T00:00:00"/>
    <x v="1"/>
    <n v="-14.29"/>
    <x v="2"/>
    <m/>
    <s v="Uitgave"/>
    <n v="-14.29"/>
    <x v="2"/>
    <s v="OK"/>
  </r>
  <r>
    <d v="2025-02-17T00:00:00"/>
    <x v="1"/>
    <n v="-21.54"/>
    <x v="2"/>
    <m/>
    <s v="Uitgave"/>
    <n v="-21.54"/>
    <x v="2"/>
    <s v="OK"/>
  </r>
  <r>
    <d v="2025-02-17T00:00:00"/>
    <x v="1"/>
    <n v="-2.17"/>
    <x v="2"/>
    <m/>
    <s v="Uitgave"/>
    <n v="-2.17"/>
    <x v="2"/>
    <s v="OK"/>
  </r>
  <r>
    <d v="2025-02-17T00:00:00"/>
    <x v="1"/>
    <n v="-1.5"/>
    <x v="11"/>
    <m/>
    <s v="Uitgave"/>
    <n v="-1.5"/>
    <x v="1"/>
    <s v="OK"/>
  </r>
  <r>
    <d v="2025-02-17T00:00:00"/>
    <x v="1"/>
    <n v="-1.5"/>
    <x v="11"/>
    <m/>
    <s v="Uitgave"/>
    <n v="-1.5"/>
    <x v="1"/>
    <s v="OK"/>
  </r>
  <r>
    <d v="2025-02-17T00:00:00"/>
    <x v="1"/>
    <n v="97.83"/>
    <x v="17"/>
    <m/>
    <s v="Inkomst"/>
    <n v="97.83"/>
    <x v="1"/>
    <s v="OK"/>
  </r>
  <r>
    <d v="2025-02-17T00:00:00"/>
    <x v="1"/>
    <n v="79.33"/>
    <x v="17"/>
    <m/>
    <s v="Inkomst"/>
    <n v="79.33"/>
    <x v="1"/>
    <s v="OK"/>
  </r>
  <r>
    <d v="2025-02-17T00:00:00"/>
    <x v="1"/>
    <n v="10.5"/>
    <x v="17"/>
    <m/>
    <s v="Inkomst"/>
    <n v="10.5"/>
    <x v="1"/>
    <s v="OK"/>
  </r>
  <r>
    <d v="2025-02-17T00:00:00"/>
    <x v="1"/>
    <n v="5.6"/>
    <x v="2"/>
    <m/>
    <s v="Inkomst"/>
    <n v="5.6"/>
    <x v="2"/>
    <s v="OK"/>
  </r>
  <r>
    <d v="2025-02-17T00:00:00"/>
    <x v="1"/>
    <n v="-81.66"/>
    <x v="27"/>
    <m/>
    <s v="Uitgave"/>
    <n v="-81.66"/>
    <x v="2"/>
    <s v="OK"/>
  </r>
  <r>
    <d v="2025-02-17T00:00:00"/>
    <x v="1"/>
    <n v="-85"/>
    <x v="27"/>
    <m/>
    <s v="Uitgave"/>
    <n v="-85"/>
    <x v="2"/>
    <s v="OK"/>
  </r>
  <r>
    <d v="2025-02-17T00:00:00"/>
    <x v="1"/>
    <n v="-33.549999999999997"/>
    <x v="31"/>
    <m/>
    <s v="Uitgave"/>
    <n v="-33.549999999999997"/>
    <x v="2"/>
    <s v="OK"/>
  </r>
  <r>
    <d v="2025-02-17T00:00:00"/>
    <x v="1"/>
    <n v="-24.99"/>
    <x v="30"/>
    <m/>
    <s v="Uitgave"/>
    <n v="-24.99"/>
    <x v="2"/>
    <s v="OK"/>
  </r>
  <r>
    <d v="2025-02-17T00:00:00"/>
    <x v="1"/>
    <n v="-25.5"/>
    <x v="9"/>
    <m/>
    <s v="Uitgave"/>
    <n v="-25.5"/>
    <x v="1"/>
    <s v="OK"/>
  </r>
  <r>
    <d v="2025-02-18T00:00:00"/>
    <x v="1"/>
    <n v="-0.5"/>
    <x v="11"/>
    <m/>
    <s v="Uitgave"/>
    <n v="-0.5"/>
    <x v="1"/>
    <s v="OK"/>
  </r>
  <r>
    <d v="2025-02-18T00:00:00"/>
    <x v="1"/>
    <n v="-0.5"/>
    <x v="11"/>
    <m/>
    <s v="Uitgave"/>
    <n v="-0.5"/>
    <x v="1"/>
    <s v="OK"/>
  </r>
  <r>
    <d v="2025-02-18T00:00:00"/>
    <x v="1"/>
    <n v="-5.49"/>
    <x v="2"/>
    <m/>
    <s v="Uitgave"/>
    <n v="-5.49"/>
    <x v="2"/>
    <s v="OK"/>
  </r>
  <r>
    <d v="2025-02-18T00:00:00"/>
    <x v="1"/>
    <n v="-11.95"/>
    <x v="28"/>
    <m/>
    <s v="Uitgave"/>
    <n v="-11.95"/>
    <x v="2"/>
    <s v="OK"/>
  </r>
  <r>
    <d v="2025-02-18T00:00:00"/>
    <x v="1"/>
    <n v="-101.93"/>
    <x v="30"/>
    <m/>
    <s v="Uitgave"/>
    <n v="-101.93"/>
    <x v="2"/>
    <s v="OK"/>
  </r>
  <r>
    <d v="2025-02-19T00:00:00"/>
    <x v="1"/>
    <n v="-1.5"/>
    <x v="11"/>
    <m/>
    <s v="Uitgave"/>
    <n v="-1.5"/>
    <x v="1"/>
    <s v="OK"/>
  </r>
  <r>
    <d v="2025-02-19T00:00:00"/>
    <x v="1"/>
    <n v="-1.5"/>
    <x v="11"/>
    <m/>
    <s v="Uitgave"/>
    <n v="-1.5"/>
    <x v="1"/>
    <s v="OK"/>
  </r>
  <r>
    <d v="2025-02-19T00:00:00"/>
    <x v="1"/>
    <n v="-1.5"/>
    <x v="11"/>
    <m/>
    <s v="Uitgave"/>
    <n v="-1.5"/>
    <x v="1"/>
    <s v="OK"/>
  </r>
  <r>
    <d v="2025-02-19T00:00:00"/>
    <x v="1"/>
    <n v="-0.9"/>
    <x v="11"/>
    <m/>
    <s v="Uitgave"/>
    <n v="-0.9"/>
    <x v="1"/>
    <s v="OK"/>
  </r>
  <r>
    <d v="2025-02-19T00:00:00"/>
    <x v="1"/>
    <n v="-0.28999999999999998"/>
    <x v="2"/>
    <m/>
    <s v="Uitgave"/>
    <n v="-0.28999999999999998"/>
    <x v="2"/>
    <s v="OK"/>
  </r>
  <r>
    <d v="2025-02-20T00:00:00"/>
    <x v="1"/>
    <n v="-1.5"/>
    <x v="11"/>
    <m/>
    <s v="Uitgave"/>
    <n v="-1.5"/>
    <x v="1"/>
    <s v="OK"/>
  </r>
  <r>
    <d v="2025-02-20T00:00:00"/>
    <x v="1"/>
    <n v="-10.59"/>
    <x v="2"/>
    <m/>
    <s v="Uitgave"/>
    <n v="-10.59"/>
    <x v="2"/>
    <s v="OK"/>
  </r>
  <r>
    <d v="2025-02-20T00:00:00"/>
    <x v="1"/>
    <n v="-17.71"/>
    <x v="4"/>
    <m/>
    <s v="Uitgave"/>
    <n v="-17.71"/>
    <x v="2"/>
    <s v="OK"/>
  </r>
  <r>
    <d v="2025-02-21T00:00:00"/>
    <x v="1"/>
    <n v="-1.5"/>
    <x v="11"/>
    <m/>
    <s v="Uitgave"/>
    <n v="-1.5"/>
    <x v="1"/>
    <s v="OK"/>
  </r>
  <r>
    <d v="2025-02-21T00:00:00"/>
    <x v="1"/>
    <n v="-4.5999999999999996"/>
    <x v="2"/>
    <m/>
    <s v="Uitgave"/>
    <n v="-4.5999999999999996"/>
    <x v="2"/>
    <s v="OK"/>
  </r>
  <r>
    <d v="2025-02-21T00:00:00"/>
    <x v="1"/>
    <n v="-20.34"/>
    <x v="2"/>
    <m/>
    <s v="Uitgave"/>
    <n v="-20.34"/>
    <x v="2"/>
    <s v="OK"/>
  </r>
  <r>
    <d v="2025-02-21T00:00:00"/>
    <x v="1"/>
    <n v="-59.75"/>
    <x v="10"/>
    <m/>
    <s v="Uitgave"/>
    <n v="-59.75"/>
    <x v="1"/>
    <s v="OK"/>
  </r>
  <r>
    <d v="2025-02-21T00:00:00"/>
    <x v="1"/>
    <n v="-98.24"/>
    <x v="10"/>
    <m/>
    <s v="Uitgave"/>
    <n v="-98.24"/>
    <x v="1"/>
    <s v="OK"/>
  </r>
  <r>
    <d v="2025-02-21T00:00:00"/>
    <x v="1"/>
    <n v="-52.31"/>
    <x v="33"/>
    <m/>
    <s v="Uitgave"/>
    <n v="-52.31"/>
    <x v="2"/>
    <s v="OK"/>
  </r>
  <r>
    <d v="2025-02-22T00:00:00"/>
    <x v="1"/>
    <n v="-297"/>
    <x v="16"/>
    <m/>
    <s v="Uitgave"/>
    <n v="-297"/>
    <x v="2"/>
    <s v="OK"/>
  </r>
  <r>
    <d v="2025-02-23T00:00:00"/>
    <x v="1"/>
    <n v="-27.7"/>
    <x v="9"/>
    <m/>
    <s v="Uitgave"/>
    <n v="-27.7"/>
    <x v="1"/>
    <s v="OK"/>
  </r>
  <r>
    <d v="2025-02-24T00:00:00"/>
    <x v="1"/>
    <n v="-5.99"/>
    <x v="2"/>
    <m/>
    <s v="Uitgave"/>
    <n v="-5.99"/>
    <x v="2"/>
    <s v="OK"/>
  </r>
  <r>
    <d v="2025-02-24T00:00:00"/>
    <x v="1"/>
    <n v="-9.92"/>
    <x v="2"/>
    <m/>
    <s v="Uitgave"/>
    <n v="-9.92"/>
    <x v="2"/>
    <s v="OK"/>
  </r>
  <r>
    <d v="2025-02-24T00:00:00"/>
    <x v="1"/>
    <n v="-1.49"/>
    <x v="2"/>
    <m/>
    <s v="Uitgave"/>
    <n v="-1.49"/>
    <x v="2"/>
    <s v="OK"/>
  </r>
  <r>
    <d v="2025-02-24T00:00:00"/>
    <x v="1"/>
    <n v="-25.54"/>
    <x v="2"/>
    <m/>
    <s v="Uitgave"/>
    <n v="-25.54"/>
    <x v="2"/>
    <s v="OK"/>
  </r>
  <r>
    <d v="2025-02-24T00:00:00"/>
    <x v="1"/>
    <n v="-3.09"/>
    <x v="2"/>
    <m/>
    <s v="Uitgave"/>
    <n v="-3.09"/>
    <x v="2"/>
    <s v="OK"/>
  </r>
  <r>
    <d v="2025-02-24T00:00:00"/>
    <x v="1"/>
    <n v="-27"/>
    <x v="10"/>
    <m/>
    <s v="Uitgave"/>
    <n v="-27"/>
    <x v="1"/>
    <s v="OK"/>
  </r>
  <r>
    <d v="2025-02-24T00:00:00"/>
    <x v="1"/>
    <n v="-8.6"/>
    <x v="10"/>
    <m/>
    <s v="Uitgave"/>
    <n v="-8.6"/>
    <x v="1"/>
    <s v="OK"/>
  </r>
  <r>
    <d v="2025-02-24T00:00:00"/>
    <x v="1"/>
    <n v="-56.6"/>
    <x v="10"/>
    <m/>
    <s v="Uitgave"/>
    <n v="-56.6"/>
    <x v="1"/>
    <s v="OK"/>
  </r>
  <r>
    <d v="2025-02-24T00:00:00"/>
    <x v="1"/>
    <n v="-119.95"/>
    <x v="10"/>
    <m/>
    <s v="Uitgave"/>
    <n v="-119.95"/>
    <x v="1"/>
    <s v="OK"/>
  </r>
  <r>
    <d v="2025-02-24T00:00:00"/>
    <x v="1"/>
    <n v="-8.83"/>
    <x v="2"/>
    <m/>
    <s v="Uitgave"/>
    <n v="-8.83"/>
    <x v="2"/>
    <s v="OK"/>
  </r>
  <r>
    <d v="2025-02-24T00:00:00"/>
    <x v="1"/>
    <n v="-10.86"/>
    <x v="2"/>
    <m/>
    <s v="Uitgave"/>
    <n v="-10.86"/>
    <x v="2"/>
    <s v="OK"/>
  </r>
  <r>
    <d v="2025-02-24T00:00:00"/>
    <x v="1"/>
    <n v="-1.5"/>
    <x v="11"/>
    <m/>
    <s v="Uitgave"/>
    <n v="-1.5"/>
    <x v="1"/>
    <s v="OK"/>
  </r>
  <r>
    <d v="2025-02-24T00:00:00"/>
    <x v="1"/>
    <n v="-63.68"/>
    <x v="2"/>
    <m/>
    <s v="Uitgave"/>
    <n v="-63.68"/>
    <x v="2"/>
    <s v="OK"/>
  </r>
  <r>
    <d v="2025-02-24T00:00:00"/>
    <x v="1"/>
    <n v="-4.5999999999999996"/>
    <x v="2"/>
    <m/>
    <s v="Uitgave"/>
    <n v="-4.5999999999999996"/>
    <x v="2"/>
    <s v="OK"/>
  </r>
  <r>
    <d v="2025-02-24T00:00:00"/>
    <x v="1"/>
    <n v="-8.4"/>
    <x v="9"/>
    <m/>
    <s v="Uitgave"/>
    <n v="-8.4"/>
    <x v="1"/>
    <s v="OK"/>
  </r>
  <r>
    <d v="2025-02-25T00:00:00"/>
    <x v="1"/>
    <n v="-338.05"/>
    <x v="10"/>
    <m/>
    <s v="Uitgave"/>
    <n v="-338.05"/>
    <x v="1"/>
    <s v="OK"/>
  </r>
  <r>
    <d v="2025-02-25T00:00:00"/>
    <x v="1"/>
    <n v="-0.5"/>
    <x v="11"/>
    <m/>
    <s v="Uitgave"/>
    <n v="-0.5"/>
    <x v="1"/>
    <s v="OK"/>
  </r>
  <r>
    <d v="2025-02-25T00:00:00"/>
    <x v="1"/>
    <n v="-1.5"/>
    <x v="11"/>
    <m/>
    <s v="Uitgave"/>
    <n v="-1.5"/>
    <x v="1"/>
    <s v="OK"/>
  </r>
  <r>
    <d v="2025-02-25T00:00:00"/>
    <x v="1"/>
    <n v="-0.9"/>
    <x v="11"/>
    <m/>
    <s v="Uitgave"/>
    <n v="-0.9"/>
    <x v="1"/>
    <s v="OK"/>
  </r>
  <r>
    <d v="2025-02-25T00:00:00"/>
    <x v="1"/>
    <n v="-25.45"/>
    <x v="2"/>
    <m/>
    <s v="Uitgave"/>
    <n v="-25.45"/>
    <x v="2"/>
    <s v="OK"/>
  </r>
  <r>
    <d v="2025-02-25T00:00:00"/>
    <x v="1"/>
    <n v="-184.38"/>
    <x v="24"/>
    <m/>
    <s v="Uitgave"/>
    <n v="-184.38"/>
    <x v="1"/>
    <s v="OK"/>
  </r>
  <r>
    <d v="2025-02-25T00:00:00"/>
    <x v="1"/>
    <n v="-21.94"/>
    <x v="9"/>
    <m/>
    <s v="Uitgave"/>
    <n v="-21.94"/>
    <x v="1"/>
    <s v="OK"/>
  </r>
  <r>
    <d v="2025-02-26T00:00:00"/>
    <x v="1"/>
    <n v="-5.49"/>
    <x v="2"/>
    <m/>
    <s v="Uitgave"/>
    <n v="-5.49"/>
    <x v="2"/>
    <s v="OK"/>
  </r>
  <r>
    <d v="2025-02-26T00:00:00"/>
    <x v="1"/>
    <n v="-1.5"/>
    <x v="11"/>
    <m/>
    <s v="Uitgave"/>
    <n v="-1.5"/>
    <x v="1"/>
    <s v="OK"/>
  </r>
  <r>
    <d v="2025-02-26T00:00:00"/>
    <x v="1"/>
    <n v="-1.5"/>
    <x v="11"/>
    <m/>
    <s v="Uitgave"/>
    <n v="-1.5"/>
    <x v="1"/>
    <s v="OK"/>
  </r>
  <r>
    <d v="2025-02-26T00:00:00"/>
    <x v="1"/>
    <n v="-0.9"/>
    <x v="11"/>
    <m/>
    <s v="Uitgave"/>
    <n v="-0.9"/>
    <x v="1"/>
    <s v="OK"/>
  </r>
  <r>
    <d v="2025-02-26T00:00:00"/>
    <x v="1"/>
    <n v="-25.75"/>
    <x v="2"/>
    <m/>
    <s v="Uitgave"/>
    <n v="-25.75"/>
    <x v="2"/>
    <s v="OK"/>
  </r>
  <r>
    <d v="2025-02-26T00:00:00"/>
    <x v="1"/>
    <n v="-113.49"/>
    <x v="33"/>
    <m/>
    <s v="Uitgave"/>
    <n v="-113.49"/>
    <x v="2"/>
    <s v="OK"/>
  </r>
  <r>
    <d v="2025-02-27T00:00:00"/>
    <x v="1"/>
    <n v="-0.9"/>
    <x v="11"/>
    <m/>
    <s v="Uitgave"/>
    <n v="-0.9"/>
    <x v="1"/>
    <s v="OK"/>
  </r>
  <r>
    <d v="2025-02-27T00:00:00"/>
    <x v="1"/>
    <n v="-1.5"/>
    <x v="11"/>
    <m/>
    <s v="Uitgave"/>
    <n v="-1.5"/>
    <x v="1"/>
    <s v="OK"/>
  </r>
  <r>
    <d v="2025-02-27T00:00:00"/>
    <x v="1"/>
    <n v="-1.5"/>
    <x v="11"/>
    <m/>
    <s v="Uitgave"/>
    <n v="-1.5"/>
    <x v="1"/>
    <s v="OK"/>
  </r>
  <r>
    <d v="2025-02-27T00:00:00"/>
    <x v="1"/>
    <n v="-4.5999999999999996"/>
    <x v="2"/>
    <m/>
    <s v="Uitgave"/>
    <n v="-4.5999999999999996"/>
    <x v="2"/>
    <s v="OK"/>
  </r>
  <r>
    <d v="2025-02-27T00:00:00"/>
    <x v="1"/>
    <n v="-1.5"/>
    <x v="11"/>
    <m/>
    <s v="Uitgave"/>
    <n v="-1.5"/>
    <x v="1"/>
    <s v="OK"/>
  </r>
  <r>
    <d v="2025-02-27T00:00:00"/>
    <x v="1"/>
    <n v="-60"/>
    <x v="35"/>
    <m/>
    <s v="Uitgave"/>
    <n v="-60"/>
    <x v="1"/>
    <s v="OK"/>
  </r>
  <r>
    <d v="2025-02-27T00:00:00"/>
    <x v="1"/>
    <n v="-5.7"/>
    <x v="2"/>
    <m/>
    <s v="Uitgave"/>
    <n v="-5.7"/>
    <x v="2"/>
    <s v="OK"/>
  </r>
  <r>
    <d v="2025-02-27T00:00:00"/>
    <x v="1"/>
    <n v="-11.5"/>
    <x v="2"/>
    <m/>
    <s v="Uitgave"/>
    <n v="-11.5"/>
    <x v="2"/>
    <s v="OK"/>
  </r>
  <r>
    <d v="2025-02-27T00:00:00"/>
    <x v="1"/>
    <n v="-6.54"/>
    <x v="2"/>
    <m/>
    <s v="Uitgave"/>
    <n v="-6.54"/>
    <x v="2"/>
    <s v="OK"/>
  </r>
  <r>
    <d v="2025-02-28T00:00:00"/>
    <x v="1"/>
    <n v="-1.5"/>
    <x v="40"/>
    <m/>
    <s v="Uitgave"/>
    <n v="-1.5"/>
    <x v="2"/>
    <s v="OK"/>
  </r>
  <r>
    <d v="2025-02-28T00:00:00"/>
    <x v="1"/>
    <n v="-1.5"/>
    <x v="11"/>
    <m/>
    <s v="Uitgave"/>
    <n v="-1.5"/>
    <x v="1"/>
    <s v="OK"/>
  </r>
  <r>
    <d v="2025-02-28T00:00:00"/>
    <x v="1"/>
    <n v="-21.95"/>
    <x v="2"/>
    <m/>
    <s v="Uitgave"/>
    <n v="-21.95"/>
    <x v="2"/>
    <s v="OK"/>
  </r>
  <r>
    <d v="2025-02-28T00:00:00"/>
    <x v="1"/>
    <n v="-12.52"/>
    <x v="2"/>
    <m/>
    <s v="Uitgave"/>
    <n v="-12.52"/>
    <x v="2"/>
    <s v="OK"/>
  </r>
  <r>
    <d v="2025-02-28T00:00:00"/>
    <x v="1"/>
    <n v="-1.5"/>
    <x v="11"/>
    <m/>
    <s v="Uitgave"/>
    <n v="-1.5"/>
    <x v="1"/>
    <s v="OK"/>
  </r>
  <r>
    <d v="2025-02-28T00:00:00"/>
    <x v="1"/>
    <n v="-12.76"/>
    <x v="7"/>
    <m/>
    <s v="Uitgave"/>
    <n v="-12.76"/>
    <x v="1"/>
    <s v="OK"/>
  </r>
  <r>
    <d v="2025-02-28T00:00:00"/>
    <x v="1"/>
    <n v="5.6"/>
    <x v="17"/>
    <m/>
    <s v="Inkomst"/>
    <n v="5.6"/>
    <x v="1"/>
    <s v="OK"/>
  </r>
  <r>
    <d v="2025-02-28T00:00:00"/>
    <x v="1"/>
    <n v="4.5999999999999996"/>
    <x v="17"/>
    <m/>
    <s v="Inkomst"/>
    <n v="4.5999999999999996"/>
    <x v="1"/>
    <s v="OK"/>
  </r>
  <r>
    <d v="2025-02-28T00:00:00"/>
    <x v="1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2-28T00:00:00"/>
    <x v="1"/>
    <n v="-586.12"/>
    <x v="36"/>
    <m/>
    <s v="Uitgave"/>
    <n v="-586.12"/>
    <x v="2"/>
    <s v="OK"/>
  </r>
  <r>
    <d v="2025-03-01T00:00:00"/>
    <x v="2"/>
    <n v="2562.54"/>
    <x v="0"/>
    <m/>
    <s v="Inkomst"/>
    <n v="2562.54"/>
    <x v="0"/>
    <s v="OK"/>
  </r>
  <r>
    <d v="2025-03-01T00:00:00"/>
    <x v="2"/>
    <n v="2983.48"/>
    <x v="0"/>
    <m/>
    <s v="Inkomst"/>
    <n v="2983.48"/>
    <x v="0"/>
    <s v="OK"/>
  </r>
  <r>
    <d v="2025-03-01T00:00:00"/>
    <x v="2"/>
    <n v="-26.5"/>
    <x v="1"/>
    <m/>
    <s v="Uitgave"/>
    <n v="-26.5"/>
    <x v="1"/>
    <s v="OK"/>
  </r>
  <r>
    <d v="2025-03-01T00:00:00"/>
    <x v="2"/>
    <n v="-18.149999999999999"/>
    <x v="14"/>
    <m/>
    <s v="Uitgave"/>
    <n v="-18.149999999999999"/>
    <x v="1"/>
    <s v="OK"/>
  </r>
  <r>
    <d v="2025-03-01T00:00:00"/>
    <x v="2"/>
    <n v="-25"/>
    <x v="13"/>
    <m/>
    <s v="Uitgave"/>
    <n v="-25"/>
    <x v="2"/>
    <s v="OK"/>
  </r>
  <r>
    <d v="2025-03-03T00:00:00"/>
    <x v="2"/>
    <n v="-98.1"/>
    <x v="9"/>
    <m/>
    <s v="Uitgave"/>
    <n v="-98.1"/>
    <x v="1"/>
    <s v="OK"/>
  </r>
  <r>
    <d v="2025-03-03T00:00:00"/>
    <x v="2"/>
    <n v="-35.4"/>
    <x v="9"/>
    <m/>
    <s v="Uitgave"/>
    <n v="-35.4"/>
    <x v="1"/>
    <s v="OK"/>
  </r>
  <r>
    <d v="2025-03-03T00:00:00"/>
    <x v="2"/>
    <n v="-24"/>
    <x v="17"/>
    <m/>
    <s v="Uitgave"/>
    <n v="-24"/>
    <x v="1"/>
    <s v="OK"/>
  </r>
  <r>
    <d v="2025-03-03T00:00:00"/>
    <x v="2"/>
    <n v="-29"/>
    <x v="2"/>
    <m/>
    <s v="Uitgave"/>
    <n v="-29"/>
    <x v="2"/>
    <s v="OK"/>
  </r>
  <r>
    <d v="2025-03-03T00:00:00"/>
    <x v="2"/>
    <n v="-30.88"/>
    <x v="10"/>
    <m/>
    <s v="Uitgave"/>
    <n v="-30.88"/>
    <x v="1"/>
    <s v="OK"/>
  </r>
  <r>
    <d v="2025-03-03T00:00:00"/>
    <x v="2"/>
    <n v="-0.02"/>
    <x v="28"/>
    <m/>
    <s v="Uitgave"/>
    <n v="-0.02"/>
    <x v="2"/>
    <s v="OK"/>
  </r>
  <r>
    <d v="2025-03-03T00:00:00"/>
    <x v="2"/>
    <n v="-23.11"/>
    <x v="2"/>
    <m/>
    <s v="Uitgave"/>
    <n v="-23.11"/>
    <x v="2"/>
    <s v="OK"/>
  </r>
  <r>
    <d v="2025-03-03T00:00:00"/>
    <x v="2"/>
    <n v="-5.68"/>
    <x v="2"/>
    <m/>
    <s v="Uitgave"/>
    <n v="-5.68"/>
    <x v="2"/>
    <s v="OK"/>
  </r>
  <r>
    <d v="2025-03-03T00:00:00"/>
    <x v="2"/>
    <n v="-23.56"/>
    <x v="2"/>
    <m/>
    <s v="Uitgave"/>
    <n v="-23.56"/>
    <x v="2"/>
    <s v="OK"/>
  </r>
  <r>
    <d v="2025-03-03T00:00:00"/>
    <x v="2"/>
    <n v="-4.09"/>
    <x v="2"/>
    <m/>
    <s v="Uitgave"/>
    <n v="-4.09"/>
    <x v="2"/>
    <s v="OK"/>
  </r>
  <r>
    <d v="2025-03-03T00:00:00"/>
    <x v="2"/>
    <n v="-0.99"/>
    <x v="2"/>
    <m/>
    <s v="Uitgave"/>
    <n v="-0.99"/>
    <x v="2"/>
    <s v="OK"/>
  </r>
  <r>
    <d v="2025-03-03T00:00:00"/>
    <x v="2"/>
    <n v="-9.09"/>
    <x v="2"/>
    <m/>
    <s v="Uitgave"/>
    <n v="-9.09"/>
    <x v="2"/>
    <s v="OK"/>
  </r>
  <r>
    <d v="2025-03-03T00:00:00"/>
    <x v="2"/>
    <n v="-40.799999999999997"/>
    <x v="41"/>
    <m/>
    <s v="Uitgave"/>
    <n v="-40.799999999999997"/>
    <x v="1"/>
    <s v="OK"/>
  </r>
  <r>
    <d v="2025-03-03T00:00:00"/>
    <x v="2"/>
    <n v="-54.67"/>
    <x v="7"/>
    <m/>
    <s v="Uitgave"/>
    <n v="-54.67"/>
    <x v="1"/>
    <s v="OK"/>
  </r>
  <r>
    <d v="2025-03-03T00:00:00"/>
    <x v="2"/>
    <n v="-7.06"/>
    <x v="4"/>
    <m/>
    <s v="Uitgave"/>
    <n v="-7.06"/>
    <x v="2"/>
    <s v="OK"/>
  </r>
  <r>
    <d v="2025-03-03T00:00:00"/>
    <x v="2"/>
    <n v="-5"/>
    <x v="4"/>
    <m/>
    <s v="Uitgave"/>
    <n v="-5"/>
    <x v="2"/>
    <s v="OK"/>
  </r>
  <r>
    <d v="2025-03-03T00:00:00"/>
    <x v="2"/>
    <n v="-4.71"/>
    <x v="4"/>
    <m/>
    <s v="Uitgave"/>
    <n v="-4.71"/>
    <x v="2"/>
    <s v="OK"/>
  </r>
  <r>
    <d v="2025-03-03T00:00:00"/>
    <x v="2"/>
    <n v="-5"/>
    <x v="4"/>
    <m/>
    <s v="Uitgave"/>
    <n v="-5"/>
    <x v="2"/>
    <s v="OK"/>
  </r>
  <r>
    <d v="2025-03-03T00:00:00"/>
    <x v="2"/>
    <n v="-21.64"/>
    <x v="10"/>
    <m/>
    <s v="Uitgave"/>
    <n v="-21.64"/>
    <x v="1"/>
    <s v="OK"/>
  </r>
  <r>
    <d v="2025-03-03T00:00:00"/>
    <x v="2"/>
    <n v="-9.39"/>
    <x v="2"/>
    <m/>
    <s v="Uitgave"/>
    <n v="-9.39"/>
    <x v="2"/>
    <s v="OK"/>
  </r>
  <r>
    <d v="2025-03-03T00:00:00"/>
    <x v="2"/>
    <n v="-10.18"/>
    <x v="7"/>
    <m/>
    <s v="Uitgave"/>
    <n v="-10.18"/>
    <x v="1"/>
    <s v="OK"/>
  </r>
  <r>
    <d v="2025-03-03T00:00:00"/>
    <x v="2"/>
    <n v="-3.5"/>
    <x v="5"/>
    <m/>
    <s v="Uitgave"/>
    <n v="-3.5"/>
    <x v="1"/>
    <s v="OK"/>
  </r>
  <r>
    <d v="2025-03-03T00:00:00"/>
    <x v="2"/>
    <n v="-1.0900000000000001"/>
    <x v="42"/>
    <m/>
    <s v="Uitgave"/>
    <n v="-1.0900000000000001"/>
    <x v="1"/>
    <s v="OK"/>
  </r>
  <r>
    <d v="2025-03-03T00:00:00"/>
    <x v="2"/>
    <n v="-17.5"/>
    <x v="12"/>
    <m/>
    <s v="Uitgave"/>
    <n v="-17.5"/>
    <x v="1"/>
    <s v="OK"/>
  </r>
  <r>
    <d v="2025-03-03T00:00:00"/>
    <x v="2"/>
    <n v="-2.36"/>
    <x v="4"/>
    <m/>
    <s v="Uitgave"/>
    <n v="-2.36"/>
    <x v="2"/>
    <s v="OK"/>
  </r>
  <r>
    <d v="2025-03-03T00:00:00"/>
    <x v="2"/>
    <n v="-3.99"/>
    <x v="2"/>
    <m/>
    <s v="Uitgave"/>
    <n v="-3.99"/>
    <x v="2"/>
    <s v="OK"/>
  </r>
  <r>
    <d v="2025-03-03T00:00:00"/>
    <x v="2"/>
    <n v="-10.32"/>
    <x v="7"/>
    <m/>
    <s v="Uitgave"/>
    <n v="-10.32"/>
    <x v="1"/>
    <s v="OK"/>
  </r>
  <r>
    <d v="2025-03-03T00:00:00"/>
    <x v="2"/>
    <n v="-14.9"/>
    <x v="10"/>
    <m/>
    <s v="Uitgave"/>
    <n v="-14.9"/>
    <x v="1"/>
    <s v="OK"/>
  </r>
  <r>
    <d v="2025-03-03T00:00:00"/>
    <x v="2"/>
    <n v="-25.5"/>
    <x v="10"/>
    <m/>
    <s v="Uitgave"/>
    <n v="-25.5"/>
    <x v="1"/>
    <s v="OK"/>
  </r>
  <r>
    <d v="2025-03-03T00:00:00"/>
    <x v="2"/>
    <n v="9.39"/>
    <x v="17"/>
    <m/>
    <s v="Inkomst"/>
    <n v="9.39"/>
    <x v="1"/>
    <s v="OK"/>
  </r>
  <r>
    <d v="2025-03-03T00:00:00"/>
    <x v="2"/>
    <n v="-66.41"/>
    <x v="37"/>
    <m/>
    <s v="Uitgave"/>
    <n v="-66.41"/>
    <x v="2"/>
    <s v="OK"/>
  </r>
  <r>
    <d v="2025-03-03T00:00:00"/>
    <x v="2"/>
    <n v="-40.619999999999997"/>
    <x v="3"/>
    <m/>
    <s v="Uitgave"/>
    <n v="-40.619999999999997"/>
    <x v="2"/>
    <s v="OK"/>
  </r>
  <r>
    <d v="2025-03-04T00:00:00"/>
    <x v="2"/>
    <n v="-127.5"/>
    <x v="6"/>
    <m/>
    <s v="Uitgave"/>
    <n v="-127.5"/>
    <x v="2"/>
    <s v="OK"/>
  </r>
  <r>
    <d v="2025-03-04T00:00:00"/>
    <x v="2"/>
    <n v="-9.1999999999999993"/>
    <x v="2"/>
    <m/>
    <s v="Uitgave"/>
    <n v="-9.1999999999999993"/>
    <x v="2"/>
    <s v="OK"/>
  </r>
  <r>
    <d v="2025-03-04T00:00:00"/>
    <x v="2"/>
    <n v="-0.5"/>
    <x v="11"/>
    <m/>
    <s v="Uitgave"/>
    <n v="-0.5"/>
    <x v="1"/>
    <s v="OK"/>
  </r>
  <r>
    <d v="2025-03-04T00:00:00"/>
    <x v="2"/>
    <n v="-0.5"/>
    <x v="11"/>
    <m/>
    <s v="Uitgave"/>
    <n v="-0.5"/>
    <x v="1"/>
    <s v="OK"/>
  </r>
  <r>
    <d v="2025-03-04T00:00:00"/>
    <x v="2"/>
    <n v="-6.99"/>
    <x v="2"/>
    <m/>
    <s v="Uitgave"/>
    <n v="-6.99"/>
    <x v="2"/>
    <s v="OK"/>
  </r>
  <r>
    <d v="2025-03-04T00:00:00"/>
    <x v="2"/>
    <n v="-15.88"/>
    <x v="2"/>
    <m/>
    <s v="Uitgave"/>
    <n v="-15.88"/>
    <x v="2"/>
    <s v="OK"/>
  </r>
  <r>
    <d v="2025-03-04T00:00:00"/>
    <x v="2"/>
    <n v="-3.9"/>
    <x v="7"/>
    <m/>
    <s v="Uitgave"/>
    <n v="-3.9"/>
    <x v="1"/>
    <s v="OK"/>
  </r>
  <r>
    <d v="2025-03-04T00:00:00"/>
    <x v="2"/>
    <n v="4.5999999999999996"/>
    <x v="17"/>
    <m/>
    <s v="Inkomst"/>
    <n v="4.5999999999999996"/>
    <x v="1"/>
    <s v="OK"/>
  </r>
  <r>
    <d v="2025-03-04T00:00:00"/>
    <x v="2"/>
    <n v="-20.71"/>
    <x v="20"/>
    <m/>
    <s v="Uitgave"/>
    <n v="-20.71"/>
    <x v="2"/>
    <s v="OK"/>
  </r>
  <r>
    <d v="2025-03-05T00:00:00"/>
    <x v="2"/>
    <n v="-4.5999999999999996"/>
    <x v="2"/>
    <m/>
    <s v="Uitgave"/>
    <n v="-4.5999999999999996"/>
    <x v="2"/>
    <s v="OK"/>
  </r>
  <r>
    <d v="2025-03-05T00:00:00"/>
    <x v="2"/>
    <n v="-0.9"/>
    <x v="11"/>
    <m/>
    <s v="Uitgave"/>
    <n v="-0.9"/>
    <x v="1"/>
    <s v="OK"/>
  </r>
  <r>
    <d v="2025-03-05T00:00:00"/>
    <x v="2"/>
    <n v="-1.5"/>
    <x v="11"/>
    <m/>
    <s v="Uitgave"/>
    <n v="-1.5"/>
    <x v="1"/>
    <s v="OK"/>
  </r>
  <r>
    <d v="2025-03-05T00:00:00"/>
    <x v="2"/>
    <n v="-4.5999999999999996"/>
    <x v="2"/>
    <m/>
    <s v="Uitgave"/>
    <n v="-4.5999999999999996"/>
    <x v="2"/>
    <s v="OK"/>
  </r>
  <r>
    <d v="2025-03-05T00:00:00"/>
    <x v="2"/>
    <n v="-1.48"/>
    <x v="2"/>
    <m/>
    <s v="Uitgave"/>
    <n v="-1.48"/>
    <x v="2"/>
    <s v="OK"/>
  </r>
  <r>
    <d v="2025-03-05T00:00:00"/>
    <x v="2"/>
    <n v="6.4"/>
    <x v="28"/>
    <m/>
    <s v="Inkomst"/>
    <n v="6.4"/>
    <x v="2"/>
    <s v="OK"/>
  </r>
  <r>
    <d v="2025-03-05T00:00:00"/>
    <x v="2"/>
    <n v="-19.95"/>
    <x v="10"/>
    <m/>
    <s v="Uitgave"/>
    <n v="-19.95"/>
    <x v="1"/>
    <s v="OK"/>
  </r>
  <r>
    <d v="2025-03-05T00:00:00"/>
    <x v="2"/>
    <n v="-47.5"/>
    <x v="2"/>
    <m/>
    <s v="Uitgave"/>
    <n v="-47.5"/>
    <x v="2"/>
    <s v="OK"/>
  </r>
  <r>
    <d v="2025-03-05T00:00:00"/>
    <x v="2"/>
    <n v="-30.8"/>
    <x v="9"/>
    <m/>
    <s v="Uitgave"/>
    <n v="-30.8"/>
    <x v="1"/>
    <s v="OK"/>
  </r>
  <r>
    <d v="2025-03-06T00:00:00"/>
    <x v="2"/>
    <n v="-12.58"/>
    <x v="2"/>
    <m/>
    <s v="Uitgave"/>
    <n v="-12.58"/>
    <x v="2"/>
    <s v="OK"/>
  </r>
  <r>
    <d v="2025-03-06T00:00:00"/>
    <x v="2"/>
    <n v="-1.5"/>
    <x v="11"/>
    <m/>
    <s v="Uitgave"/>
    <n v="-1.5"/>
    <x v="1"/>
    <s v="OK"/>
  </r>
  <r>
    <d v="2025-03-06T00:00:00"/>
    <x v="2"/>
    <n v="-18"/>
    <x v="10"/>
    <m/>
    <s v="Uitgave"/>
    <n v="-18"/>
    <x v="1"/>
    <s v="OK"/>
  </r>
  <r>
    <d v="2025-03-06T00:00:00"/>
    <x v="2"/>
    <n v="-27.95"/>
    <x v="16"/>
    <m/>
    <s v="Uitgave"/>
    <n v="-27.95"/>
    <x v="2"/>
    <s v="OK"/>
  </r>
  <r>
    <d v="2025-03-07T00:00:00"/>
    <x v="2"/>
    <n v="-8.31"/>
    <x v="4"/>
    <m/>
    <s v="Uitgave"/>
    <n v="-8.31"/>
    <x v="2"/>
    <s v="OK"/>
  </r>
  <r>
    <d v="2025-03-07T00:00:00"/>
    <x v="2"/>
    <n v="-5"/>
    <x v="4"/>
    <m/>
    <s v="Uitgave"/>
    <n v="-5"/>
    <x v="2"/>
    <s v="OK"/>
  </r>
  <r>
    <d v="2025-03-07T00:00:00"/>
    <x v="2"/>
    <n v="-40"/>
    <x v="10"/>
    <m/>
    <s v="Uitgave"/>
    <n v="-40"/>
    <x v="1"/>
    <s v="OK"/>
  </r>
  <r>
    <d v="2025-03-07T00:00:00"/>
    <x v="2"/>
    <n v="-10.55"/>
    <x v="2"/>
    <m/>
    <s v="Uitgave"/>
    <n v="-10.55"/>
    <x v="2"/>
    <s v="OK"/>
  </r>
  <r>
    <d v="2025-03-07T00:00:00"/>
    <x v="2"/>
    <n v="-4.99"/>
    <x v="2"/>
    <m/>
    <s v="Uitgave"/>
    <n v="-4.99"/>
    <x v="2"/>
    <s v="OK"/>
  </r>
  <r>
    <d v="2025-03-07T00:00:00"/>
    <x v="2"/>
    <n v="-1.5"/>
    <x v="11"/>
    <m/>
    <s v="Uitgave"/>
    <n v="-1.5"/>
    <x v="1"/>
    <s v="OK"/>
  </r>
  <r>
    <d v="2025-03-07T00:00:00"/>
    <x v="2"/>
    <n v="-13.24"/>
    <x v="7"/>
    <m/>
    <s v="Uitgave"/>
    <n v="-13.24"/>
    <x v="1"/>
    <s v="OK"/>
  </r>
  <r>
    <d v="2025-03-07T00:00:00"/>
    <x v="2"/>
    <n v="-0.5"/>
    <x v="4"/>
    <m/>
    <s v="Uitgave"/>
    <n v="-0.5"/>
    <x v="2"/>
    <s v="OK"/>
  </r>
  <r>
    <d v="2025-03-07T00:00:00"/>
    <x v="2"/>
    <n v="-810.65"/>
    <x v="19"/>
    <m/>
    <s v="Uitgave"/>
    <n v="-810.65"/>
    <x v="2"/>
    <s v="OK"/>
  </r>
  <r>
    <d v="2025-03-07T00:00:00"/>
    <x v="2"/>
    <n v="-5.13"/>
    <x v="4"/>
    <m/>
    <s v="Uitgave"/>
    <n v="-5.13"/>
    <x v="2"/>
    <s v="OK"/>
  </r>
  <r>
    <d v="2025-03-07T00:00:00"/>
    <x v="2"/>
    <n v="-45.21"/>
    <x v="4"/>
    <m/>
    <s v="Uitgave"/>
    <n v="-45.21"/>
    <x v="2"/>
    <s v="OK"/>
  </r>
  <r>
    <d v="2025-03-07T00:00:00"/>
    <x v="2"/>
    <n v="-8.9499999999999993"/>
    <x v="16"/>
    <m/>
    <s v="Uitgave"/>
    <n v="-8.9499999999999993"/>
    <x v="2"/>
    <s v="OK"/>
  </r>
  <r>
    <d v="2025-03-08T00:00:00"/>
    <x v="2"/>
    <n v="-14"/>
    <x v="32"/>
    <m/>
    <s v="Uitgave"/>
    <n v="-14"/>
    <x v="1"/>
    <s v="OK"/>
  </r>
  <r>
    <d v="2025-03-08T00:00:00"/>
    <x v="2"/>
    <n v="-11.45"/>
    <x v="16"/>
    <m/>
    <s v="Uitgave"/>
    <n v="-11.45"/>
    <x v="2"/>
    <s v="OK"/>
  </r>
  <r>
    <d v="2025-03-09T00:00:00"/>
    <x v="2"/>
    <n v="80"/>
    <x v="14"/>
    <m/>
    <s v="Inkomst"/>
    <n v="80"/>
    <x v="1"/>
    <s v="OK"/>
  </r>
  <r>
    <d v="2025-03-10T00:00:00"/>
    <x v="2"/>
    <n v="-109.99"/>
    <x v="9"/>
    <m/>
    <s v="Uitgave"/>
    <n v="-109.99"/>
    <x v="1"/>
    <s v="OK"/>
  </r>
  <r>
    <d v="2025-03-10T00:00:00"/>
    <x v="2"/>
    <n v="-46"/>
    <x v="9"/>
    <m/>
    <s v="Uitgave"/>
    <n v="-46"/>
    <x v="1"/>
    <s v="OK"/>
  </r>
  <r>
    <d v="2025-03-10T00:00:00"/>
    <x v="2"/>
    <n v="-19.95"/>
    <x v="2"/>
    <m/>
    <s v="Uitgave"/>
    <n v="-19.95"/>
    <x v="2"/>
    <s v="OK"/>
  </r>
  <r>
    <d v="2025-03-10T00:00:00"/>
    <x v="2"/>
    <n v="-5.18"/>
    <x v="2"/>
    <m/>
    <s v="Uitgave"/>
    <n v="-5.18"/>
    <x v="2"/>
    <s v="OK"/>
  </r>
  <r>
    <d v="2025-03-10T00:00:00"/>
    <x v="2"/>
    <n v="-22"/>
    <x v="2"/>
    <m/>
    <s v="Uitgave"/>
    <n v="-22"/>
    <x v="2"/>
    <s v="OK"/>
  </r>
  <r>
    <d v="2025-03-10T00:00:00"/>
    <x v="2"/>
    <n v="-160"/>
    <x v="17"/>
    <m/>
    <s v="Uitgave"/>
    <n v="-160"/>
    <x v="1"/>
    <s v="OK"/>
  </r>
  <r>
    <d v="2025-03-10T00:00:00"/>
    <x v="2"/>
    <n v="-23.6"/>
    <x v="2"/>
    <m/>
    <s v="Uitgave"/>
    <n v="-23.6"/>
    <x v="2"/>
    <s v="OK"/>
  </r>
  <r>
    <d v="2025-03-10T00:00:00"/>
    <x v="2"/>
    <n v="-108.42"/>
    <x v="2"/>
    <m/>
    <s v="Uitgave"/>
    <n v="-108.42"/>
    <x v="2"/>
    <s v="OK"/>
  </r>
  <r>
    <d v="2025-03-10T00:00:00"/>
    <x v="2"/>
    <n v="-4.5999999999999996"/>
    <x v="2"/>
    <m/>
    <s v="Uitgave"/>
    <n v="-4.5999999999999996"/>
    <x v="2"/>
    <s v="OK"/>
  </r>
  <r>
    <d v="2025-03-10T00:00:00"/>
    <x v="2"/>
    <n v="-4.2699999999999996"/>
    <x v="4"/>
    <m/>
    <s v="Uitgave"/>
    <n v="-4.2699999999999996"/>
    <x v="2"/>
    <s v="OK"/>
  </r>
  <r>
    <d v="2025-03-10T00:00:00"/>
    <x v="2"/>
    <n v="-13.99"/>
    <x v="29"/>
    <m/>
    <s v="Uitgave"/>
    <n v="-13.99"/>
    <x v="1"/>
    <s v="OK"/>
  </r>
  <r>
    <d v="2025-03-10T00:00:00"/>
    <x v="2"/>
    <n v="-5"/>
    <x v="4"/>
    <m/>
    <s v="Uitgave"/>
    <n v="-5"/>
    <x v="2"/>
    <s v="OK"/>
  </r>
  <r>
    <d v="2025-03-10T00:00:00"/>
    <x v="2"/>
    <n v="-71"/>
    <x v="10"/>
    <m/>
    <s v="Uitgave"/>
    <n v="-71"/>
    <x v="1"/>
    <s v="OK"/>
  </r>
  <r>
    <d v="2025-03-10T00:00:00"/>
    <x v="2"/>
    <n v="-21.57"/>
    <x v="10"/>
    <m/>
    <s v="Uitgave"/>
    <n v="-21.57"/>
    <x v="1"/>
    <s v="OK"/>
  </r>
  <r>
    <d v="2025-03-10T00:00:00"/>
    <x v="2"/>
    <n v="-1.5"/>
    <x v="11"/>
    <m/>
    <s v="Uitgave"/>
    <n v="-1.5"/>
    <x v="1"/>
    <s v="OK"/>
  </r>
  <r>
    <d v="2025-03-10T00:00:00"/>
    <x v="2"/>
    <n v="-34.94"/>
    <x v="2"/>
    <m/>
    <s v="Uitgave"/>
    <n v="-34.94"/>
    <x v="2"/>
    <s v="OK"/>
  </r>
  <r>
    <d v="2025-03-10T00:00:00"/>
    <x v="2"/>
    <n v="-16.79"/>
    <x v="10"/>
    <m/>
    <s v="Uitgave"/>
    <n v="-16.79"/>
    <x v="1"/>
    <s v="OK"/>
  </r>
  <r>
    <d v="2025-03-10T00:00:00"/>
    <x v="2"/>
    <n v="-31.61"/>
    <x v="2"/>
    <m/>
    <s v="Uitgave"/>
    <n v="-31.61"/>
    <x v="2"/>
    <s v="OK"/>
  </r>
  <r>
    <d v="2025-03-10T00:00:00"/>
    <x v="2"/>
    <n v="-12.11"/>
    <x v="2"/>
    <m/>
    <s v="Uitgave"/>
    <n v="-12.11"/>
    <x v="2"/>
    <s v="OK"/>
  </r>
  <r>
    <d v="2025-03-10T00:00:00"/>
    <x v="2"/>
    <n v="-4"/>
    <x v="42"/>
    <m/>
    <s v="Uitgave"/>
    <n v="-4"/>
    <x v="1"/>
    <s v="OK"/>
  </r>
  <r>
    <d v="2025-03-10T00:00:00"/>
    <x v="2"/>
    <n v="-9"/>
    <x v="5"/>
    <m/>
    <s v="Uitgave"/>
    <n v="-9"/>
    <x v="1"/>
    <s v="OK"/>
  </r>
  <r>
    <d v="2025-03-10T00:00:00"/>
    <x v="2"/>
    <n v="-2.4900000000000002"/>
    <x v="15"/>
    <m/>
    <s v="Uitgave"/>
    <n v="-2.4900000000000002"/>
    <x v="1"/>
    <s v="OK"/>
  </r>
  <r>
    <d v="2025-03-10T00:00:00"/>
    <x v="2"/>
    <n v="-5.5"/>
    <x v="15"/>
    <m/>
    <s v="Uitgave"/>
    <n v="-5.5"/>
    <x v="1"/>
    <s v="OK"/>
  </r>
  <r>
    <d v="2025-03-10T00:00:00"/>
    <x v="2"/>
    <n v="-2.6"/>
    <x v="15"/>
    <m/>
    <s v="Uitgave"/>
    <n v="-2.6"/>
    <x v="1"/>
    <s v="OK"/>
  </r>
  <r>
    <d v="2025-03-10T00:00:00"/>
    <x v="2"/>
    <n v="-28.15"/>
    <x v="15"/>
    <m/>
    <s v="Uitgave"/>
    <n v="-28.15"/>
    <x v="1"/>
    <s v="OK"/>
  </r>
  <r>
    <d v="2025-03-10T00:00:00"/>
    <x v="2"/>
    <n v="-12"/>
    <x v="28"/>
    <m/>
    <s v="Uitgave"/>
    <n v="-12"/>
    <x v="2"/>
    <s v="OK"/>
  </r>
  <r>
    <d v="2025-03-10T00:00:00"/>
    <x v="2"/>
    <n v="-22.4"/>
    <x v="16"/>
    <m/>
    <s v="Uitgave"/>
    <n v="-22.4"/>
    <x v="2"/>
    <s v="OK"/>
  </r>
  <r>
    <d v="2025-03-11T00:00:00"/>
    <x v="2"/>
    <n v="-4"/>
    <x v="16"/>
    <m/>
    <s v="Uitgave"/>
    <n v="-4"/>
    <x v="2"/>
    <s v="OK"/>
  </r>
  <r>
    <d v="2025-03-11T00:00:00"/>
    <x v="2"/>
    <n v="-4.5999999999999996"/>
    <x v="2"/>
    <m/>
    <s v="Uitgave"/>
    <n v="-4.5999999999999996"/>
    <x v="2"/>
    <s v="OK"/>
  </r>
  <r>
    <d v="2025-03-11T00:00:00"/>
    <x v="2"/>
    <n v="-12.14"/>
    <x v="2"/>
    <m/>
    <s v="Uitgave"/>
    <n v="-12.14"/>
    <x v="2"/>
    <s v="OK"/>
  </r>
  <r>
    <d v="2025-03-11T00:00:00"/>
    <x v="2"/>
    <n v="-12.54"/>
    <x v="2"/>
    <m/>
    <s v="Uitgave"/>
    <n v="-12.54"/>
    <x v="2"/>
    <s v="OK"/>
  </r>
  <r>
    <d v="2025-03-11T00:00:00"/>
    <x v="2"/>
    <n v="-50"/>
    <x v="17"/>
    <m/>
    <s v="Uitgave"/>
    <n v="-50"/>
    <x v="1"/>
    <s v="OK"/>
  </r>
  <r>
    <d v="2025-03-12T00:00:00"/>
    <x v="2"/>
    <n v="-35.5"/>
    <x v="9"/>
    <m/>
    <s v="Uitgave"/>
    <n v="-35.5"/>
    <x v="1"/>
    <s v="OK"/>
  </r>
  <r>
    <d v="2025-03-12T00:00:00"/>
    <x v="2"/>
    <n v="-9.35"/>
    <x v="17"/>
    <m/>
    <s v="Uitgave"/>
    <n v="-9.35"/>
    <x v="1"/>
    <s v="OK"/>
  </r>
  <r>
    <d v="2025-03-12T00:00:00"/>
    <x v="2"/>
    <n v="-1.5"/>
    <x v="11"/>
    <m/>
    <s v="Uitgave"/>
    <n v="-1.5"/>
    <x v="1"/>
    <s v="OK"/>
  </r>
  <r>
    <d v="2025-03-12T00:00:00"/>
    <x v="2"/>
    <n v="-26.3"/>
    <x v="7"/>
    <m/>
    <s v="Uitgave"/>
    <n v="-26.3"/>
    <x v="1"/>
    <s v="OK"/>
  </r>
  <r>
    <d v="2025-03-12T00:00:00"/>
    <x v="2"/>
    <n v="-14.06"/>
    <x v="2"/>
    <m/>
    <s v="Uitgave"/>
    <n v="-14.06"/>
    <x v="2"/>
    <s v="OK"/>
  </r>
  <r>
    <d v="2025-03-12T00:00:00"/>
    <x v="2"/>
    <n v="-14.23"/>
    <x v="2"/>
    <m/>
    <s v="Uitgave"/>
    <n v="-14.23"/>
    <x v="2"/>
    <s v="OK"/>
  </r>
  <r>
    <d v="2025-03-12T00:00:00"/>
    <x v="2"/>
    <n v="-7.98"/>
    <x v="2"/>
    <m/>
    <s v="Uitgave"/>
    <n v="-7.98"/>
    <x v="2"/>
    <s v="OK"/>
  </r>
  <r>
    <d v="2025-03-12T00:00:00"/>
    <x v="2"/>
    <n v="-8"/>
    <x v="4"/>
    <m/>
    <s v="Uitgave"/>
    <n v="-8"/>
    <x v="2"/>
    <s v="OK"/>
  </r>
  <r>
    <d v="2025-03-12T00:00:00"/>
    <x v="2"/>
    <n v="-12.01"/>
    <x v="21"/>
    <m/>
    <s v="Uitgave"/>
    <n v="-12.01"/>
    <x v="2"/>
    <s v="OK"/>
  </r>
  <r>
    <d v="2025-03-13T00:00:00"/>
    <x v="2"/>
    <n v="-1"/>
    <x v="17"/>
    <m/>
    <s v="Uitgave"/>
    <n v="-1"/>
    <x v="1"/>
    <s v="OK"/>
  </r>
  <r>
    <d v="2025-03-13T00:00:00"/>
    <x v="2"/>
    <n v="-3.75"/>
    <x v="7"/>
    <m/>
    <s v="Uitgave"/>
    <n v="-3.75"/>
    <x v="1"/>
    <s v="OK"/>
  </r>
  <r>
    <d v="2025-03-13T00:00:00"/>
    <x v="2"/>
    <n v="-9.64"/>
    <x v="7"/>
    <m/>
    <s v="Uitgave"/>
    <n v="-9.64"/>
    <x v="1"/>
    <s v="OK"/>
  </r>
  <r>
    <d v="2025-03-13T00:00:00"/>
    <x v="2"/>
    <n v="50"/>
    <x v="17"/>
    <m/>
    <s v="Inkomst"/>
    <n v="50"/>
    <x v="1"/>
    <s v="OK"/>
  </r>
  <r>
    <d v="2025-03-13T00:00:00"/>
    <x v="2"/>
    <n v="9.35"/>
    <x v="17"/>
    <m/>
    <s v="Inkomst"/>
    <n v="9.35"/>
    <x v="1"/>
    <s v="OK"/>
  </r>
  <r>
    <d v="2025-03-13T00:00:00"/>
    <x v="2"/>
    <n v="-10.59"/>
    <x v="2"/>
    <m/>
    <s v="Uitgave"/>
    <n v="-10.59"/>
    <x v="2"/>
    <s v="OK"/>
  </r>
  <r>
    <d v="2025-03-13T00:00:00"/>
    <x v="2"/>
    <n v="-1.5"/>
    <x v="11"/>
    <m/>
    <s v="Uitgave"/>
    <n v="-1.5"/>
    <x v="1"/>
    <s v="OK"/>
  </r>
  <r>
    <d v="2025-03-13T00:00:00"/>
    <x v="2"/>
    <n v="-0.9"/>
    <x v="11"/>
    <m/>
    <s v="Uitgave"/>
    <n v="-0.9"/>
    <x v="1"/>
    <s v="OK"/>
  </r>
  <r>
    <d v="2025-03-13T00:00:00"/>
    <x v="2"/>
    <n v="-13.58"/>
    <x v="2"/>
    <m/>
    <s v="Uitgave"/>
    <n v="-13.58"/>
    <x v="2"/>
    <s v="OK"/>
  </r>
  <r>
    <d v="2025-03-13T00:00:00"/>
    <x v="2"/>
    <n v="-5.7"/>
    <x v="2"/>
    <m/>
    <s v="Uitgave"/>
    <n v="-5.7"/>
    <x v="2"/>
    <s v="OK"/>
  </r>
  <r>
    <d v="2025-03-13T00:00:00"/>
    <x v="2"/>
    <n v="-77"/>
    <x v="29"/>
    <m/>
    <s v="Uitgave"/>
    <n v="-77"/>
    <x v="1"/>
    <s v="OK"/>
  </r>
  <r>
    <d v="2025-03-14T00:00:00"/>
    <x v="2"/>
    <n v="-1.5"/>
    <x v="11"/>
    <m/>
    <s v="Uitgave"/>
    <n v="-1.5"/>
    <x v="1"/>
    <s v="OK"/>
  </r>
  <r>
    <d v="2025-03-14T00:00:00"/>
    <x v="2"/>
    <n v="-27.54"/>
    <x v="2"/>
    <m/>
    <s v="Uitgave"/>
    <n v="-27.54"/>
    <x v="2"/>
    <s v="OK"/>
  </r>
  <r>
    <d v="2025-03-14T00:00:00"/>
    <x v="2"/>
    <n v="-1.5"/>
    <x v="11"/>
    <m/>
    <s v="Uitgave"/>
    <n v="-1.5"/>
    <x v="1"/>
    <s v="OK"/>
  </r>
  <r>
    <d v="2025-03-14T00:00:00"/>
    <x v="2"/>
    <n v="-11.57"/>
    <x v="7"/>
    <m/>
    <s v="Uitgave"/>
    <n v="-11.57"/>
    <x v="1"/>
    <s v="OK"/>
  </r>
  <r>
    <d v="2025-03-16T00:00:00"/>
    <x v="2"/>
    <n v="-7.8"/>
    <x v="2"/>
    <m/>
    <s v="Uitgave"/>
    <n v="-7.8"/>
    <x v="2"/>
    <s v="OK"/>
  </r>
  <r>
    <d v="2025-03-16T00:00:00"/>
    <x v="2"/>
    <n v="-150"/>
    <x v="14"/>
    <m/>
    <s v="Uitgave"/>
    <n v="-150"/>
    <x v="1"/>
    <s v="OK"/>
  </r>
  <r>
    <d v="2025-03-17T00:00:00"/>
    <x v="2"/>
    <n v="-58.9"/>
    <x v="9"/>
    <m/>
    <s v="Uitgave"/>
    <n v="-58.9"/>
    <x v="1"/>
    <s v="OK"/>
  </r>
  <r>
    <d v="2025-03-17T00:00:00"/>
    <x v="2"/>
    <n v="-5.3"/>
    <x v="4"/>
    <m/>
    <s v="Uitgave"/>
    <n v="-5.3"/>
    <x v="2"/>
    <s v="OK"/>
  </r>
  <r>
    <d v="2025-03-17T00:00:00"/>
    <x v="2"/>
    <n v="-5"/>
    <x v="4"/>
    <m/>
    <s v="Uitgave"/>
    <n v="-5"/>
    <x v="2"/>
    <s v="OK"/>
  </r>
  <r>
    <d v="2025-03-17T00:00:00"/>
    <x v="2"/>
    <n v="-67.349999999999994"/>
    <x v="10"/>
    <m/>
    <s v="Uitgave"/>
    <n v="-67.349999999999994"/>
    <x v="1"/>
    <s v="OK"/>
  </r>
  <r>
    <d v="2025-03-17T00:00:00"/>
    <x v="2"/>
    <n v="-17.86"/>
    <x v="2"/>
    <m/>
    <s v="Uitgave"/>
    <n v="-17.86"/>
    <x v="2"/>
    <s v="OK"/>
  </r>
  <r>
    <d v="2025-03-17T00:00:00"/>
    <x v="2"/>
    <n v="-2.0099999999999998"/>
    <x v="2"/>
    <m/>
    <s v="Uitgave"/>
    <n v="-2.0099999999999998"/>
    <x v="2"/>
    <s v="OK"/>
  </r>
  <r>
    <d v="2025-03-17T00:00:00"/>
    <x v="2"/>
    <n v="-15"/>
    <x v="10"/>
    <m/>
    <s v="Uitgave"/>
    <n v="-15"/>
    <x v="1"/>
    <s v="OK"/>
  </r>
  <r>
    <d v="2025-03-17T00:00:00"/>
    <x v="2"/>
    <n v="-7.5"/>
    <x v="2"/>
    <m/>
    <s v="Uitgave"/>
    <n v="-7.5"/>
    <x v="2"/>
    <s v="OK"/>
  </r>
  <r>
    <d v="2025-03-17T00:00:00"/>
    <x v="2"/>
    <n v="-5.95"/>
    <x v="22"/>
    <m/>
    <s v="Uitgave"/>
    <n v="-5.95"/>
    <x v="1"/>
    <s v="OK"/>
  </r>
  <r>
    <d v="2025-03-17T00:00:00"/>
    <x v="2"/>
    <n v="-254.85"/>
    <x v="10"/>
    <m/>
    <s v="Uitgave"/>
    <n v="-254.85"/>
    <x v="1"/>
    <s v="OK"/>
  </r>
  <r>
    <d v="2025-03-17T00:00:00"/>
    <x v="2"/>
    <n v="-16.489999999999998"/>
    <x v="2"/>
    <m/>
    <s v="Uitgave"/>
    <n v="-16.489999999999998"/>
    <x v="2"/>
    <s v="OK"/>
  </r>
  <r>
    <d v="2025-03-17T00:00:00"/>
    <x v="2"/>
    <n v="-5.48"/>
    <x v="2"/>
    <m/>
    <s v="Uitgave"/>
    <n v="-5.48"/>
    <x v="2"/>
    <s v="OK"/>
  </r>
  <r>
    <d v="2025-03-17T00:00:00"/>
    <x v="2"/>
    <n v="-81.66"/>
    <x v="27"/>
    <m/>
    <s v="Uitgave"/>
    <n v="-81.66"/>
    <x v="2"/>
    <s v="OK"/>
  </r>
  <r>
    <d v="2025-03-17T00:00:00"/>
    <x v="2"/>
    <n v="-85"/>
    <x v="27"/>
    <m/>
    <s v="Uitgave"/>
    <n v="-85"/>
    <x v="2"/>
    <s v="OK"/>
  </r>
  <r>
    <d v="2025-03-17T00:00:00"/>
    <x v="2"/>
    <n v="-33.549999999999997"/>
    <x v="43"/>
    <m/>
    <s v="Uitgave"/>
    <n v="-33.549999999999997"/>
    <x v="2"/>
    <s v="OK"/>
  </r>
  <r>
    <d v="2025-03-17T00:00:00"/>
    <x v="2"/>
    <n v="-21.94"/>
    <x v="9"/>
    <m/>
    <s v="Uitgave"/>
    <n v="-21.94"/>
    <x v="1"/>
    <s v="OK"/>
  </r>
  <r>
    <d v="2025-03-18T00:00:00"/>
    <x v="2"/>
    <n v="-138.21"/>
    <x v="6"/>
    <m/>
    <s v="Uitgave"/>
    <n v="-138.21"/>
    <x v="2"/>
    <s v="OK"/>
  </r>
  <r>
    <d v="2025-03-18T00:00:00"/>
    <x v="2"/>
    <n v="-10.59"/>
    <x v="2"/>
    <m/>
    <s v="Uitgave"/>
    <n v="-10.59"/>
    <x v="2"/>
    <s v="OK"/>
  </r>
  <r>
    <d v="2025-03-18T00:00:00"/>
    <x v="2"/>
    <n v="-8.81"/>
    <x v="2"/>
    <m/>
    <s v="Uitgave"/>
    <n v="-8.81"/>
    <x v="2"/>
    <s v="OK"/>
  </r>
  <r>
    <d v="2025-03-18T00:00:00"/>
    <x v="2"/>
    <n v="-6.39"/>
    <x v="2"/>
    <m/>
    <s v="Uitgave"/>
    <n v="-6.39"/>
    <x v="2"/>
    <s v="OK"/>
  </r>
  <r>
    <d v="2025-03-18T00:00:00"/>
    <x v="2"/>
    <n v="-1.5"/>
    <x v="11"/>
    <m/>
    <s v="Uitgave"/>
    <n v="-1.5"/>
    <x v="1"/>
    <s v="OK"/>
  </r>
  <r>
    <d v="2025-03-18T00:00:00"/>
    <x v="2"/>
    <n v="-0.5"/>
    <x v="11"/>
    <m/>
    <s v="Uitgave"/>
    <n v="-0.5"/>
    <x v="1"/>
    <s v="OK"/>
  </r>
  <r>
    <d v="2025-03-18T00:00:00"/>
    <x v="2"/>
    <n v="-0.5"/>
    <x v="11"/>
    <m/>
    <s v="Uitgave"/>
    <n v="-0.5"/>
    <x v="1"/>
    <s v="OK"/>
  </r>
  <r>
    <d v="2025-03-18T00:00:00"/>
    <x v="2"/>
    <n v="4.5999999999999996"/>
    <x v="17"/>
    <m/>
    <s v="Inkomst"/>
    <n v="4.5999999999999996"/>
    <x v="1"/>
    <s v="OK"/>
  </r>
  <r>
    <d v="2025-03-18T00:00:00"/>
    <x v="2"/>
    <n v="-55.97"/>
    <x v="30"/>
    <m/>
    <s v="Uitgave"/>
    <n v="-55.97"/>
    <x v="2"/>
    <s v="OK"/>
  </r>
  <r>
    <d v="2025-03-18T00:00:00"/>
    <x v="2"/>
    <n v="-4.7"/>
    <x v="9"/>
    <m/>
    <s v="Uitgave"/>
    <n v="-4.7"/>
    <x v="1"/>
    <s v="OK"/>
  </r>
  <r>
    <d v="2025-03-19T00:00:00"/>
    <x v="2"/>
    <n v="-1.26"/>
    <x v="2"/>
    <m/>
    <s v="Uitgave"/>
    <n v="-1.26"/>
    <x v="2"/>
    <s v="OK"/>
  </r>
  <r>
    <d v="2025-03-19T00:00:00"/>
    <x v="2"/>
    <n v="-1.5"/>
    <x v="11"/>
    <m/>
    <s v="Uitgave"/>
    <n v="-1.5"/>
    <x v="1"/>
    <s v="OK"/>
  </r>
  <r>
    <d v="2025-03-19T00:00:00"/>
    <x v="2"/>
    <n v="-6.7"/>
    <x v="2"/>
    <m/>
    <s v="Uitgave"/>
    <n v="-6.7"/>
    <x v="2"/>
    <s v="OK"/>
  </r>
  <r>
    <d v="2025-03-19T00:00:00"/>
    <x v="2"/>
    <n v="-3.96"/>
    <x v="2"/>
    <m/>
    <s v="Uitgave"/>
    <n v="-3.96"/>
    <x v="2"/>
    <s v="OK"/>
  </r>
  <r>
    <d v="2025-03-19T00:00:00"/>
    <x v="2"/>
    <n v="-28.5"/>
    <x v="9"/>
    <m/>
    <s v="Uitgave"/>
    <n v="-28.5"/>
    <x v="1"/>
    <s v="OK"/>
  </r>
  <r>
    <d v="2025-03-20T00:00:00"/>
    <x v="2"/>
    <n v="-48"/>
    <x v="9"/>
    <m/>
    <s v="Uitgave"/>
    <n v="-48"/>
    <x v="1"/>
    <s v="OK"/>
  </r>
  <r>
    <d v="2025-03-20T00:00:00"/>
    <x v="2"/>
    <n v="-33.83"/>
    <x v="14"/>
    <m/>
    <s v="Uitgave"/>
    <n v="-33.83"/>
    <x v="1"/>
    <s v="OK"/>
  </r>
  <r>
    <d v="2025-03-20T00:00:00"/>
    <x v="2"/>
    <n v="-1.5"/>
    <x v="11"/>
    <m/>
    <s v="Uitgave"/>
    <n v="-1.5"/>
    <x v="1"/>
    <s v="OK"/>
  </r>
  <r>
    <d v="2025-03-20T00:00:00"/>
    <x v="2"/>
    <n v="-1.5"/>
    <x v="11"/>
    <m/>
    <s v="Uitgave"/>
    <n v="-1.5"/>
    <x v="1"/>
    <s v="OK"/>
  </r>
  <r>
    <d v="2025-03-20T00:00:00"/>
    <x v="2"/>
    <n v="-9.52"/>
    <x v="2"/>
    <m/>
    <s v="Uitgave"/>
    <n v="-9.52"/>
    <x v="2"/>
    <s v="OK"/>
  </r>
  <r>
    <d v="2025-03-20T00:00:00"/>
    <x v="2"/>
    <n v="-9.6999999999999993"/>
    <x v="2"/>
    <m/>
    <s v="Uitgave"/>
    <n v="-9.6999999999999993"/>
    <x v="2"/>
    <s v="OK"/>
  </r>
  <r>
    <d v="2025-03-20T00:00:00"/>
    <x v="2"/>
    <n v="-2.7"/>
    <x v="2"/>
    <m/>
    <s v="Uitgave"/>
    <n v="-2.7"/>
    <x v="2"/>
    <s v="OK"/>
  </r>
  <r>
    <d v="2025-03-20T00:00:00"/>
    <x v="2"/>
    <n v="8"/>
    <x v="2"/>
    <m/>
    <s v="Inkomst"/>
    <n v="8"/>
    <x v="2"/>
    <s v="OK"/>
  </r>
  <r>
    <d v="2025-03-20T00:00:00"/>
    <x v="2"/>
    <n v="8"/>
    <x v="2"/>
    <m/>
    <s v="Inkomst"/>
    <n v="8"/>
    <x v="2"/>
    <s v="OK"/>
  </r>
  <r>
    <d v="2025-03-20T00:00:00"/>
    <x v="2"/>
    <n v="7"/>
    <x v="32"/>
    <m/>
    <s v="Inkomst"/>
    <n v="7"/>
    <x v="1"/>
    <s v="OK"/>
  </r>
  <r>
    <d v="2025-03-21T00:00:00"/>
    <x v="2"/>
    <n v="-121.6"/>
    <x v="2"/>
    <m/>
    <s v="Uitgave"/>
    <n v="-121.6"/>
    <x v="2"/>
    <s v="OK"/>
  </r>
  <r>
    <d v="2025-03-21T00:00:00"/>
    <x v="2"/>
    <n v="-1.47"/>
    <x v="2"/>
    <m/>
    <s v="Uitgave"/>
    <n v="-1.47"/>
    <x v="2"/>
    <s v="OK"/>
  </r>
  <r>
    <d v="2025-03-21T00:00:00"/>
    <x v="2"/>
    <n v="-1.5"/>
    <x v="11"/>
    <m/>
    <s v="Uitgave"/>
    <n v="-1.5"/>
    <x v="1"/>
    <s v="OK"/>
  </r>
  <r>
    <d v="2025-03-21T00:00:00"/>
    <x v="2"/>
    <n v="-1.5"/>
    <x v="11"/>
    <m/>
    <s v="Uitgave"/>
    <n v="-1.5"/>
    <x v="1"/>
    <s v="OK"/>
  </r>
  <r>
    <d v="2025-03-21T00:00:00"/>
    <x v="2"/>
    <n v="-1.5"/>
    <x v="11"/>
    <m/>
    <s v="Uitgave"/>
    <n v="-1.5"/>
    <x v="1"/>
    <s v="OK"/>
  </r>
  <r>
    <d v="2025-03-21T00:00:00"/>
    <x v="2"/>
    <n v="-34.5"/>
    <x v="44"/>
    <m/>
    <s v="Uitgave"/>
    <n v="-34.5"/>
    <x v="1"/>
    <s v="OK"/>
  </r>
  <r>
    <d v="2025-03-21T00:00:00"/>
    <x v="2"/>
    <n v="-53.29"/>
    <x v="33"/>
    <m/>
    <s v="Uitgave"/>
    <n v="-53.29"/>
    <x v="2"/>
    <s v="OK"/>
  </r>
  <r>
    <d v="2025-03-24T00:00:00"/>
    <x v="2"/>
    <n v="-7.66"/>
    <x v="4"/>
    <m/>
    <s v="Uitgave"/>
    <n v="-7.66"/>
    <x v="2"/>
    <s v="OK"/>
  </r>
  <r>
    <d v="2025-03-24T00:00:00"/>
    <x v="2"/>
    <n v="-5"/>
    <x v="4"/>
    <m/>
    <s v="Uitgave"/>
    <n v="-5"/>
    <x v="2"/>
    <s v="OK"/>
  </r>
  <r>
    <d v="2025-03-24T00:00:00"/>
    <x v="2"/>
    <n v="-7.63"/>
    <x v="2"/>
    <m/>
    <s v="Uitgave"/>
    <n v="-7.63"/>
    <x v="2"/>
    <s v="OK"/>
  </r>
  <r>
    <d v="2025-03-24T00:00:00"/>
    <x v="2"/>
    <n v="-5.16"/>
    <x v="2"/>
    <m/>
    <s v="Uitgave"/>
    <n v="-5.16"/>
    <x v="2"/>
    <s v="OK"/>
  </r>
  <r>
    <d v="2025-03-24T00:00:00"/>
    <x v="2"/>
    <n v="-29.95"/>
    <x v="10"/>
    <m/>
    <s v="Uitgave"/>
    <n v="-29.95"/>
    <x v="1"/>
    <s v="OK"/>
  </r>
  <r>
    <d v="2025-03-24T00:00:00"/>
    <x v="2"/>
    <n v="-3.99"/>
    <x v="4"/>
    <m/>
    <s v="Uitgave"/>
    <n v="-3.99"/>
    <x v="2"/>
    <s v="OK"/>
  </r>
  <r>
    <d v="2025-03-24T00:00:00"/>
    <x v="2"/>
    <n v="-11.68"/>
    <x v="2"/>
    <m/>
    <s v="Uitgave"/>
    <n v="-11.68"/>
    <x v="2"/>
    <s v="OK"/>
  </r>
  <r>
    <d v="2025-03-24T00:00:00"/>
    <x v="2"/>
    <n v="-1.5"/>
    <x v="11"/>
    <m/>
    <s v="Uitgave"/>
    <n v="-1.5"/>
    <x v="1"/>
    <s v="OK"/>
  </r>
  <r>
    <d v="2025-03-24T00:00:00"/>
    <x v="2"/>
    <n v="-0.9"/>
    <x v="11"/>
    <m/>
    <s v="Uitgave"/>
    <n v="-0.9"/>
    <x v="1"/>
    <s v="OK"/>
  </r>
  <r>
    <d v="2025-03-24T00:00:00"/>
    <x v="2"/>
    <n v="-0.99"/>
    <x v="2"/>
    <m/>
    <s v="Uitgave"/>
    <n v="-0.99"/>
    <x v="2"/>
    <s v="OK"/>
  </r>
  <r>
    <d v="2025-03-24T00:00:00"/>
    <x v="2"/>
    <n v="-1.5"/>
    <x v="11"/>
    <m/>
    <s v="Uitgave"/>
    <n v="-1.5"/>
    <x v="1"/>
    <s v="OK"/>
  </r>
  <r>
    <d v="2025-03-24T00:00:00"/>
    <x v="2"/>
    <n v="-19.989999999999998"/>
    <x v="30"/>
    <m/>
    <s v="Uitgave"/>
    <n v="-19.989999999999998"/>
    <x v="2"/>
    <s v="OK"/>
  </r>
  <r>
    <d v="2025-03-24T00:00:00"/>
    <x v="2"/>
    <n v="-15.56"/>
    <x v="16"/>
    <m/>
    <s v="Uitgave"/>
    <n v="-15.56"/>
    <x v="2"/>
    <s v="OK"/>
  </r>
  <r>
    <d v="2025-03-24T00:00:00"/>
    <x v="2"/>
    <n v="-6.6"/>
    <x v="9"/>
    <m/>
    <s v="Uitgave"/>
    <n v="-6.6"/>
    <x v="1"/>
    <s v="OK"/>
  </r>
  <r>
    <d v="2025-03-25T00:00:00"/>
    <x v="2"/>
    <n v="-1.5"/>
    <x v="11"/>
    <m/>
    <s v="Uitgave"/>
    <n v="-1.5"/>
    <x v="1"/>
    <s v="OK"/>
  </r>
  <r>
    <d v="2025-03-25T00:00:00"/>
    <x v="2"/>
    <n v="-0.5"/>
    <x v="11"/>
    <m/>
    <s v="Uitgave"/>
    <n v="-0.5"/>
    <x v="1"/>
    <s v="OK"/>
  </r>
  <r>
    <d v="2025-03-25T00:00:00"/>
    <x v="2"/>
    <n v="-0.5"/>
    <x v="11"/>
    <m/>
    <s v="Uitgave"/>
    <n v="-0.5"/>
    <x v="1"/>
    <s v="OK"/>
  </r>
  <r>
    <d v="2025-03-25T00:00:00"/>
    <x v="2"/>
    <n v="-14.25"/>
    <x v="2"/>
    <m/>
    <s v="Uitgave"/>
    <n v="-14.25"/>
    <x v="2"/>
    <s v="OK"/>
  </r>
  <r>
    <d v="2025-03-25T00:00:00"/>
    <x v="2"/>
    <n v="-3.9"/>
    <x v="2"/>
    <m/>
    <s v="Uitgave"/>
    <n v="-3.9"/>
    <x v="2"/>
    <s v="OK"/>
  </r>
  <r>
    <d v="2025-03-25T00:00:00"/>
    <x v="2"/>
    <n v="-4.5999999999999996"/>
    <x v="2"/>
    <m/>
    <s v="Uitgave"/>
    <n v="-4.5999999999999996"/>
    <x v="2"/>
    <s v="OK"/>
  </r>
  <r>
    <d v="2025-03-25T00:00:00"/>
    <x v="2"/>
    <n v="-10.39"/>
    <x v="2"/>
    <m/>
    <s v="Uitgave"/>
    <n v="-10.39"/>
    <x v="2"/>
    <s v="OK"/>
  </r>
  <r>
    <d v="2025-03-25T00:00:00"/>
    <x v="2"/>
    <n v="-4.5999999999999996"/>
    <x v="2"/>
    <m/>
    <s v="Uitgave"/>
    <n v="-4.5999999999999996"/>
    <x v="2"/>
    <s v="OK"/>
  </r>
  <r>
    <d v="2025-03-25T00:00:00"/>
    <x v="2"/>
    <n v="-7.2"/>
    <x v="9"/>
    <m/>
    <s v="Uitgave"/>
    <n v="-7.2"/>
    <x v="1"/>
    <s v="OK"/>
  </r>
  <r>
    <d v="2025-03-26T00:00:00"/>
    <x v="2"/>
    <n v="-14.99"/>
    <x v="14"/>
    <m/>
    <s v="Uitgave"/>
    <n v="-14.99"/>
    <x v="1"/>
    <s v="OK"/>
  </r>
  <r>
    <d v="2025-03-26T00:00:00"/>
    <x v="2"/>
    <n v="-26.6"/>
    <x v="2"/>
    <m/>
    <s v="Uitgave"/>
    <n v="-26.6"/>
    <x v="2"/>
    <s v="OK"/>
  </r>
  <r>
    <d v="2025-03-26T00:00:00"/>
    <x v="2"/>
    <n v="-1.1000000000000001"/>
    <x v="11"/>
    <m/>
    <s v="Uitgave"/>
    <n v="-1.1000000000000001"/>
    <x v="1"/>
    <s v="OK"/>
  </r>
  <r>
    <d v="2025-03-26T00:00:00"/>
    <x v="2"/>
    <n v="-19.850000000000001"/>
    <x v="2"/>
    <m/>
    <s v="Uitgave"/>
    <n v="-19.850000000000001"/>
    <x v="2"/>
    <s v="OK"/>
  </r>
  <r>
    <d v="2025-03-26T00:00:00"/>
    <x v="2"/>
    <n v="-113.49"/>
    <x v="33"/>
    <m/>
    <s v="Uitgave"/>
    <n v="-113.49"/>
    <x v="2"/>
    <s v="OK"/>
  </r>
  <r>
    <d v="2025-03-27T00:00:00"/>
    <x v="2"/>
    <n v="-50"/>
    <x v="16"/>
    <m/>
    <s v="Uitgave"/>
    <n v="-50"/>
    <x v="2"/>
    <s v="OK"/>
  </r>
  <r>
    <d v="2025-03-27T00:00:00"/>
    <x v="2"/>
    <n v="-39.99"/>
    <x v="14"/>
    <m/>
    <s v="Uitgave"/>
    <n v="-39.99"/>
    <x v="1"/>
    <s v="OK"/>
  </r>
  <r>
    <d v="2025-03-27T00:00:00"/>
    <x v="2"/>
    <n v="-0.82"/>
    <x v="2"/>
    <m/>
    <s v="Uitgave"/>
    <n v="-0.82"/>
    <x v="2"/>
    <s v="OK"/>
  </r>
  <r>
    <d v="2025-03-27T00:00:00"/>
    <x v="2"/>
    <n v="-7.99"/>
    <x v="2"/>
    <m/>
    <s v="Uitgave"/>
    <n v="-7.99"/>
    <x v="2"/>
    <s v="OK"/>
  </r>
  <r>
    <d v="2025-03-27T00:00:00"/>
    <x v="2"/>
    <n v="-4.5999999999999996"/>
    <x v="2"/>
    <m/>
    <s v="Uitgave"/>
    <n v="-4.5999999999999996"/>
    <x v="2"/>
    <s v="OK"/>
  </r>
  <r>
    <d v="2025-03-27T00:00:00"/>
    <x v="2"/>
    <n v="-1.5"/>
    <x v="11"/>
    <m/>
    <s v="Uitgave"/>
    <n v="-1.5"/>
    <x v="1"/>
    <s v="OK"/>
  </r>
  <r>
    <d v="2025-03-27T00:00:00"/>
    <x v="2"/>
    <n v="-1.5"/>
    <x v="11"/>
    <m/>
    <s v="Uitgave"/>
    <n v="-1.5"/>
    <x v="1"/>
    <s v="OK"/>
  </r>
  <r>
    <d v="2025-03-27T00:00:00"/>
    <x v="2"/>
    <n v="3234.04"/>
    <x v="45"/>
    <m/>
    <s v="Inkomst"/>
    <n v="3234.04"/>
    <x v="2"/>
    <s v="OK"/>
  </r>
  <r>
    <d v="2025-03-28T00:00:00"/>
    <x v="2"/>
    <n v="-19.989999999999998"/>
    <x v="14"/>
    <m/>
    <s v="Uitgave"/>
    <n v="-19.989999999999998"/>
    <x v="1"/>
    <s v="OK"/>
  </r>
  <r>
    <d v="2025-03-28T00:00:00"/>
    <x v="2"/>
    <n v="-1.5"/>
    <x v="11"/>
    <m/>
    <s v="Uitgave"/>
    <n v="-1.5"/>
    <x v="1"/>
    <s v="OK"/>
  </r>
  <r>
    <d v="2025-03-28T00:00:00"/>
    <x v="2"/>
    <n v="-1.5"/>
    <x v="11"/>
    <m/>
    <s v="Uitgave"/>
    <n v="-1.5"/>
    <x v="1"/>
    <s v="OK"/>
  </r>
  <r>
    <d v="2025-03-28T00:00:00"/>
    <x v="2"/>
    <n v="-18.739999999999998"/>
    <x v="2"/>
    <m/>
    <s v="Uitgave"/>
    <n v="-18.739999999999998"/>
    <x v="2"/>
    <s v="OK"/>
  </r>
  <r>
    <d v="2025-03-28T00:00:00"/>
    <x v="2"/>
    <n v="-11.49"/>
    <x v="2"/>
    <m/>
    <s v="Uitgave"/>
    <n v="-11.49"/>
    <x v="2"/>
    <s v="OK"/>
  </r>
  <r>
    <d v="2025-03-28T00:00:00"/>
    <x v="2"/>
    <n v="-11.54"/>
    <x v="2"/>
    <m/>
    <s v="Uitgave"/>
    <n v="-11.54"/>
    <x v="2"/>
    <s v="OK"/>
  </r>
  <r>
    <d v="2025-03-28T00:00:00"/>
    <x v="2"/>
    <n v="-62"/>
    <x v="10"/>
    <m/>
    <s v="Uitgave"/>
    <n v="-62"/>
    <x v="1"/>
    <s v="OK"/>
  </r>
  <r>
    <d v="2025-03-28T00:00:00"/>
    <x v="2"/>
    <n v="5.5"/>
    <x v="17"/>
    <m/>
    <s v="Inkomst"/>
    <n v="5.5"/>
    <x v="1"/>
    <s v="OK"/>
  </r>
  <r>
    <d v="2025-03-29T00:00:00"/>
    <x v="2"/>
    <n v="-48.4"/>
    <x v="17"/>
    <m/>
    <s v="Uitgave"/>
    <n v="-48.4"/>
    <x v="1"/>
    <s v="OK"/>
  </r>
  <r>
    <d v="2025-03-29T00:00:00"/>
    <x v="2"/>
    <n v="-25"/>
    <x v="13"/>
    <m/>
    <s v="Uitgave"/>
    <n v="-25"/>
    <x v="2"/>
    <s v="OK"/>
  </r>
  <r>
    <d v="2025-03-29T00:00:00"/>
    <x v="2"/>
    <n v="-20.84"/>
    <x v="16"/>
    <m/>
    <s v="Uitgave"/>
    <n v="-20.84"/>
    <x v="2"/>
    <s v="OK"/>
  </r>
  <r>
    <d v="2025-03-30T00:00:00"/>
    <x v="2"/>
    <n v="20"/>
    <x v="17"/>
    <m/>
    <s v="Inkomst"/>
    <n v="20"/>
    <x v="1"/>
    <s v="OK"/>
  </r>
  <r>
    <d v="2025-03-30T00:00:00"/>
    <x v="2"/>
    <n v="-566.76"/>
    <x v="36"/>
    <m/>
    <s v="Uitgave"/>
    <n v="-566.76"/>
    <x v="2"/>
    <s v="OK"/>
  </r>
  <r>
    <d v="2025-03-30T00:00:00"/>
    <x v="2"/>
    <n v="-19.36"/>
    <x v="36"/>
    <m/>
    <s v="Uitgave"/>
    <n v="-19.36"/>
    <x v="2"/>
    <s v="OK"/>
  </r>
  <r>
    <d v="2025-03-31T00:00:00"/>
    <x v="2"/>
    <n v="-1.5"/>
    <x v="40"/>
    <m/>
    <s v="Uitgave"/>
    <n v="-1.5"/>
    <x v="2"/>
    <s v="OK"/>
  </r>
  <r>
    <d v="2025-03-31T00:00:00"/>
    <x v="2"/>
    <n v="-7.74"/>
    <x v="2"/>
    <m/>
    <s v="Uitgave"/>
    <n v="-7.74"/>
    <x v="2"/>
    <s v="OK"/>
  </r>
  <r>
    <d v="2025-03-31T00:00:00"/>
    <x v="2"/>
    <n v="-14.28"/>
    <x v="2"/>
    <m/>
    <s v="Uitgave"/>
    <n v="-14.28"/>
    <x v="2"/>
    <s v="OK"/>
  </r>
  <r>
    <d v="2025-03-31T00:00:00"/>
    <x v="2"/>
    <n v="-6.48"/>
    <x v="2"/>
    <m/>
    <s v="Uitgave"/>
    <n v="-6.48"/>
    <x v="2"/>
    <s v="OK"/>
  </r>
  <r>
    <d v="2025-03-31T00:00:00"/>
    <x v="2"/>
    <n v="-11.79"/>
    <x v="2"/>
    <m/>
    <s v="Uitgave"/>
    <n v="-11.79"/>
    <x v="2"/>
    <s v="OK"/>
  </r>
  <r>
    <d v="2025-03-31T00:00:00"/>
    <x v="2"/>
    <n v="-69.55"/>
    <x v="2"/>
    <m/>
    <s v="Uitgave"/>
    <n v="-69.55"/>
    <x v="2"/>
    <s v="OK"/>
  </r>
  <r>
    <d v="2025-03-31T00:00:00"/>
    <x v="2"/>
    <n v="-44.72"/>
    <x v="2"/>
    <m/>
    <s v="Uitgave"/>
    <n v="-44.72"/>
    <x v="2"/>
    <s v="OK"/>
  </r>
  <r>
    <d v="2025-03-31T00:00:00"/>
    <x v="2"/>
    <n v="-20"/>
    <x v="10"/>
    <m/>
    <s v="Uitgave"/>
    <n v="-20"/>
    <x v="1"/>
    <s v="OK"/>
  </r>
  <r>
    <d v="2025-03-31T00:00:00"/>
    <x v="2"/>
    <n v="-5.8"/>
    <x v="2"/>
    <m/>
    <s v="Uitgave"/>
    <n v="-5.8"/>
    <x v="2"/>
    <s v="OK"/>
  </r>
  <r>
    <d v="2025-03-31T00:00:00"/>
    <x v="2"/>
    <n v="-12.73"/>
    <x v="2"/>
    <m/>
    <s v="Uitgave"/>
    <n v="-12.73"/>
    <x v="2"/>
    <s v="OK"/>
  </r>
  <r>
    <d v="2025-03-31T00:00:00"/>
    <x v="2"/>
    <n v="-11.99"/>
    <x v="26"/>
    <m/>
    <s v="Uitgave"/>
    <n v="-11.99"/>
    <x v="1"/>
    <s v="OK"/>
  </r>
  <r>
    <d v="2025-03-31T00:00:00"/>
    <x v="2"/>
    <n v="-1.5"/>
    <x v="11"/>
    <m/>
    <s v="Uitgave"/>
    <n v="-1.5"/>
    <x v="1"/>
    <s v="OK"/>
  </r>
  <r>
    <d v="2025-03-31T00:00:00"/>
    <x v="2"/>
    <n v="-5.07"/>
    <x v="2"/>
    <m/>
    <s v="Uitgave"/>
    <n v="-5.07"/>
    <x v="2"/>
    <s v="OK"/>
  </r>
  <r>
    <d v="2025-03-31T00:00:00"/>
    <x v="2"/>
    <n v="-55.9"/>
    <x v="2"/>
    <m/>
    <s v="Uitgave"/>
    <n v="-55.9"/>
    <x v="2"/>
    <s v="OK"/>
  </r>
  <r>
    <d v="2025-03-31T00:00:00"/>
    <x v="2"/>
    <n v="-69.86"/>
    <x v="37"/>
    <m/>
    <s v="Uitgave"/>
    <n v="-69.86"/>
    <x v="2"/>
    <s v="OK"/>
  </r>
  <r>
    <d v="2025-03-31T00:00:00"/>
    <x v="2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4-01T00:00:00"/>
    <x v="3"/>
    <n v="2581.3200000000002"/>
    <x v="0"/>
    <m/>
    <s v="Inkomst"/>
    <n v="2581.3200000000002"/>
    <x v="0"/>
    <s v="OK"/>
  </r>
  <r>
    <d v="2025-04-01T00:00:00"/>
    <x v="3"/>
    <n v="2527.61"/>
    <x v="0"/>
    <m/>
    <s v="Inkomst"/>
    <n v="2527.61"/>
    <x v="0"/>
    <s v="OK"/>
  </r>
  <r>
    <d v="2025-04-01T00:00:00"/>
    <x v="3"/>
    <n v="-20.32"/>
    <x v="2"/>
    <m/>
    <s v="Uitgave"/>
    <n v="-20.32"/>
    <x v="2"/>
    <s v="OK"/>
  </r>
  <r>
    <d v="2025-04-01T00:00:00"/>
    <x v="3"/>
    <n v="-4.5999999999999996"/>
    <x v="2"/>
    <m/>
    <s v="Uitgave"/>
    <n v="-4.5999999999999996"/>
    <x v="2"/>
    <s v="OK"/>
  </r>
  <r>
    <d v="2025-04-01T00:00:00"/>
    <x v="3"/>
    <n v="-0.5"/>
    <x v="11"/>
    <m/>
    <s v="Uitgave"/>
    <n v="-0.5"/>
    <x v="1"/>
    <s v="OK"/>
  </r>
  <r>
    <d v="2025-04-01T00:00:00"/>
    <x v="3"/>
    <n v="-0.5"/>
    <x v="11"/>
    <m/>
    <s v="Uitgave"/>
    <n v="-0.5"/>
    <x v="1"/>
    <s v="OK"/>
  </r>
  <r>
    <d v="2025-04-01T00:00:00"/>
    <x v="3"/>
    <n v="-0.5"/>
    <x v="11"/>
    <m/>
    <s v="Uitgave"/>
    <n v="-0.5"/>
    <x v="1"/>
    <s v="OK"/>
  </r>
  <r>
    <d v="2025-04-01T00:00:00"/>
    <x v="3"/>
    <n v="-13.8"/>
    <x v="2"/>
    <m/>
    <s v="Uitgave"/>
    <n v="-13.8"/>
    <x v="2"/>
    <s v="OK"/>
  </r>
  <r>
    <d v="2025-04-01T00:00:00"/>
    <x v="3"/>
    <n v="-2.76"/>
    <x v="2"/>
    <m/>
    <s v="Uitgave"/>
    <n v="-2.76"/>
    <x v="2"/>
    <s v="OK"/>
  </r>
  <r>
    <d v="2025-04-01T00:00:00"/>
    <x v="3"/>
    <n v="-14.87"/>
    <x v="2"/>
    <m/>
    <s v="Uitgave"/>
    <n v="-14.87"/>
    <x v="2"/>
    <s v="OK"/>
  </r>
  <r>
    <d v="2025-04-01T00:00:00"/>
    <x v="3"/>
    <n v="-4.7"/>
    <x v="2"/>
    <m/>
    <s v="Uitgave"/>
    <n v="-4.7"/>
    <x v="2"/>
    <s v="OK"/>
  </r>
  <r>
    <d v="2025-04-01T00:00:00"/>
    <x v="3"/>
    <n v="-40.619999999999997"/>
    <x v="3"/>
    <m/>
    <s v="Uitgave"/>
    <n v="-40.619999999999997"/>
    <x v="2"/>
    <s v="OK"/>
  </r>
  <r>
    <d v="2025-04-01T00:00:00"/>
    <x v="3"/>
    <n v="-142"/>
    <x v="6"/>
    <m/>
    <s v="Uitgave"/>
    <n v="-142"/>
    <x v="2"/>
    <s v="OK"/>
  </r>
  <r>
    <d v="2025-04-01T00:00:00"/>
    <x v="3"/>
    <n v="-363.29"/>
    <x v="46"/>
    <m/>
    <s v="Uitgave"/>
    <n v="-363.29"/>
    <x v="1"/>
    <s v="OK"/>
  </r>
  <r>
    <d v="2025-04-01T00:00:00"/>
    <x v="3"/>
    <n v="-21.94"/>
    <x v="9"/>
    <m/>
    <s v="Uitgave"/>
    <n v="-21.94"/>
    <x v="1"/>
    <s v="OK"/>
  </r>
  <r>
    <d v="2025-04-02T00:00:00"/>
    <x v="3"/>
    <n v="-30.1"/>
    <x v="9"/>
    <m/>
    <s v="Uitgave"/>
    <n v="-30.1"/>
    <x v="1"/>
    <s v="OK"/>
  </r>
  <r>
    <d v="2025-04-02T00:00:00"/>
    <x v="3"/>
    <n v="-1.5"/>
    <x v="11"/>
    <m/>
    <s v="Uitgave"/>
    <n v="-1.5"/>
    <x v="1"/>
    <s v="OK"/>
  </r>
  <r>
    <d v="2025-04-02T00:00:00"/>
    <x v="3"/>
    <n v="5.5"/>
    <x v="2"/>
    <m/>
    <s v="Inkomst"/>
    <n v="5.5"/>
    <x v="2"/>
    <s v="OK"/>
  </r>
  <r>
    <d v="2025-04-02T00:00:00"/>
    <x v="3"/>
    <n v="-6.99"/>
    <x v="2"/>
    <m/>
    <s v="Uitgave"/>
    <n v="-6.99"/>
    <x v="2"/>
    <s v="OK"/>
  </r>
  <r>
    <d v="2025-04-02T00:00:00"/>
    <x v="3"/>
    <n v="-8.68"/>
    <x v="2"/>
    <m/>
    <s v="Uitgave"/>
    <n v="-8.68"/>
    <x v="2"/>
    <s v="OK"/>
  </r>
  <r>
    <d v="2025-04-02T00:00:00"/>
    <x v="3"/>
    <n v="-12.36"/>
    <x v="2"/>
    <m/>
    <s v="Uitgave"/>
    <n v="-12.36"/>
    <x v="2"/>
    <s v="OK"/>
  </r>
  <r>
    <d v="2025-04-03T00:00:00"/>
    <x v="3"/>
    <n v="-49.6"/>
    <x v="41"/>
    <m/>
    <s v="Uitgave"/>
    <n v="-49.6"/>
    <x v="1"/>
    <s v="OK"/>
  </r>
  <r>
    <d v="2025-04-03T00:00:00"/>
    <x v="3"/>
    <n v="-159.85"/>
    <x v="38"/>
    <m/>
    <s v="Uitgave"/>
    <n v="-159.85"/>
    <x v="2"/>
    <s v="OK"/>
  </r>
  <r>
    <d v="2025-04-03T00:00:00"/>
    <x v="3"/>
    <n v="-7.74"/>
    <x v="2"/>
    <m/>
    <s v="Uitgave"/>
    <n v="-7.74"/>
    <x v="2"/>
    <s v="OK"/>
  </r>
  <r>
    <d v="2025-04-03T00:00:00"/>
    <x v="3"/>
    <n v="-15.85"/>
    <x v="2"/>
    <m/>
    <s v="Uitgave"/>
    <n v="-15.85"/>
    <x v="2"/>
    <s v="OK"/>
  </r>
  <r>
    <d v="2025-04-03T00:00:00"/>
    <x v="3"/>
    <n v="-1.5"/>
    <x v="11"/>
    <m/>
    <s v="Uitgave"/>
    <n v="-1.5"/>
    <x v="1"/>
    <s v="OK"/>
  </r>
  <r>
    <d v="2025-04-03T00:00:00"/>
    <x v="3"/>
    <n v="-1.5"/>
    <x v="11"/>
    <m/>
    <s v="Uitgave"/>
    <n v="-1.5"/>
    <x v="1"/>
    <s v="OK"/>
  </r>
  <r>
    <d v="2025-04-03T00:00:00"/>
    <x v="3"/>
    <n v="-5.85"/>
    <x v="5"/>
    <m/>
    <s v="Uitgave"/>
    <n v="-5.85"/>
    <x v="1"/>
    <s v="OK"/>
  </r>
  <r>
    <d v="2025-04-03T00:00:00"/>
    <x v="3"/>
    <n v="5.75"/>
    <x v="17"/>
    <m/>
    <s v="Inkomst"/>
    <n v="5.75"/>
    <x v="1"/>
    <s v="OK"/>
  </r>
  <r>
    <d v="2025-04-03T00:00:00"/>
    <x v="3"/>
    <n v="-20.71"/>
    <x v="20"/>
    <m/>
    <s v="Uitgave"/>
    <n v="-20.71"/>
    <x v="2"/>
    <s v="OK"/>
  </r>
  <r>
    <d v="2025-04-03T00:00:00"/>
    <x v="3"/>
    <n v="-12"/>
    <x v="28"/>
    <m/>
    <s v="Uitgave"/>
    <n v="-12"/>
    <x v="2"/>
    <s v="OK"/>
  </r>
  <r>
    <d v="2025-04-03T00:00:00"/>
    <x v="3"/>
    <n v="-9"/>
    <x v="7"/>
    <m/>
    <s v="Uitgave"/>
    <n v="-9"/>
    <x v="1"/>
    <s v="OK"/>
  </r>
  <r>
    <d v="2025-04-04T00:00:00"/>
    <x v="3"/>
    <n v="-5.5"/>
    <x v="23"/>
    <m/>
    <s v="Uitgave"/>
    <n v="-5.5"/>
    <x v="1"/>
    <s v="OK"/>
  </r>
  <r>
    <d v="2025-04-04T00:00:00"/>
    <x v="3"/>
    <n v="-15.56"/>
    <x v="2"/>
    <m/>
    <s v="Uitgave"/>
    <n v="-15.56"/>
    <x v="2"/>
    <s v="OK"/>
  </r>
  <r>
    <d v="2025-04-04T00:00:00"/>
    <x v="3"/>
    <n v="-6.8"/>
    <x v="2"/>
    <m/>
    <s v="Uitgave"/>
    <n v="-6.8"/>
    <x v="2"/>
    <s v="OK"/>
  </r>
  <r>
    <d v="2025-04-04T00:00:00"/>
    <x v="3"/>
    <n v="-1.5"/>
    <x v="11"/>
    <m/>
    <s v="Uitgave"/>
    <n v="-1.5"/>
    <x v="1"/>
    <s v="OK"/>
  </r>
  <r>
    <d v="2025-04-04T00:00:00"/>
    <x v="3"/>
    <n v="-2.7"/>
    <x v="2"/>
    <m/>
    <s v="Uitgave"/>
    <n v="-2.7"/>
    <x v="2"/>
    <s v="OK"/>
  </r>
  <r>
    <d v="2025-04-04T00:00:00"/>
    <x v="3"/>
    <n v="-38"/>
    <x v="2"/>
    <m/>
    <s v="Uitgave"/>
    <n v="-38"/>
    <x v="2"/>
    <s v="OK"/>
  </r>
  <r>
    <d v="2025-04-04T00:00:00"/>
    <x v="3"/>
    <n v="-8.9499999999999993"/>
    <x v="7"/>
    <m/>
    <s v="Uitgave"/>
    <n v="-8.9499999999999993"/>
    <x v="1"/>
    <s v="OK"/>
  </r>
  <r>
    <d v="2025-04-04T00:00:00"/>
    <x v="3"/>
    <n v="-23.09"/>
    <x v="2"/>
    <m/>
    <s v="Uitgave"/>
    <n v="-23.09"/>
    <x v="2"/>
    <s v="OK"/>
  </r>
  <r>
    <d v="2025-04-04T00:00:00"/>
    <x v="3"/>
    <n v="-18.14"/>
    <x v="2"/>
    <m/>
    <s v="Uitgave"/>
    <n v="-18.14"/>
    <x v="2"/>
    <s v="OK"/>
  </r>
  <r>
    <d v="2025-04-04T00:00:00"/>
    <x v="3"/>
    <n v="-3.6"/>
    <x v="2"/>
    <m/>
    <s v="Uitgave"/>
    <n v="-3.6"/>
    <x v="2"/>
    <s v="OK"/>
  </r>
  <r>
    <d v="2025-04-04T00:00:00"/>
    <x v="3"/>
    <n v="-37.119999999999997"/>
    <x v="4"/>
    <m/>
    <s v="Uitgave"/>
    <n v="-37.119999999999997"/>
    <x v="2"/>
    <s v="OK"/>
  </r>
  <r>
    <d v="2025-04-05T00:00:00"/>
    <x v="3"/>
    <n v="-9.99"/>
    <x v="40"/>
    <m/>
    <s v="Uitgave"/>
    <n v="-9.99"/>
    <x v="2"/>
    <s v="OK"/>
  </r>
  <r>
    <d v="2025-04-05T00:00:00"/>
    <x v="3"/>
    <n v="-5"/>
    <x v="5"/>
    <m/>
    <s v="Uitgave"/>
    <n v="-5"/>
    <x v="1"/>
    <s v="OK"/>
  </r>
  <r>
    <d v="2025-04-05T00:00:00"/>
    <x v="3"/>
    <n v="-1.2"/>
    <x v="17"/>
    <m/>
    <s v="Uitgave"/>
    <n v="-1.2"/>
    <x v="1"/>
    <s v="OK"/>
  </r>
  <r>
    <d v="2025-04-05T00:00:00"/>
    <x v="3"/>
    <n v="-17"/>
    <x v="34"/>
    <m/>
    <s v="Uitgave"/>
    <n v="-17"/>
    <x v="1"/>
    <s v="OK"/>
  </r>
  <r>
    <d v="2025-04-05T00:00:00"/>
    <x v="3"/>
    <n v="60"/>
    <x v="9"/>
    <m/>
    <s v="Inkomst"/>
    <n v="60"/>
    <x v="1"/>
    <s v="OK"/>
  </r>
  <r>
    <d v="2025-04-05T00:00:00"/>
    <x v="3"/>
    <n v="120"/>
    <x v="9"/>
    <m/>
    <s v="Inkomst"/>
    <n v="120"/>
    <x v="1"/>
    <s v="OK"/>
  </r>
  <r>
    <d v="2025-04-07T00:00:00"/>
    <x v="3"/>
    <n v="-300.89999999999998"/>
    <x v="9"/>
    <s v="muze"/>
    <s v="Uitgave"/>
    <n v="-300.89999999999998"/>
    <x v="1"/>
    <s v="OK"/>
  </r>
  <r>
    <d v="2025-04-07T00:00:00"/>
    <x v="3"/>
    <n v="-36"/>
    <x v="9"/>
    <m/>
    <s v="Uitgave"/>
    <n v="-36"/>
    <x v="1"/>
    <s v="OK"/>
  </r>
  <r>
    <d v="2025-04-07T00:00:00"/>
    <x v="3"/>
    <n v="-7.18"/>
    <x v="16"/>
    <m/>
    <s v="Uitgave"/>
    <n v="-7.18"/>
    <x v="2"/>
    <s v="OK"/>
  </r>
  <r>
    <d v="2025-04-07T00:00:00"/>
    <x v="3"/>
    <n v="-22.94"/>
    <x v="10"/>
    <m/>
    <s v="Uitgave"/>
    <n v="-22.94"/>
    <x v="1"/>
    <s v="OK"/>
  </r>
  <r>
    <d v="2025-04-07T00:00:00"/>
    <x v="3"/>
    <n v="-3.8"/>
    <x v="5"/>
    <m/>
    <s v="Uitgave"/>
    <n v="-3.8"/>
    <x v="1"/>
    <s v="OK"/>
  </r>
  <r>
    <d v="2025-04-07T00:00:00"/>
    <x v="3"/>
    <n v="-16.66"/>
    <x v="2"/>
    <m/>
    <s v="Uitgave"/>
    <n v="-16.66"/>
    <x v="2"/>
    <s v="OK"/>
  </r>
  <r>
    <d v="2025-04-07T00:00:00"/>
    <x v="3"/>
    <n v="-86.39"/>
    <x v="12"/>
    <m/>
    <s v="Uitgave"/>
    <n v="-86.39"/>
    <x v="1"/>
    <s v="OK"/>
  </r>
  <r>
    <d v="2025-04-07T00:00:00"/>
    <x v="3"/>
    <n v="-21"/>
    <x v="2"/>
    <m/>
    <s v="Uitgave"/>
    <n v="-21"/>
    <x v="2"/>
    <s v="OK"/>
  </r>
  <r>
    <d v="2025-04-07T00:00:00"/>
    <x v="3"/>
    <n v="-29.46"/>
    <x v="2"/>
    <m/>
    <s v="Uitgave"/>
    <n v="-29.46"/>
    <x v="2"/>
    <s v="OK"/>
  </r>
  <r>
    <d v="2025-04-07T00:00:00"/>
    <x v="3"/>
    <n v="-1.5"/>
    <x v="11"/>
    <m/>
    <s v="Uitgave"/>
    <n v="-1.5"/>
    <x v="1"/>
    <s v="OK"/>
  </r>
  <r>
    <d v="2025-04-07T00:00:00"/>
    <x v="3"/>
    <n v="-1.5"/>
    <x v="11"/>
    <m/>
    <s v="Uitgave"/>
    <n v="-1.5"/>
    <x v="1"/>
    <s v="OK"/>
  </r>
  <r>
    <d v="2025-04-07T00:00:00"/>
    <x v="3"/>
    <n v="-810.65"/>
    <x v="19"/>
    <m/>
    <s v="Uitgave"/>
    <n v="-810.65"/>
    <x v="2"/>
    <s v="OK"/>
  </r>
  <r>
    <d v="2025-04-07T00:00:00"/>
    <x v="3"/>
    <n v="-12.01"/>
    <x v="21"/>
    <m/>
    <s v="Uitgave"/>
    <n v="-12.01"/>
    <x v="2"/>
    <s v="OK"/>
  </r>
  <r>
    <d v="2025-04-07T00:00:00"/>
    <x v="3"/>
    <n v="-3.97"/>
    <x v="4"/>
    <m/>
    <s v="Uitgave"/>
    <n v="-3.97"/>
    <x v="2"/>
    <s v="OK"/>
  </r>
  <r>
    <d v="2025-04-07T00:00:00"/>
    <x v="3"/>
    <n v="-9.6999999999999993"/>
    <x v="9"/>
    <m/>
    <s v="Uitgave"/>
    <n v="-9.6999999999999993"/>
    <x v="1"/>
    <s v="OK"/>
  </r>
  <r>
    <d v="2025-04-07T00:00:00"/>
    <x v="3"/>
    <n v="-20.45"/>
    <x v="17"/>
    <m/>
    <s v="Uitgave"/>
    <n v="-20.45"/>
    <x v="1"/>
    <s v="OK"/>
  </r>
  <r>
    <d v="2025-04-08T00:00:00"/>
    <x v="3"/>
    <n v="-50"/>
    <x v="17"/>
    <m/>
    <s v="Uitgave"/>
    <n v="-50"/>
    <x v="1"/>
    <s v="OK"/>
  </r>
  <r>
    <d v="2025-04-08T00:00:00"/>
    <x v="3"/>
    <n v="-26.99"/>
    <x v="10"/>
    <m/>
    <s v="Uitgave"/>
    <n v="-26.99"/>
    <x v="1"/>
    <s v="OK"/>
  </r>
  <r>
    <d v="2025-04-08T00:00:00"/>
    <x v="3"/>
    <n v="-0.5"/>
    <x v="11"/>
    <m/>
    <s v="Uitgave"/>
    <n v="-0.5"/>
    <x v="1"/>
    <s v="OK"/>
  </r>
  <r>
    <d v="2025-04-08T00:00:00"/>
    <x v="3"/>
    <n v="-0.5"/>
    <x v="11"/>
    <m/>
    <s v="Uitgave"/>
    <n v="-0.5"/>
    <x v="1"/>
    <s v="OK"/>
  </r>
  <r>
    <d v="2025-04-08T00:00:00"/>
    <x v="3"/>
    <n v="-0.5"/>
    <x v="11"/>
    <m/>
    <s v="Uitgave"/>
    <n v="-0.5"/>
    <x v="1"/>
    <s v="OK"/>
  </r>
  <r>
    <d v="2025-04-08T00:00:00"/>
    <x v="3"/>
    <n v="-10.3"/>
    <x v="17"/>
    <m/>
    <s v="Uitgave"/>
    <n v="-10.3"/>
    <x v="1"/>
    <s v="OK"/>
  </r>
  <r>
    <d v="2025-04-08T00:00:00"/>
    <x v="3"/>
    <n v="0.01"/>
    <x v="17"/>
    <m/>
    <s v="Inkomst"/>
    <n v="0.01"/>
    <x v="1"/>
    <s v="OK"/>
  </r>
  <r>
    <d v="2025-04-08T00:00:00"/>
    <x v="3"/>
    <n v="-3.15"/>
    <x v="2"/>
    <m/>
    <s v="Uitgave"/>
    <n v="-3.15"/>
    <x v="2"/>
    <s v="OK"/>
  </r>
  <r>
    <d v="2025-04-08T00:00:00"/>
    <x v="3"/>
    <n v="-8.0299999999999994"/>
    <x v="2"/>
    <m/>
    <s v="Uitgave"/>
    <n v="-8.0299999999999994"/>
    <x v="2"/>
    <s v="OK"/>
  </r>
  <r>
    <d v="2025-04-08T00:00:00"/>
    <x v="3"/>
    <n v="-25.95"/>
    <x v="16"/>
    <m/>
    <s v="Uitgave"/>
    <n v="-25.95"/>
    <x v="2"/>
    <s v="OK"/>
  </r>
  <r>
    <d v="2025-04-08T00:00:00"/>
    <x v="3"/>
    <n v="-25.95"/>
    <x v="16"/>
    <m/>
    <s v="Uitgave"/>
    <n v="-25.95"/>
    <x v="2"/>
    <s v="OK"/>
  </r>
  <r>
    <d v="2025-04-08T00:00:00"/>
    <x v="3"/>
    <n v="-64"/>
    <x v="16"/>
    <m/>
    <s v="Uitgave"/>
    <n v="-64"/>
    <x v="2"/>
    <s v="OK"/>
  </r>
  <r>
    <d v="2025-04-08T00:00:00"/>
    <x v="3"/>
    <n v="-64"/>
    <x v="16"/>
    <m/>
    <s v="Uitgave"/>
    <n v="-64"/>
    <x v="2"/>
    <s v="OK"/>
  </r>
  <r>
    <d v="2025-04-09T00:00:00"/>
    <x v="3"/>
    <n v="-148.25"/>
    <x v="7"/>
    <m/>
    <s v="Uitgave"/>
    <n v="-148.25"/>
    <x v="1"/>
    <s v="OK"/>
  </r>
  <r>
    <d v="2025-04-09T00:00:00"/>
    <x v="3"/>
    <n v="-54.4"/>
    <x v="9"/>
    <m/>
    <s v="Uitgave"/>
    <n v="-54.4"/>
    <x v="1"/>
    <s v="OK"/>
  </r>
  <r>
    <d v="2025-04-09T00:00:00"/>
    <x v="3"/>
    <n v="-32.1"/>
    <x v="9"/>
    <m/>
    <s v="Uitgave"/>
    <n v="-32.1"/>
    <x v="1"/>
    <s v="OK"/>
  </r>
  <r>
    <d v="2025-04-09T00:00:00"/>
    <x v="3"/>
    <n v="-9.83"/>
    <x v="16"/>
    <m/>
    <s v="Uitgave"/>
    <n v="-9.83"/>
    <x v="2"/>
    <s v="OK"/>
  </r>
  <r>
    <d v="2025-04-09T00:00:00"/>
    <x v="3"/>
    <n v="-1.5"/>
    <x v="11"/>
    <m/>
    <s v="Uitgave"/>
    <n v="-1.5"/>
    <x v="1"/>
    <s v="OK"/>
  </r>
  <r>
    <d v="2025-04-09T00:00:00"/>
    <x v="3"/>
    <n v="-13.13"/>
    <x v="2"/>
    <m/>
    <s v="Uitgave"/>
    <n v="-13.13"/>
    <x v="2"/>
    <s v="OK"/>
  </r>
  <r>
    <d v="2025-04-09T00:00:00"/>
    <x v="3"/>
    <n v="-9.6300000000000008"/>
    <x v="4"/>
    <m/>
    <s v="Uitgave"/>
    <n v="-9.6300000000000008"/>
    <x v="2"/>
    <s v="OK"/>
  </r>
  <r>
    <d v="2025-04-09T00:00:00"/>
    <x v="3"/>
    <n v="-5"/>
    <x v="4"/>
    <m/>
    <s v="Uitgave"/>
    <n v="-5"/>
    <x v="2"/>
    <s v="OK"/>
  </r>
  <r>
    <d v="2025-04-09T00:00:00"/>
    <x v="3"/>
    <n v="-56.4"/>
    <x v="10"/>
    <m/>
    <s v="Uitgave"/>
    <n v="-56.4"/>
    <x v="1"/>
    <s v="OK"/>
  </r>
  <r>
    <d v="2025-04-09T00:00:00"/>
    <x v="3"/>
    <n v="-4.5999999999999996"/>
    <x v="2"/>
    <m/>
    <s v="Uitgave"/>
    <n v="-4.5999999999999996"/>
    <x v="2"/>
    <s v="OK"/>
  </r>
  <r>
    <d v="2025-04-10T00:00:00"/>
    <x v="3"/>
    <n v="50"/>
    <x v="17"/>
    <m/>
    <s v="Inkomst"/>
    <n v="50"/>
    <x v="1"/>
    <s v="OK"/>
  </r>
  <r>
    <d v="2025-04-10T00:00:00"/>
    <x v="3"/>
    <n v="-4.28"/>
    <x v="4"/>
    <m/>
    <s v="Uitgave"/>
    <n v="-4.28"/>
    <x v="2"/>
    <s v="OK"/>
  </r>
  <r>
    <d v="2025-04-10T00:00:00"/>
    <x v="3"/>
    <n v="-5"/>
    <x v="4"/>
    <m/>
    <s v="Uitgave"/>
    <n v="-5"/>
    <x v="2"/>
    <s v="OK"/>
  </r>
  <r>
    <d v="2025-04-10T00:00:00"/>
    <x v="3"/>
    <n v="-11.83"/>
    <x v="2"/>
    <m/>
    <s v="Uitgave"/>
    <n v="-11.83"/>
    <x v="2"/>
    <s v="OK"/>
  </r>
  <r>
    <d v="2025-04-10T00:00:00"/>
    <x v="3"/>
    <n v="-1.5"/>
    <x v="11"/>
    <m/>
    <s v="Uitgave"/>
    <n v="-1.5"/>
    <x v="1"/>
    <s v="OK"/>
  </r>
  <r>
    <d v="2025-04-10T00:00:00"/>
    <x v="3"/>
    <n v="-1.5"/>
    <x v="11"/>
    <m/>
    <s v="Uitgave"/>
    <n v="-1.5"/>
    <x v="1"/>
    <s v="OK"/>
  </r>
  <r>
    <d v="2025-04-10T00:00:00"/>
    <x v="3"/>
    <n v="-3.38"/>
    <x v="2"/>
    <m/>
    <s v="Uitgave"/>
    <n v="-3.38"/>
    <x v="2"/>
    <s v="OK"/>
  </r>
  <r>
    <d v="2025-04-11T00:00:00"/>
    <x v="3"/>
    <n v="-7.15"/>
    <x v="16"/>
    <m/>
    <s v="Uitgave"/>
    <n v="-7.15"/>
    <x v="2"/>
    <s v="OK"/>
  </r>
  <r>
    <d v="2025-04-11T00:00:00"/>
    <x v="3"/>
    <n v="-5"/>
    <x v="2"/>
    <m/>
    <s v="Uitgave"/>
    <n v="-5"/>
    <x v="2"/>
    <s v="OK"/>
  </r>
  <r>
    <d v="2025-04-11T00:00:00"/>
    <x v="3"/>
    <n v="-1.5"/>
    <x v="11"/>
    <m/>
    <s v="Uitgave"/>
    <n v="-1.5"/>
    <x v="1"/>
    <s v="OK"/>
  </r>
  <r>
    <d v="2025-04-11T00:00:00"/>
    <x v="3"/>
    <n v="-27"/>
    <x v="8"/>
    <m/>
    <s v="Uitgave"/>
    <n v="-27"/>
    <x v="1"/>
    <s v="OK"/>
  </r>
  <r>
    <d v="2025-04-11T00:00:00"/>
    <x v="3"/>
    <n v="-18.52"/>
    <x v="2"/>
    <m/>
    <s v="Uitgave"/>
    <n v="-18.52"/>
    <x v="2"/>
    <s v="OK"/>
  </r>
  <r>
    <d v="2025-04-11T00:00:00"/>
    <x v="3"/>
    <n v="-1.94"/>
    <x v="2"/>
    <m/>
    <s v="Uitgave"/>
    <n v="-1.94"/>
    <x v="2"/>
    <s v="OK"/>
  </r>
  <r>
    <d v="2025-04-11T00:00:00"/>
    <x v="3"/>
    <n v="-7.4"/>
    <x v="9"/>
    <m/>
    <s v="Uitgave"/>
    <n v="-7.4"/>
    <x v="1"/>
    <s v="OK"/>
  </r>
  <r>
    <d v="2025-04-12T00:00:00"/>
    <x v="3"/>
    <n v="-25.3"/>
    <x v="2"/>
    <m/>
    <s v="Uitgave"/>
    <n v="-25.3"/>
    <x v="2"/>
    <s v="OK"/>
  </r>
  <r>
    <d v="2025-04-12T00:00:00"/>
    <x v="3"/>
    <n v="-2.5"/>
    <x v="47"/>
    <m/>
    <s v="Uitgave"/>
    <n v="-2.5"/>
    <x v="1"/>
    <s v="OK"/>
  </r>
  <r>
    <d v="2025-04-13T00:00:00"/>
    <x v="3"/>
    <n v="-3.99"/>
    <x v="8"/>
    <m/>
    <s v="Uitgave"/>
    <n v="-3.99"/>
    <x v="1"/>
    <s v="OK"/>
  </r>
  <r>
    <d v="2025-04-13T00:00:00"/>
    <x v="3"/>
    <n v="-9.99"/>
    <x v="8"/>
    <m/>
    <s v="Uitgave"/>
    <n v="-9.99"/>
    <x v="1"/>
    <s v="OK"/>
  </r>
  <r>
    <d v="2025-04-13T00:00:00"/>
    <x v="3"/>
    <n v="-47"/>
    <x v="8"/>
    <m/>
    <s v="Uitgave"/>
    <n v="-47"/>
    <x v="1"/>
    <s v="OK"/>
  </r>
  <r>
    <d v="2025-04-14T00:00:00"/>
    <x v="3"/>
    <n v="-113.7"/>
    <x v="9"/>
    <m/>
    <s v="Uitgave"/>
    <n v="-113.7"/>
    <x v="1"/>
    <s v="OK"/>
  </r>
  <r>
    <d v="2025-04-14T00:00:00"/>
    <x v="3"/>
    <n v="-24.4"/>
    <x v="9"/>
    <m/>
    <s v="Uitgave"/>
    <n v="-24.4"/>
    <x v="1"/>
    <s v="OK"/>
  </r>
  <r>
    <d v="2025-04-14T00:00:00"/>
    <x v="3"/>
    <n v="-41"/>
    <x v="1"/>
    <m/>
    <s v="Uitgave"/>
    <n v="-41"/>
    <x v="1"/>
    <s v="OK"/>
  </r>
  <r>
    <d v="2025-04-14T00:00:00"/>
    <x v="3"/>
    <n v="-34"/>
    <x v="8"/>
    <m/>
    <s v="Uitgave"/>
    <n v="-34"/>
    <x v="1"/>
    <s v="OK"/>
  </r>
  <r>
    <d v="2025-04-14T00:00:00"/>
    <x v="3"/>
    <n v="-6.9"/>
    <x v="8"/>
    <m/>
    <s v="Uitgave"/>
    <n v="-6.9"/>
    <x v="1"/>
    <s v="OK"/>
  </r>
  <r>
    <d v="2025-04-14T00:00:00"/>
    <x v="3"/>
    <n v="-10.58"/>
    <x v="2"/>
    <m/>
    <s v="Uitgave"/>
    <n v="-10.58"/>
    <x v="2"/>
    <s v="OK"/>
  </r>
  <r>
    <d v="2025-04-14T00:00:00"/>
    <x v="3"/>
    <n v="-1.49"/>
    <x v="2"/>
    <m/>
    <s v="Uitgave"/>
    <n v="-1.49"/>
    <x v="2"/>
    <s v="OK"/>
  </r>
  <r>
    <d v="2025-04-14T00:00:00"/>
    <x v="3"/>
    <n v="-3.69"/>
    <x v="2"/>
    <m/>
    <s v="Uitgave"/>
    <n v="-3.69"/>
    <x v="2"/>
    <s v="OK"/>
  </r>
  <r>
    <d v="2025-04-14T00:00:00"/>
    <x v="3"/>
    <n v="-6.29"/>
    <x v="2"/>
    <m/>
    <s v="Uitgave"/>
    <n v="-6.29"/>
    <x v="2"/>
    <s v="OK"/>
  </r>
  <r>
    <d v="2025-04-14T00:00:00"/>
    <x v="3"/>
    <n v="-11.17"/>
    <x v="2"/>
    <m/>
    <s v="Uitgave"/>
    <n v="-11.17"/>
    <x v="2"/>
    <s v="OK"/>
  </r>
  <r>
    <d v="2025-04-14T00:00:00"/>
    <x v="3"/>
    <n v="-7.08"/>
    <x v="2"/>
    <m/>
    <s v="Uitgave"/>
    <n v="-7.08"/>
    <x v="2"/>
    <s v="OK"/>
  </r>
  <r>
    <d v="2025-04-14T00:00:00"/>
    <x v="3"/>
    <n v="-2.5"/>
    <x v="8"/>
    <m/>
    <s v="Uitgave"/>
    <n v="-2.5"/>
    <x v="1"/>
    <s v="OK"/>
  </r>
  <r>
    <d v="2025-04-14T00:00:00"/>
    <x v="3"/>
    <n v="-8.99"/>
    <x v="4"/>
    <m/>
    <s v="Uitgave"/>
    <n v="-8.99"/>
    <x v="2"/>
    <s v="OK"/>
  </r>
  <r>
    <d v="2025-04-14T00:00:00"/>
    <x v="3"/>
    <n v="-5"/>
    <x v="5"/>
    <m/>
    <s v="Uitgave"/>
    <n v="-5"/>
    <x v="1"/>
    <s v="OK"/>
  </r>
  <r>
    <d v="2025-04-14T00:00:00"/>
    <x v="3"/>
    <n v="-3.81"/>
    <x v="2"/>
    <m/>
    <s v="Uitgave"/>
    <n v="-3.81"/>
    <x v="2"/>
    <s v="OK"/>
  </r>
  <r>
    <d v="2025-04-14T00:00:00"/>
    <x v="3"/>
    <n v="-6.59"/>
    <x v="48"/>
    <m/>
    <s v="Uitgave"/>
    <n v="-6.59"/>
    <x v="1"/>
    <s v="OK"/>
  </r>
  <r>
    <d v="2025-04-14T00:00:00"/>
    <x v="3"/>
    <n v="-6.8"/>
    <x v="2"/>
    <m/>
    <s v="Uitgave"/>
    <n v="-6.8"/>
    <x v="2"/>
    <s v="OK"/>
  </r>
  <r>
    <d v="2025-04-14T00:00:00"/>
    <x v="3"/>
    <n v="-1.5"/>
    <x v="11"/>
    <m/>
    <s v="Uitgave"/>
    <n v="-1.5"/>
    <x v="1"/>
    <s v="OK"/>
  </r>
  <r>
    <d v="2025-04-14T00:00:00"/>
    <x v="3"/>
    <n v="-5.7"/>
    <x v="47"/>
    <m/>
    <s v="Uitgave"/>
    <n v="-5.7"/>
    <x v="1"/>
    <s v="OK"/>
  </r>
  <r>
    <d v="2025-04-14T00:00:00"/>
    <x v="3"/>
    <n v="-42.6"/>
    <x v="47"/>
    <m/>
    <s v="Uitgave"/>
    <n v="-42.6"/>
    <x v="1"/>
    <s v="OK"/>
  </r>
  <r>
    <d v="2025-04-14T00:00:00"/>
    <x v="3"/>
    <n v="-5"/>
    <x v="4"/>
    <m/>
    <s v="Uitgave"/>
    <n v="-5"/>
    <x v="2"/>
    <s v="OK"/>
  </r>
  <r>
    <d v="2025-04-14T00:00:00"/>
    <x v="3"/>
    <n v="-79.98"/>
    <x v="12"/>
    <m/>
    <s v="Uitgave"/>
    <n v="-79.98"/>
    <x v="1"/>
    <s v="OK"/>
  </r>
  <r>
    <d v="2025-04-14T00:00:00"/>
    <x v="3"/>
    <n v="-8"/>
    <x v="4"/>
    <m/>
    <s v="Uitgave"/>
    <n v="-8"/>
    <x v="2"/>
    <s v="OK"/>
  </r>
  <r>
    <d v="2025-04-14T00:00:00"/>
    <x v="3"/>
    <n v="-2.19"/>
    <x v="4"/>
    <m/>
    <s v="Uitgave"/>
    <n v="-2.19"/>
    <x v="2"/>
    <s v="OK"/>
  </r>
  <r>
    <d v="2025-04-15T00:00:00"/>
    <x v="3"/>
    <n v="-201.19"/>
    <x v="49"/>
    <m/>
    <s v="Uitgave"/>
    <n v="-201.19"/>
    <x v="1"/>
    <s v="OK"/>
  </r>
  <r>
    <d v="2025-04-15T00:00:00"/>
    <x v="3"/>
    <n v="-18.399999999999999"/>
    <x v="8"/>
    <m/>
    <s v="Uitgave"/>
    <n v="-18.399999999999999"/>
    <x v="1"/>
    <s v="OK"/>
  </r>
  <r>
    <d v="2025-04-15T00:00:00"/>
    <x v="3"/>
    <n v="-8.5"/>
    <x v="8"/>
    <m/>
    <s v="Uitgave"/>
    <n v="-8.5"/>
    <x v="1"/>
    <s v="OK"/>
  </r>
  <r>
    <d v="2025-04-15T00:00:00"/>
    <x v="3"/>
    <n v="-150"/>
    <x v="35"/>
    <m/>
    <s v="Uitgave"/>
    <n v="-150"/>
    <x v="1"/>
    <s v="OK"/>
  </r>
  <r>
    <d v="2025-04-15T00:00:00"/>
    <x v="3"/>
    <n v="-7.95"/>
    <x v="4"/>
    <m/>
    <s v="Uitgave"/>
    <n v="-7.95"/>
    <x v="2"/>
    <s v="OK"/>
  </r>
  <r>
    <d v="2025-04-15T00:00:00"/>
    <x v="3"/>
    <n v="-5"/>
    <x v="4"/>
    <m/>
    <s v="Uitgave"/>
    <n v="-5"/>
    <x v="2"/>
    <s v="OK"/>
  </r>
  <r>
    <d v="2025-04-16T00:00:00"/>
    <x v="3"/>
    <n v="-30.3"/>
    <x v="9"/>
    <m/>
    <s v="Uitgave"/>
    <n v="-30.3"/>
    <x v="1"/>
    <s v="OK"/>
  </r>
  <r>
    <d v="2025-04-16T00:00:00"/>
    <x v="3"/>
    <n v="-7"/>
    <x v="50"/>
    <m/>
    <s v="Uitgave"/>
    <n v="-7"/>
    <x v="1"/>
    <s v="OK"/>
  </r>
  <r>
    <d v="2025-04-16T00:00:00"/>
    <x v="3"/>
    <n v="-18.260000000000002"/>
    <x v="2"/>
    <m/>
    <s v="Uitgave"/>
    <n v="-18.260000000000002"/>
    <x v="2"/>
    <s v="OK"/>
  </r>
  <r>
    <d v="2025-04-16T00:00:00"/>
    <x v="3"/>
    <n v="-23.52"/>
    <x v="2"/>
    <m/>
    <s v="Uitgave"/>
    <n v="-23.52"/>
    <x v="2"/>
    <s v="OK"/>
  </r>
  <r>
    <d v="2025-04-16T00:00:00"/>
    <x v="3"/>
    <n v="-120.6"/>
    <x v="10"/>
    <m/>
    <s v="Uitgave"/>
    <n v="-120.6"/>
    <x v="1"/>
    <s v="OK"/>
  </r>
  <r>
    <d v="2025-04-16T00:00:00"/>
    <x v="3"/>
    <n v="-85"/>
    <x v="27"/>
    <m/>
    <s v="Uitgave"/>
    <n v="-85"/>
    <x v="2"/>
    <s v="OK"/>
  </r>
  <r>
    <d v="2025-04-16T00:00:00"/>
    <x v="3"/>
    <n v="-81.66"/>
    <x v="27"/>
    <m/>
    <s v="Uitgave"/>
    <n v="-81.66"/>
    <x v="2"/>
    <s v="OK"/>
  </r>
  <r>
    <d v="2025-04-17T00:00:00"/>
    <x v="3"/>
    <n v="72"/>
    <x v="1"/>
    <m/>
    <s v="Inkomst"/>
    <n v="72"/>
    <x v="1"/>
    <s v="OK"/>
  </r>
  <r>
    <d v="2025-04-17T00:00:00"/>
    <x v="3"/>
    <n v="-1.66"/>
    <x v="4"/>
    <m/>
    <s v="Uitgave"/>
    <n v="-1.66"/>
    <x v="2"/>
    <s v="OK"/>
  </r>
  <r>
    <d v="2025-04-17T00:00:00"/>
    <x v="3"/>
    <n v="-16.46"/>
    <x v="2"/>
    <m/>
    <s v="Uitgave"/>
    <n v="-16.46"/>
    <x v="2"/>
    <s v="OK"/>
  </r>
  <r>
    <d v="2025-04-17T00:00:00"/>
    <x v="3"/>
    <n v="-8.75"/>
    <x v="4"/>
    <m/>
    <s v="Uitgave"/>
    <n v="-8.75"/>
    <x v="2"/>
    <s v="OK"/>
  </r>
  <r>
    <d v="2025-04-17T00:00:00"/>
    <x v="3"/>
    <n v="-5"/>
    <x v="4"/>
    <m/>
    <s v="Uitgave"/>
    <n v="-5"/>
    <x v="2"/>
    <s v="OK"/>
  </r>
  <r>
    <d v="2025-04-17T00:00:00"/>
    <x v="3"/>
    <n v="-108"/>
    <x v="8"/>
    <m/>
    <s v="Uitgave"/>
    <n v="-108"/>
    <x v="1"/>
    <s v="OK"/>
  </r>
  <r>
    <d v="2025-04-17T00:00:00"/>
    <x v="3"/>
    <n v="-8.1"/>
    <x v="2"/>
    <m/>
    <s v="Uitgave"/>
    <n v="-8.1"/>
    <x v="2"/>
    <s v="OK"/>
  </r>
  <r>
    <d v="2025-04-18T00:00:00"/>
    <x v="3"/>
    <n v="-19"/>
    <x v="2"/>
    <m/>
    <s v="Uitgave"/>
    <n v="-19"/>
    <x v="2"/>
    <s v="OK"/>
  </r>
  <r>
    <d v="2025-04-18T00:00:00"/>
    <x v="3"/>
    <n v="-17"/>
    <x v="34"/>
    <m/>
    <s v="Uitgave"/>
    <n v="-17"/>
    <x v="1"/>
    <s v="OK"/>
  </r>
  <r>
    <d v="2025-04-22T00:00:00"/>
    <x v="3"/>
    <n v="-2"/>
    <x v="17"/>
    <m/>
    <s v="Uitgave"/>
    <n v="-2"/>
    <x v="1"/>
    <s v="OK"/>
  </r>
  <r>
    <d v="2025-04-22T00:00:00"/>
    <x v="3"/>
    <n v="-5"/>
    <x v="17"/>
    <m/>
    <s v="Uitgave"/>
    <n v="-5"/>
    <x v="1"/>
    <s v="OK"/>
  </r>
  <r>
    <d v="2025-04-22T00:00:00"/>
    <x v="3"/>
    <n v="-32.020000000000003"/>
    <x v="2"/>
    <m/>
    <s v="Uitgave"/>
    <n v="-32.020000000000003"/>
    <x v="2"/>
    <s v="OK"/>
  </r>
  <r>
    <d v="2025-04-22T00:00:00"/>
    <x v="3"/>
    <n v="-19.670000000000002"/>
    <x v="2"/>
    <m/>
    <s v="Uitgave"/>
    <n v="-19.670000000000002"/>
    <x v="2"/>
    <s v="OK"/>
  </r>
  <r>
    <d v="2025-04-22T00:00:00"/>
    <x v="3"/>
    <n v="-5"/>
    <x v="51"/>
    <m/>
    <s v="Uitgave"/>
    <n v="-5"/>
    <x v="2"/>
    <s v="OK"/>
  </r>
  <r>
    <d v="2025-04-22T00:00:00"/>
    <x v="3"/>
    <n v="-7.89"/>
    <x v="4"/>
    <m/>
    <s v="Uitgave"/>
    <n v="-7.89"/>
    <x v="2"/>
    <s v="OK"/>
  </r>
  <r>
    <d v="2025-04-22T00:00:00"/>
    <x v="3"/>
    <n v="-5"/>
    <x v="4"/>
    <m/>
    <s v="Uitgave"/>
    <n v="-5"/>
    <x v="2"/>
    <s v="OK"/>
  </r>
  <r>
    <d v="2025-04-22T00:00:00"/>
    <x v="3"/>
    <n v="-13.99"/>
    <x v="29"/>
    <m/>
    <s v="Uitgave"/>
    <n v="-13.99"/>
    <x v="1"/>
    <s v="OK"/>
  </r>
  <r>
    <d v="2025-04-22T00:00:00"/>
    <x v="3"/>
    <n v="-10.47"/>
    <x v="4"/>
    <m/>
    <s v="Uitgave"/>
    <n v="-10.47"/>
    <x v="2"/>
    <s v="OK"/>
  </r>
  <r>
    <d v="2025-04-22T00:00:00"/>
    <x v="3"/>
    <n v="-5"/>
    <x v="4"/>
    <m/>
    <s v="Uitgave"/>
    <n v="-5"/>
    <x v="2"/>
    <s v="OK"/>
  </r>
  <r>
    <d v="2025-04-22T00:00:00"/>
    <x v="3"/>
    <n v="-81.8"/>
    <x v="52"/>
    <m/>
    <s v="Uitgave"/>
    <n v="-81.8"/>
    <x v="1"/>
    <s v="OK"/>
  </r>
  <r>
    <d v="2025-04-22T00:00:00"/>
    <x v="3"/>
    <n v="-8.7899999999999991"/>
    <x v="2"/>
    <m/>
    <s v="Uitgave"/>
    <n v="-8.7899999999999991"/>
    <x v="2"/>
    <s v="OK"/>
  </r>
  <r>
    <d v="2025-04-22T00:00:00"/>
    <x v="3"/>
    <n v="-6.88"/>
    <x v="2"/>
    <m/>
    <s v="Uitgave"/>
    <n v="-6.88"/>
    <x v="2"/>
    <s v="OK"/>
  </r>
  <r>
    <d v="2025-04-22T00:00:00"/>
    <x v="3"/>
    <n v="-6.79"/>
    <x v="2"/>
    <m/>
    <s v="Uitgave"/>
    <n v="-6.79"/>
    <x v="2"/>
    <s v="OK"/>
  </r>
  <r>
    <d v="2025-04-22T00:00:00"/>
    <x v="3"/>
    <n v="-24.07"/>
    <x v="2"/>
    <m/>
    <s v="Uitgave"/>
    <n v="-24.07"/>
    <x v="2"/>
    <s v="OK"/>
  </r>
  <r>
    <d v="2025-04-22T00:00:00"/>
    <x v="3"/>
    <n v="-3.4"/>
    <x v="4"/>
    <m/>
    <s v="Uitgave"/>
    <n v="-3.4"/>
    <x v="2"/>
    <s v="OK"/>
  </r>
  <r>
    <d v="2025-04-22T00:00:00"/>
    <x v="3"/>
    <n v="-99.1"/>
    <x v="10"/>
    <m/>
    <s v="Uitgave"/>
    <n v="-99.1"/>
    <x v="1"/>
    <s v="OK"/>
  </r>
  <r>
    <d v="2025-04-22T00:00:00"/>
    <x v="3"/>
    <n v="-48.28"/>
    <x v="2"/>
    <m/>
    <s v="Uitgave"/>
    <n v="-48.28"/>
    <x v="2"/>
    <s v="OK"/>
  </r>
  <r>
    <d v="2025-04-22T00:00:00"/>
    <x v="3"/>
    <n v="-5"/>
    <x v="5"/>
    <m/>
    <s v="Uitgave"/>
    <n v="-5"/>
    <x v="1"/>
    <s v="OK"/>
  </r>
  <r>
    <d v="2025-04-22T00:00:00"/>
    <x v="3"/>
    <n v="-5"/>
    <x v="5"/>
    <m/>
    <s v="Uitgave"/>
    <n v="-5"/>
    <x v="1"/>
    <s v="OK"/>
  </r>
  <r>
    <d v="2025-04-22T00:00:00"/>
    <x v="3"/>
    <n v="-2.69"/>
    <x v="2"/>
    <m/>
    <s v="Uitgave"/>
    <n v="-2.69"/>
    <x v="2"/>
    <s v="OK"/>
  </r>
  <r>
    <d v="2025-04-22T00:00:00"/>
    <x v="3"/>
    <n v="-16.98"/>
    <x v="8"/>
    <m/>
    <s v="Uitgave"/>
    <n v="-16.98"/>
    <x v="1"/>
    <s v="OK"/>
  </r>
  <r>
    <d v="2025-04-22T00:00:00"/>
    <x v="3"/>
    <n v="-5.99"/>
    <x v="8"/>
    <m/>
    <s v="Uitgave"/>
    <n v="-5.99"/>
    <x v="1"/>
    <s v="OK"/>
  </r>
  <r>
    <d v="2025-04-22T00:00:00"/>
    <x v="3"/>
    <n v="8"/>
    <x v="17"/>
    <m/>
    <s v="Inkomst"/>
    <n v="8"/>
    <x v="1"/>
    <s v="OK"/>
  </r>
  <r>
    <d v="2025-04-22T00:00:00"/>
    <x v="3"/>
    <n v="-33.549999999999997"/>
    <x v="31"/>
    <m/>
    <s v="Uitgave"/>
    <n v="-33.549999999999997"/>
    <x v="2"/>
    <s v="OK"/>
  </r>
  <r>
    <d v="2025-04-22T00:00:00"/>
    <x v="3"/>
    <n v="-53.29"/>
    <x v="33"/>
    <m/>
    <s v="Uitgave"/>
    <n v="-53.29"/>
    <x v="2"/>
    <s v="OK"/>
  </r>
  <r>
    <d v="2025-04-22T00:00:00"/>
    <x v="3"/>
    <n v="-29.99"/>
    <x v="30"/>
    <m/>
    <s v="Uitgave"/>
    <n v="-29.99"/>
    <x v="2"/>
    <s v="OK"/>
  </r>
  <r>
    <d v="2025-04-23T00:00:00"/>
    <x v="3"/>
    <n v="-32.9"/>
    <x v="9"/>
    <m/>
    <s v="Uitgave"/>
    <n v="-32.9"/>
    <x v="1"/>
    <s v="OK"/>
  </r>
  <r>
    <d v="2025-04-23T00:00:00"/>
    <x v="3"/>
    <n v="-5.85"/>
    <x v="5"/>
    <m/>
    <s v="Uitgave"/>
    <n v="-5.85"/>
    <x v="1"/>
    <s v="OK"/>
  </r>
  <r>
    <d v="2025-04-23T00:00:00"/>
    <x v="3"/>
    <n v="-6.55"/>
    <x v="2"/>
    <m/>
    <s v="Uitgave"/>
    <n v="-6.55"/>
    <x v="2"/>
    <s v="OK"/>
  </r>
  <r>
    <d v="2025-04-23T00:00:00"/>
    <x v="3"/>
    <n v="-1.5"/>
    <x v="11"/>
    <m/>
    <s v="Uitgave"/>
    <n v="-1.5"/>
    <x v="1"/>
    <s v="OK"/>
  </r>
  <r>
    <d v="2025-04-23T00:00:00"/>
    <x v="3"/>
    <n v="-3.7"/>
    <x v="2"/>
    <m/>
    <s v="Uitgave"/>
    <n v="-3.7"/>
    <x v="2"/>
    <s v="OK"/>
  </r>
  <r>
    <d v="2025-04-23T00:00:00"/>
    <x v="3"/>
    <n v="-11.24"/>
    <x v="2"/>
    <m/>
    <s v="Uitgave"/>
    <n v="-11.24"/>
    <x v="2"/>
    <s v="OK"/>
  </r>
  <r>
    <d v="2025-04-23T00:00:00"/>
    <x v="3"/>
    <n v="-14.42"/>
    <x v="2"/>
    <m/>
    <s v="Uitgave"/>
    <n v="-14.42"/>
    <x v="2"/>
    <s v="OK"/>
  </r>
  <r>
    <d v="2025-04-23T00:00:00"/>
    <x v="3"/>
    <n v="7"/>
    <x v="32"/>
    <m/>
    <s v="Inkomst"/>
    <n v="7"/>
    <x v="1"/>
    <s v="OK"/>
  </r>
  <r>
    <d v="2025-04-24T00:00:00"/>
    <x v="3"/>
    <n v="-1.5"/>
    <x v="11"/>
    <m/>
    <s v="Uitgave"/>
    <n v="-1.5"/>
    <x v="1"/>
    <s v="OK"/>
  </r>
  <r>
    <d v="2025-04-24T00:00:00"/>
    <x v="3"/>
    <n v="-1.5"/>
    <x v="11"/>
    <m/>
    <s v="Uitgave"/>
    <n v="-1.5"/>
    <x v="1"/>
    <s v="OK"/>
  </r>
  <r>
    <d v="2025-04-24T00:00:00"/>
    <x v="3"/>
    <n v="-12.84"/>
    <x v="2"/>
    <m/>
    <s v="Uitgave"/>
    <n v="-12.84"/>
    <x v="2"/>
    <s v="OK"/>
  </r>
  <r>
    <d v="2025-04-25T00:00:00"/>
    <x v="3"/>
    <n v="-4"/>
    <x v="16"/>
    <m/>
    <s v="Uitgave"/>
    <n v="-4"/>
    <x v="2"/>
    <s v="OK"/>
  </r>
  <r>
    <d v="2025-04-25T00:00:00"/>
    <x v="3"/>
    <n v="-4.0999999999999996"/>
    <x v="2"/>
    <m/>
    <s v="Uitgave"/>
    <n v="-4.0999999999999996"/>
    <x v="2"/>
    <s v="OK"/>
  </r>
  <r>
    <d v="2025-04-25T00:00:00"/>
    <x v="3"/>
    <n v="-1.5"/>
    <x v="11"/>
    <m/>
    <s v="Uitgave"/>
    <n v="-1.5"/>
    <x v="1"/>
    <s v="OK"/>
  </r>
  <r>
    <d v="2025-04-25T00:00:00"/>
    <x v="3"/>
    <n v="-1.1000000000000001"/>
    <x v="11"/>
    <m/>
    <s v="Uitgave"/>
    <n v="-1.1000000000000001"/>
    <x v="1"/>
    <s v="OK"/>
  </r>
  <r>
    <d v="2025-04-25T00:00:00"/>
    <x v="3"/>
    <n v="-18.91"/>
    <x v="2"/>
    <m/>
    <s v="Uitgave"/>
    <n v="-18.91"/>
    <x v="2"/>
    <s v="OK"/>
  </r>
  <r>
    <d v="2025-04-25T00:00:00"/>
    <x v="3"/>
    <n v="-30.99"/>
    <x v="29"/>
    <m/>
    <s v="Uitgave"/>
    <n v="-30.99"/>
    <x v="1"/>
    <s v="OK"/>
  </r>
  <r>
    <d v="2025-04-25T00:00:00"/>
    <x v="3"/>
    <n v="-113.49"/>
    <x v="33"/>
    <m/>
    <s v="Uitgave"/>
    <n v="-113.49"/>
    <x v="2"/>
    <s v="OK"/>
  </r>
  <r>
    <d v="2025-04-26T00:00:00"/>
    <x v="3"/>
    <n v="-10"/>
    <x v="8"/>
    <m/>
    <s v="Uitgave"/>
    <n v="-10"/>
    <x v="1"/>
    <s v="OK"/>
  </r>
  <r>
    <d v="2025-04-26T00:00:00"/>
    <x v="3"/>
    <n v="-25"/>
    <x v="13"/>
    <m/>
    <s v="Uitgave"/>
    <n v="-25"/>
    <x v="2"/>
    <s v="OK"/>
  </r>
  <r>
    <d v="2025-04-27T00:00:00"/>
    <x v="3"/>
    <n v="-21.78"/>
    <x v="14"/>
    <m/>
    <s v="Uitgave"/>
    <n v="-21.78"/>
    <x v="1"/>
    <s v="OK"/>
  </r>
  <r>
    <d v="2025-04-27T00:00:00"/>
    <x v="3"/>
    <n v="-16.2"/>
    <x v="9"/>
    <m/>
    <s v="Uitgave"/>
    <n v="-16.2"/>
    <x v="1"/>
    <s v="OK"/>
  </r>
  <r>
    <d v="2025-04-27T00:00:00"/>
    <x v="3"/>
    <n v="-6.4"/>
    <x v="9"/>
    <m/>
    <s v="Uitgave"/>
    <n v="-6.4"/>
    <x v="1"/>
    <s v="OK"/>
  </r>
  <r>
    <d v="2025-04-28T00:00:00"/>
    <x v="3"/>
    <n v="-3"/>
    <x v="17"/>
    <m/>
    <s v="Uitgave"/>
    <n v="-3"/>
    <x v="1"/>
    <s v="OK"/>
  </r>
  <r>
    <d v="2025-04-28T00:00:00"/>
    <x v="3"/>
    <n v="-28.71"/>
    <x v="2"/>
    <m/>
    <s v="Uitgave"/>
    <n v="-28.71"/>
    <x v="2"/>
    <s v="OK"/>
  </r>
  <r>
    <d v="2025-04-28T00:00:00"/>
    <x v="3"/>
    <n v="-23.05"/>
    <x v="2"/>
    <m/>
    <s v="Uitgave"/>
    <n v="-23.05"/>
    <x v="2"/>
    <s v="OK"/>
  </r>
  <r>
    <d v="2025-04-28T00:00:00"/>
    <x v="3"/>
    <n v="-5.25"/>
    <x v="2"/>
    <m/>
    <s v="Uitgave"/>
    <n v="-5.25"/>
    <x v="2"/>
    <s v="OK"/>
  </r>
  <r>
    <d v="2025-04-28T00:00:00"/>
    <x v="3"/>
    <n v="-17"/>
    <x v="2"/>
    <m/>
    <s v="Uitgave"/>
    <n v="-17"/>
    <x v="2"/>
    <s v="OK"/>
  </r>
  <r>
    <d v="2025-04-28T00:00:00"/>
    <x v="3"/>
    <n v="-6"/>
    <x v="17"/>
    <m/>
    <s v="Uitgave"/>
    <n v="-6"/>
    <x v="1"/>
    <s v="OK"/>
  </r>
  <r>
    <d v="2025-04-28T00:00:00"/>
    <x v="3"/>
    <n v="-3"/>
    <x v="5"/>
    <m/>
    <s v="Uitgave"/>
    <n v="-3"/>
    <x v="1"/>
    <s v="OK"/>
  </r>
  <r>
    <d v="2025-04-28T00:00:00"/>
    <x v="3"/>
    <n v="-5"/>
    <x v="17"/>
    <m/>
    <s v="Uitgave"/>
    <n v="-5"/>
    <x v="1"/>
    <s v="OK"/>
  </r>
  <r>
    <d v="2025-04-28T00:00:00"/>
    <x v="3"/>
    <n v="-10"/>
    <x v="8"/>
    <m/>
    <s v="Uitgave"/>
    <n v="-10"/>
    <x v="1"/>
    <s v="OK"/>
  </r>
  <r>
    <d v="2025-04-28T00:00:00"/>
    <x v="3"/>
    <n v="-8"/>
    <x v="8"/>
    <m/>
    <s v="Uitgave"/>
    <n v="-8"/>
    <x v="1"/>
    <s v="OK"/>
  </r>
  <r>
    <d v="2025-04-28T00:00:00"/>
    <x v="3"/>
    <n v="-1.5"/>
    <x v="11"/>
    <m/>
    <s v="Uitgave"/>
    <n v="-1.5"/>
    <x v="1"/>
    <s v="OK"/>
  </r>
  <r>
    <d v="2025-04-28T00:00:00"/>
    <x v="3"/>
    <n v="-1.5"/>
    <x v="11"/>
    <m/>
    <s v="Uitgave"/>
    <n v="-1.5"/>
    <x v="1"/>
    <s v="OK"/>
  </r>
  <r>
    <d v="2025-04-28T00:00:00"/>
    <x v="3"/>
    <n v="-1.1000000000000001"/>
    <x v="11"/>
    <m/>
    <s v="Uitgave"/>
    <n v="-1.1000000000000001"/>
    <x v="1"/>
    <s v="OK"/>
  </r>
  <r>
    <d v="2025-04-28T00:00:00"/>
    <x v="3"/>
    <n v="-1.5"/>
    <x v="11"/>
    <m/>
    <s v="Uitgave"/>
    <n v="-1.5"/>
    <x v="1"/>
    <s v="OK"/>
  </r>
  <r>
    <d v="2025-04-28T00:00:00"/>
    <x v="3"/>
    <n v="-8.42"/>
    <x v="2"/>
    <m/>
    <s v="Uitgave"/>
    <n v="-8.42"/>
    <x v="2"/>
    <s v="OK"/>
  </r>
  <r>
    <d v="2025-04-28T00:00:00"/>
    <x v="3"/>
    <n v="-14.99"/>
    <x v="30"/>
    <m/>
    <s v="Uitgave"/>
    <n v="-14.99"/>
    <x v="2"/>
    <s v="OK"/>
  </r>
  <r>
    <d v="2025-04-29T00:00:00"/>
    <x v="3"/>
    <n v="-0.9"/>
    <x v="11"/>
    <m/>
    <s v="Uitgave"/>
    <n v="-0.9"/>
    <x v="1"/>
    <s v="OK"/>
  </r>
  <r>
    <d v="2025-04-29T00:00:00"/>
    <x v="3"/>
    <n v="-12.9"/>
    <x v="2"/>
    <m/>
    <s v="Uitgave"/>
    <n v="-12.9"/>
    <x v="2"/>
    <s v="OK"/>
  </r>
  <r>
    <d v="2025-04-29T00:00:00"/>
    <x v="3"/>
    <n v="-1.5"/>
    <x v="11"/>
    <m/>
    <s v="Uitgave"/>
    <n v="-1.5"/>
    <x v="1"/>
    <s v="OK"/>
  </r>
  <r>
    <d v="2025-04-29T00:00:00"/>
    <x v="3"/>
    <n v="-19.600000000000001"/>
    <x v="2"/>
    <m/>
    <s v="Uitgave"/>
    <n v="-19.600000000000001"/>
    <x v="2"/>
    <s v="OK"/>
  </r>
  <r>
    <d v="2025-04-30T00:00:00"/>
    <x v="3"/>
    <n v="-24.2"/>
    <x v="16"/>
    <m/>
    <s v="Uitgave"/>
    <n v="-24.2"/>
    <x v="2"/>
    <s v="OK"/>
  </r>
  <r>
    <d v="2025-04-30T00:00:00"/>
    <x v="3"/>
    <n v="-1.5"/>
    <x v="40"/>
    <m/>
    <s v="Uitgave"/>
    <n v="-1.5"/>
    <x v="2"/>
    <s v="OK"/>
  </r>
  <r>
    <d v="2025-04-30T00:00:00"/>
    <x v="3"/>
    <n v="-0.9"/>
    <x v="11"/>
    <m/>
    <s v="Uitgave"/>
    <n v="-0.9"/>
    <x v="1"/>
    <s v="OK"/>
  </r>
  <r>
    <d v="2025-04-30T00:00:00"/>
    <x v="3"/>
    <n v="-0.9"/>
    <x v="11"/>
    <m/>
    <s v="Uitgave"/>
    <n v="-0.9"/>
    <x v="1"/>
    <s v="OK"/>
  </r>
  <r>
    <d v="2025-04-30T00:00:00"/>
    <x v="3"/>
    <n v="-11.7"/>
    <x v="2"/>
    <m/>
    <s v="Uitgave"/>
    <n v="-11.7"/>
    <x v="2"/>
    <s v="OK"/>
  </r>
  <r>
    <d v="2025-04-30T00:00:00"/>
    <x v="3"/>
    <n v="-2.7"/>
    <x v="7"/>
    <m/>
    <s v="Uitgave"/>
    <n v="-2.7"/>
    <x v="1"/>
    <s v="OK"/>
  </r>
  <r>
    <d v="2025-04-30T00:00:00"/>
    <x v="3"/>
    <n v="-3.69"/>
    <x v="48"/>
    <m/>
    <s v="Uitgave"/>
    <n v="-3.69"/>
    <x v="1"/>
    <s v="OK"/>
  </r>
  <r>
    <d v="2025-04-30T00:00:00"/>
    <x v="3"/>
    <n v="-9.5299999999999994"/>
    <x v="2"/>
    <m/>
    <s v="Uitgave"/>
    <n v="-9.5299999999999994"/>
    <x v="2"/>
    <s v="OK"/>
  </r>
  <r>
    <d v="2025-04-30T00:00:00"/>
    <x v="3"/>
    <n v="-7.38"/>
    <x v="2"/>
    <m/>
    <s v="Uitgave"/>
    <n v="-7.38"/>
    <x v="2"/>
    <s v="OK"/>
  </r>
  <r>
    <d v="2025-04-30T00:00:00"/>
    <x v="3"/>
    <n v="-35.58"/>
    <x v="2"/>
    <m/>
    <s v="Uitgave"/>
    <n v="-35.58"/>
    <x v="2"/>
    <s v="OK"/>
  </r>
  <r>
    <d v="2025-04-30T00:00:00"/>
    <x v="3"/>
    <n v="-10.73"/>
    <x v="2"/>
    <m/>
    <s v="Uitgave"/>
    <n v="-10.73"/>
    <x v="2"/>
    <s v="OK"/>
  </r>
  <r>
    <d v="2025-04-30T00:00:00"/>
    <x v="3"/>
    <n v="-91.08"/>
    <x v="17"/>
    <m/>
    <s v="Uitgave"/>
    <n v="-91.08"/>
    <x v="1"/>
    <s v="OK"/>
  </r>
  <r>
    <d v="2025-04-30T00:00:00"/>
    <x v="3"/>
    <n v="-10"/>
    <x v="44"/>
    <m/>
    <s v="Uitgave"/>
    <n v="-10"/>
    <x v="1"/>
    <s v="OK"/>
  </r>
  <r>
    <d v="2025-04-30T00:00:00"/>
    <x v="3"/>
    <n v="-66.03"/>
    <x v="37"/>
    <m/>
    <s v="Uitgave"/>
    <n v="-66.03"/>
    <x v="2"/>
    <s v="OK"/>
  </r>
  <r>
    <d v="2025-04-30T00:00:00"/>
    <x v="3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4-30T00:00:00"/>
    <x v="3"/>
    <n v="-586.12"/>
    <x v="36"/>
    <m/>
    <s v="Uitgave"/>
    <n v="-586.12"/>
    <x v="2"/>
    <s v="OK"/>
  </r>
  <r>
    <d v="2025-05-01T00:00:00"/>
    <x v="4"/>
    <n v="2582.21"/>
    <x v="0"/>
    <m/>
    <s v="Inkomst"/>
    <n v="2582.21"/>
    <x v="0"/>
    <s v="OK"/>
  </r>
  <r>
    <d v="2025-05-01T00:00:00"/>
    <x v="4"/>
    <n v="2376.23"/>
    <x v="0"/>
    <m/>
    <s v="Inkomst"/>
    <n v="2376.23"/>
    <x v="0"/>
    <s v="OK"/>
  </r>
  <r>
    <d v="2025-05-01T00:00:00"/>
    <x v="4"/>
    <n v="66"/>
    <x v="17"/>
    <m/>
    <s v="Inkomst"/>
    <n v="66"/>
    <x v="1"/>
    <s v="OK"/>
  </r>
  <r>
    <d v="2025-05-01T00:00:00"/>
    <x v="4"/>
    <n v="-13.9"/>
    <x v="8"/>
    <m/>
    <s v="Uitgave"/>
    <n v="-13.9"/>
    <x v="1"/>
    <s v="OK"/>
  </r>
  <r>
    <d v="2025-05-01T00:00:00"/>
    <x v="4"/>
    <n v="-12.8"/>
    <x v="8"/>
    <m/>
    <s v="Uitgave"/>
    <n v="-12.8"/>
    <x v="1"/>
    <s v="OK"/>
  </r>
  <r>
    <d v="2025-05-01T00:00:00"/>
    <x v="4"/>
    <n v="-899.89"/>
    <x v="46"/>
    <m/>
    <s v="Uitgave"/>
    <n v="-899.89"/>
    <x v="1"/>
    <s v="OK"/>
  </r>
  <r>
    <d v="2025-05-01T00:00:00"/>
    <x v="4"/>
    <n v="1760"/>
    <x v="0"/>
    <s v="maaltijdchecques"/>
    <s v="Inkomst"/>
    <n v="1760"/>
    <x v="0"/>
    <s v="OK"/>
  </r>
  <r>
    <d v="2025-05-02T00:00:00"/>
    <x v="4"/>
    <n v="-65.599999999999994"/>
    <x v="9"/>
    <m/>
    <s v="Uitgave"/>
    <n v="-65.599999999999994"/>
    <x v="1"/>
    <s v="OK"/>
  </r>
  <r>
    <d v="2025-05-02T00:00:00"/>
    <x v="4"/>
    <n v="-30.09"/>
    <x v="9"/>
    <m/>
    <s v="Uitgave"/>
    <n v="-30.09"/>
    <x v="1"/>
    <s v="OK"/>
  </r>
  <r>
    <d v="2025-05-02T00:00:00"/>
    <x v="4"/>
    <n v="-27.9"/>
    <x v="9"/>
    <m/>
    <s v="Uitgave"/>
    <n v="-27.9"/>
    <x v="1"/>
    <s v="OK"/>
  </r>
  <r>
    <d v="2025-05-02T00:00:00"/>
    <x v="4"/>
    <n v="-36.799999999999997"/>
    <x v="17"/>
    <m/>
    <s v="Uitgave"/>
    <n v="-36.799999999999997"/>
    <x v="1"/>
    <s v="OK"/>
  </r>
  <r>
    <d v="2025-05-02T00:00:00"/>
    <x v="4"/>
    <n v="-30.7"/>
    <x v="2"/>
    <m/>
    <s v="Uitgave"/>
    <n v="-30.7"/>
    <x v="2"/>
    <s v="OK"/>
  </r>
  <r>
    <d v="2025-05-02T00:00:00"/>
    <x v="4"/>
    <n v="-13.04"/>
    <x v="10"/>
    <m/>
    <s v="Uitgave"/>
    <n v="-13.04"/>
    <x v="1"/>
    <s v="OK"/>
  </r>
  <r>
    <d v="2025-05-02T00:00:00"/>
    <x v="4"/>
    <n v="-58.19"/>
    <x v="10"/>
    <m/>
    <s v="Uitgave"/>
    <n v="-58.19"/>
    <x v="1"/>
    <s v="OK"/>
  </r>
  <r>
    <d v="2025-05-02T00:00:00"/>
    <x v="4"/>
    <n v="-10"/>
    <x v="8"/>
    <m/>
    <s v="Uitgave"/>
    <n v="-10"/>
    <x v="1"/>
    <s v="OK"/>
  </r>
  <r>
    <d v="2025-05-02T00:00:00"/>
    <x v="4"/>
    <n v="-25"/>
    <x v="17"/>
    <m/>
    <s v="Uitgave"/>
    <n v="-25"/>
    <x v="1"/>
    <s v="OK"/>
  </r>
  <r>
    <d v="2025-05-02T00:00:00"/>
    <x v="4"/>
    <n v="-9"/>
    <x v="5"/>
    <m/>
    <s v="Uitgave"/>
    <n v="-9"/>
    <x v="1"/>
    <s v="OK"/>
  </r>
  <r>
    <d v="2025-05-02T00:00:00"/>
    <x v="4"/>
    <n v="-5"/>
    <x v="8"/>
    <m/>
    <s v="Uitgave"/>
    <n v="-5"/>
    <x v="1"/>
    <s v="OK"/>
  </r>
  <r>
    <d v="2025-05-02T00:00:00"/>
    <x v="4"/>
    <n v="-6.67"/>
    <x v="2"/>
    <m/>
    <s v="Uitgave"/>
    <n v="-6.67"/>
    <x v="2"/>
    <s v="OK"/>
  </r>
  <r>
    <d v="2025-05-02T00:00:00"/>
    <x v="4"/>
    <n v="-2.0499999999999998"/>
    <x v="2"/>
    <m/>
    <s v="Uitgave"/>
    <n v="-2.0499999999999998"/>
    <x v="2"/>
    <s v="OK"/>
  </r>
  <r>
    <d v="2025-05-02T00:00:00"/>
    <x v="4"/>
    <n v="-0.99"/>
    <x v="53"/>
    <m/>
    <s v="Uitgave"/>
    <n v="-0.99"/>
    <x v="1"/>
    <s v="OK"/>
  </r>
  <r>
    <d v="2025-05-02T00:00:00"/>
    <x v="4"/>
    <n v="-1.8"/>
    <x v="11"/>
    <m/>
    <s v="Uitgave"/>
    <n v="-1.8"/>
    <x v="1"/>
    <s v="OK"/>
  </r>
  <r>
    <d v="2025-05-02T00:00:00"/>
    <x v="4"/>
    <n v="-3.9"/>
    <x v="2"/>
    <m/>
    <s v="Uitgave"/>
    <n v="-3.9"/>
    <x v="2"/>
    <s v="OK"/>
  </r>
  <r>
    <d v="2025-05-02T00:00:00"/>
    <x v="4"/>
    <n v="-45.25"/>
    <x v="3"/>
    <m/>
    <s v="Uitgave"/>
    <n v="-45.25"/>
    <x v="2"/>
    <s v="OK"/>
  </r>
  <r>
    <d v="2025-05-02T00:00:00"/>
    <x v="4"/>
    <n v="-12"/>
    <x v="28"/>
    <m/>
    <s v="Uitgave"/>
    <n v="-12"/>
    <x v="2"/>
    <s v="OK"/>
  </r>
  <r>
    <d v="2025-05-02T00:00:00"/>
    <x v="4"/>
    <n v="-5.5"/>
    <x v="9"/>
    <m/>
    <s v="Uitgave"/>
    <n v="-5.5"/>
    <x v="1"/>
    <s v="OK"/>
  </r>
  <r>
    <d v="2025-05-02T00:00:00"/>
    <x v="4"/>
    <n v="-5"/>
    <x v="17"/>
    <m/>
    <s v="Uitgave"/>
    <n v="-5"/>
    <x v="1"/>
    <s v="OK"/>
  </r>
  <r>
    <d v="2025-05-03T00:00:00"/>
    <x v="4"/>
    <n v="-47"/>
    <x v="8"/>
    <m/>
    <s v="Uitgave"/>
    <n v="-47"/>
    <x v="1"/>
    <s v="OK"/>
  </r>
  <r>
    <d v="2025-05-04T00:00:00"/>
    <x v="4"/>
    <n v="-11.55"/>
    <x v="54"/>
    <m/>
    <s v="Uitgave"/>
    <n v="-11.55"/>
    <x v="1"/>
    <s v="OK"/>
  </r>
  <r>
    <d v="2025-05-04T00:00:00"/>
    <x v="4"/>
    <n v="-7.8"/>
    <x v="8"/>
    <m/>
    <s v="Uitgave"/>
    <n v="-7.8"/>
    <x v="1"/>
    <s v="OK"/>
  </r>
  <r>
    <d v="2025-05-04T00:00:00"/>
    <x v="4"/>
    <n v="-20.05"/>
    <x v="2"/>
    <m/>
    <s v="Uitgave"/>
    <n v="-20.05"/>
    <x v="2"/>
    <s v="OK"/>
  </r>
  <r>
    <d v="2025-05-05T00:00:00"/>
    <x v="4"/>
    <n v="-30.1"/>
    <x v="9"/>
    <m/>
    <s v="Uitgave"/>
    <n v="-30.1"/>
    <x v="1"/>
    <s v="OK"/>
  </r>
  <r>
    <d v="2025-05-05T00:00:00"/>
    <x v="4"/>
    <n v="-2.5"/>
    <x v="2"/>
    <m/>
    <s v="Uitgave"/>
    <n v="-2.5"/>
    <x v="2"/>
    <s v="OK"/>
  </r>
  <r>
    <d v="2025-05-05T00:00:00"/>
    <x v="4"/>
    <n v="-9.7799999999999994"/>
    <x v="2"/>
    <m/>
    <s v="Uitgave"/>
    <n v="-9.7799999999999994"/>
    <x v="2"/>
    <s v="OK"/>
  </r>
  <r>
    <d v="2025-05-05T00:00:00"/>
    <x v="4"/>
    <n v="-12.57"/>
    <x v="2"/>
    <m/>
    <s v="Uitgave"/>
    <n v="-12.57"/>
    <x v="2"/>
    <s v="OK"/>
  </r>
  <r>
    <d v="2025-05-05T00:00:00"/>
    <x v="4"/>
    <n v="5.22"/>
    <x v="6"/>
    <m/>
    <s v="Inkomst"/>
    <n v="5.22"/>
    <x v="2"/>
    <s v="OK"/>
  </r>
  <r>
    <d v="2025-05-05T00:00:00"/>
    <x v="4"/>
    <n v="-29.99"/>
    <x v="29"/>
    <m/>
    <s v="Uitgave"/>
    <n v="-29.99"/>
    <x v="1"/>
    <s v="OK"/>
  </r>
  <r>
    <d v="2025-05-05T00:00:00"/>
    <x v="4"/>
    <n v="-13.57"/>
    <x v="2"/>
    <m/>
    <s v="Uitgave"/>
    <n v="-13.57"/>
    <x v="2"/>
    <s v="OK"/>
  </r>
  <r>
    <d v="2025-05-05T00:00:00"/>
    <x v="4"/>
    <n v="-116.5"/>
    <x v="47"/>
    <m/>
    <s v="Uitgave"/>
    <n v="-116.5"/>
    <x v="1"/>
    <s v="OK"/>
  </r>
  <r>
    <d v="2025-05-05T00:00:00"/>
    <x v="4"/>
    <n v="-20.5"/>
    <x v="50"/>
    <m/>
    <s v="Uitgave"/>
    <n v="-20.5"/>
    <x v="1"/>
    <s v="OK"/>
  </r>
  <r>
    <d v="2025-05-05T00:00:00"/>
    <x v="4"/>
    <n v="-18"/>
    <x v="2"/>
    <m/>
    <s v="Uitgave"/>
    <n v="-18"/>
    <x v="2"/>
    <s v="OK"/>
  </r>
  <r>
    <d v="2025-05-05T00:00:00"/>
    <x v="4"/>
    <n v="-11.58"/>
    <x v="2"/>
    <m/>
    <s v="Uitgave"/>
    <n v="-11.58"/>
    <x v="2"/>
    <s v="OK"/>
  </r>
  <r>
    <d v="2025-05-05T00:00:00"/>
    <x v="4"/>
    <n v="-20.71"/>
    <x v="20"/>
    <m/>
    <s v="Uitgave"/>
    <n v="-20.71"/>
    <x v="2"/>
    <s v="OK"/>
  </r>
  <r>
    <d v="2025-05-06T00:00:00"/>
    <x v="4"/>
    <n v="-7.47"/>
    <x v="2"/>
    <m/>
    <s v="Uitgave"/>
    <n v="-7.47"/>
    <x v="2"/>
    <s v="OK"/>
  </r>
  <r>
    <d v="2025-05-06T00:00:00"/>
    <x v="4"/>
    <n v="-5.29"/>
    <x v="2"/>
    <m/>
    <s v="Uitgave"/>
    <n v="-5.29"/>
    <x v="2"/>
    <s v="OK"/>
  </r>
  <r>
    <d v="2025-05-06T00:00:00"/>
    <x v="4"/>
    <n v="-8.43"/>
    <x v="2"/>
    <m/>
    <s v="Uitgave"/>
    <n v="-8.43"/>
    <x v="2"/>
    <s v="OK"/>
  </r>
  <r>
    <d v="2025-05-06T00:00:00"/>
    <x v="4"/>
    <n v="91.08"/>
    <x v="17"/>
    <m/>
    <s v="Inkomst"/>
    <n v="91.08"/>
    <x v="1"/>
    <s v="OK"/>
  </r>
  <r>
    <d v="2025-05-06T00:00:00"/>
    <x v="4"/>
    <n v="50"/>
    <x v="17"/>
    <m/>
    <s v="Inkomst"/>
    <n v="50"/>
    <x v="1"/>
    <s v="OK"/>
  </r>
  <r>
    <d v="2025-05-06T00:00:00"/>
    <x v="4"/>
    <n v="50"/>
    <x v="17"/>
    <m/>
    <s v="Inkomst"/>
    <n v="50"/>
    <x v="1"/>
    <s v="OK"/>
  </r>
  <r>
    <d v="2025-05-06T00:00:00"/>
    <x v="4"/>
    <n v="-0.9"/>
    <x v="11"/>
    <m/>
    <s v="Uitgave"/>
    <n v="-0.9"/>
    <x v="1"/>
    <s v="OK"/>
  </r>
  <r>
    <d v="2025-05-06T00:00:00"/>
    <x v="4"/>
    <n v="-1.5"/>
    <x v="11"/>
    <m/>
    <s v="Uitgave"/>
    <n v="-1.5"/>
    <x v="1"/>
    <s v="OK"/>
  </r>
  <r>
    <d v="2025-05-06T00:00:00"/>
    <x v="4"/>
    <n v="-9.68"/>
    <x v="2"/>
    <m/>
    <s v="Uitgave"/>
    <n v="-9.68"/>
    <x v="2"/>
    <s v="OK"/>
  </r>
  <r>
    <d v="2025-05-06T00:00:00"/>
    <x v="4"/>
    <n v="-46.24"/>
    <x v="4"/>
    <m/>
    <s v="Uitgave"/>
    <n v="-46.24"/>
    <x v="2"/>
    <s v="OK"/>
  </r>
  <r>
    <d v="2025-05-06T00:00:00"/>
    <x v="4"/>
    <n v="-120.26"/>
    <x v="16"/>
    <m/>
    <s v="Uitgave"/>
    <n v="-120.26"/>
    <x v="2"/>
    <s v="OK"/>
  </r>
  <r>
    <d v="2025-05-07T00:00:00"/>
    <x v="4"/>
    <n v="25"/>
    <x v="16"/>
    <m/>
    <s v="Inkomst"/>
    <n v="25"/>
    <x v="2"/>
    <s v="OK"/>
  </r>
  <r>
    <d v="2025-05-07T00:00:00"/>
    <x v="4"/>
    <n v="-38.5"/>
    <x v="9"/>
    <m/>
    <s v="Uitgave"/>
    <n v="-38.5"/>
    <x v="1"/>
    <s v="OK"/>
  </r>
  <r>
    <d v="2025-05-07T00:00:00"/>
    <x v="4"/>
    <n v="-19.989999999999998"/>
    <x v="10"/>
    <m/>
    <s v="Uitgave"/>
    <n v="-19.989999999999998"/>
    <x v="1"/>
    <s v="OK"/>
  </r>
  <r>
    <d v="2025-05-07T00:00:00"/>
    <x v="4"/>
    <n v="-12.36"/>
    <x v="2"/>
    <m/>
    <s v="Uitgave"/>
    <n v="-12.36"/>
    <x v="2"/>
    <s v="OK"/>
  </r>
  <r>
    <d v="2025-05-07T00:00:00"/>
    <x v="4"/>
    <n v="-1.5"/>
    <x v="11"/>
    <m/>
    <s v="Uitgave"/>
    <n v="-1.5"/>
    <x v="1"/>
    <s v="OK"/>
  </r>
  <r>
    <d v="2025-05-07T00:00:00"/>
    <x v="4"/>
    <n v="-810.65"/>
    <x v="19"/>
    <m/>
    <s v="Uitgave"/>
    <n v="-810.65"/>
    <x v="2"/>
    <s v="OK"/>
  </r>
  <r>
    <d v="2025-05-07T00:00:00"/>
    <x v="4"/>
    <n v="-39.119999999999997"/>
    <x v="16"/>
    <m/>
    <s v="Uitgave"/>
    <n v="-39.119999999999997"/>
    <x v="2"/>
    <s v="OK"/>
  </r>
  <r>
    <d v="2025-05-08T00:00:00"/>
    <x v="4"/>
    <n v="-24.99"/>
    <x v="10"/>
    <m/>
    <s v="Uitgave"/>
    <n v="-24.99"/>
    <x v="1"/>
    <s v="OK"/>
  </r>
  <r>
    <d v="2025-05-08T00:00:00"/>
    <x v="4"/>
    <n v="-53.07"/>
    <x v="2"/>
    <m/>
    <s v="Uitgave"/>
    <n v="-53.07"/>
    <x v="2"/>
    <s v="OK"/>
  </r>
  <r>
    <d v="2025-05-08T00:00:00"/>
    <x v="4"/>
    <n v="-56"/>
    <x v="16"/>
    <m/>
    <s v="Uitgave"/>
    <n v="-56"/>
    <x v="2"/>
    <s v="OK"/>
  </r>
  <r>
    <d v="2025-05-08T00:00:00"/>
    <x v="4"/>
    <n v="-3.9"/>
    <x v="2"/>
    <m/>
    <s v="Uitgave"/>
    <n v="-3.9"/>
    <x v="2"/>
    <s v="OK"/>
  </r>
  <r>
    <d v="2025-05-08T00:00:00"/>
    <x v="4"/>
    <n v="-19"/>
    <x v="34"/>
    <m/>
    <s v="Uitgave"/>
    <n v="-19"/>
    <x v="1"/>
    <s v="OK"/>
  </r>
  <r>
    <d v="2025-05-08T00:00:00"/>
    <x v="4"/>
    <n v="-5.79"/>
    <x v="2"/>
    <m/>
    <s v="Uitgave"/>
    <n v="-5.79"/>
    <x v="2"/>
    <s v="OK"/>
  </r>
  <r>
    <d v="2025-05-08T00:00:00"/>
    <x v="4"/>
    <n v="-14.99"/>
    <x v="23"/>
    <m/>
    <s v="Uitgave"/>
    <n v="-14.99"/>
    <x v="1"/>
    <s v="OK"/>
  </r>
  <r>
    <d v="2025-05-09T00:00:00"/>
    <x v="4"/>
    <n v="-12.18"/>
    <x v="2"/>
    <m/>
    <s v="Uitgave"/>
    <n v="-12.18"/>
    <x v="2"/>
    <s v="OK"/>
  </r>
  <r>
    <d v="2025-05-09T00:00:00"/>
    <x v="4"/>
    <n v="-14.93"/>
    <x v="2"/>
    <m/>
    <s v="Uitgave"/>
    <n v="-14.93"/>
    <x v="2"/>
    <s v="OK"/>
  </r>
  <r>
    <d v="2025-05-09T00:00:00"/>
    <x v="4"/>
    <n v="-37.5"/>
    <x v="2"/>
    <m/>
    <s v="Uitgave"/>
    <n v="-37.5"/>
    <x v="2"/>
    <s v="OK"/>
  </r>
  <r>
    <d v="2025-05-09T00:00:00"/>
    <x v="4"/>
    <n v="-6.67"/>
    <x v="2"/>
    <m/>
    <s v="Uitgave"/>
    <n v="-6.67"/>
    <x v="2"/>
    <s v="OK"/>
  </r>
  <r>
    <d v="2025-05-09T00:00:00"/>
    <x v="4"/>
    <n v="-3"/>
    <x v="2"/>
    <m/>
    <s v="Uitgave"/>
    <n v="-3"/>
    <x v="2"/>
    <s v="OK"/>
  </r>
  <r>
    <d v="2025-05-09T00:00:00"/>
    <x v="4"/>
    <n v="-1.8"/>
    <x v="11"/>
    <m/>
    <s v="Uitgave"/>
    <n v="-1.8"/>
    <x v="1"/>
    <s v="OK"/>
  </r>
  <r>
    <d v="2025-05-09T00:00:00"/>
    <x v="4"/>
    <n v="-15.4"/>
    <x v="17"/>
    <m/>
    <s v="Uitgave"/>
    <n v="-15.4"/>
    <x v="1"/>
    <s v="OK"/>
  </r>
  <r>
    <d v="2025-05-09T00:00:00"/>
    <x v="4"/>
    <n v="26.93"/>
    <x v="6"/>
    <m/>
    <s v="Inkomst"/>
    <n v="26.93"/>
    <x v="2"/>
    <s v="OK"/>
  </r>
  <r>
    <d v="2025-05-09T00:00:00"/>
    <x v="4"/>
    <n v="19.18"/>
    <x v="6"/>
    <m/>
    <s v="Inkomst"/>
    <n v="19.18"/>
    <x v="2"/>
    <s v="OK"/>
  </r>
  <r>
    <d v="2025-05-09T00:00:00"/>
    <x v="4"/>
    <n v="-19.95"/>
    <x v="10"/>
    <m/>
    <s v="Uitgave"/>
    <n v="-19.95"/>
    <x v="1"/>
    <s v="OK"/>
  </r>
  <r>
    <d v="2025-05-09T00:00:00"/>
    <x v="4"/>
    <n v="-8.6199999999999992"/>
    <x v="4"/>
    <m/>
    <s v="Uitgave"/>
    <n v="-8.6199999999999992"/>
    <x v="2"/>
    <s v="OK"/>
  </r>
  <r>
    <d v="2025-05-10T00:00:00"/>
    <x v="4"/>
    <n v="-10.34"/>
    <x v="2"/>
    <m/>
    <s v="Uitgave"/>
    <n v="-10.34"/>
    <x v="2"/>
    <s v="OK"/>
  </r>
  <r>
    <d v="2025-05-10T00:00:00"/>
    <x v="4"/>
    <n v="-56.4"/>
    <x v="2"/>
    <m/>
    <s v="Uitgave"/>
    <n v="-56.4"/>
    <x v="2"/>
    <s v="OK"/>
  </r>
  <r>
    <d v="2025-05-10T00:00:00"/>
    <x v="4"/>
    <n v="-8.75"/>
    <x v="22"/>
    <m/>
    <s v="Uitgave"/>
    <n v="-8.75"/>
    <x v="1"/>
    <s v="OK"/>
  </r>
  <r>
    <d v="2025-05-10T00:00:00"/>
    <x v="4"/>
    <n v="-3.25"/>
    <x v="22"/>
    <m/>
    <s v="Uitgave"/>
    <n v="-3.25"/>
    <x v="1"/>
    <s v="OK"/>
  </r>
  <r>
    <d v="2025-05-10T00:00:00"/>
    <x v="4"/>
    <n v="-7.6"/>
    <x v="9"/>
    <m/>
    <s v="Uitgave"/>
    <n v="-7.6"/>
    <x v="1"/>
    <s v="OK"/>
  </r>
  <r>
    <d v="2025-05-10T00:00:00"/>
    <x v="4"/>
    <n v="-7.6"/>
    <x v="9"/>
    <m/>
    <s v="Uitgave"/>
    <n v="-7.6"/>
    <x v="1"/>
    <s v="OK"/>
  </r>
  <r>
    <d v="2025-05-11T00:00:00"/>
    <x v="4"/>
    <n v="-36.99"/>
    <x v="9"/>
    <m/>
    <s v="Uitgave"/>
    <n v="-36.99"/>
    <x v="1"/>
    <s v="OK"/>
  </r>
  <r>
    <d v="2025-05-11T00:00:00"/>
    <x v="4"/>
    <n v="-6.88"/>
    <x v="2"/>
    <m/>
    <s v="Uitgave"/>
    <n v="-6.88"/>
    <x v="2"/>
    <s v="OK"/>
  </r>
  <r>
    <d v="2025-05-12T00:00:00"/>
    <x v="4"/>
    <n v="-11.85"/>
    <x v="7"/>
    <m/>
    <s v="Uitgave"/>
    <n v="-11.85"/>
    <x v="1"/>
    <s v="OK"/>
  </r>
  <r>
    <d v="2025-05-12T00:00:00"/>
    <x v="4"/>
    <n v="1.5"/>
    <x v="2"/>
    <m/>
    <s v="Inkomst"/>
    <n v="1.5"/>
    <x v="2"/>
    <s v="OK"/>
  </r>
  <r>
    <d v="2025-05-12T00:00:00"/>
    <x v="4"/>
    <n v="-8"/>
    <x v="4"/>
    <m/>
    <s v="Uitgave"/>
    <n v="-8"/>
    <x v="2"/>
    <s v="OK"/>
  </r>
  <r>
    <d v="2025-05-12T00:00:00"/>
    <x v="4"/>
    <n v="-2"/>
    <x v="17"/>
    <m/>
    <s v="Uitgave"/>
    <n v="-2"/>
    <x v="1"/>
    <s v="OK"/>
  </r>
  <r>
    <d v="2025-05-12T00:00:00"/>
    <x v="4"/>
    <n v="-7.19"/>
    <x v="2"/>
    <m/>
    <s v="Uitgave"/>
    <n v="-7.19"/>
    <x v="2"/>
    <s v="OK"/>
  </r>
  <r>
    <d v="2025-05-12T00:00:00"/>
    <x v="4"/>
    <n v="-6.93"/>
    <x v="4"/>
    <m/>
    <s v="Uitgave"/>
    <n v="-6.93"/>
    <x v="2"/>
    <s v="OK"/>
  </r>
  <r>
    <d v="2025-05-12T00:00:00"/>
    <x v="4"/>
    <n v="-5"/>
    <x v="4"/>
    <m/>
    <s v="Uitgave"/>
    <n v="-5"/>
    <x v="2"/>
    <s v="OK"/>
  </r>
  <r>
    <d v="2025-05-12T00:00:00"/>
    <x v="4"/>
    <n v="-0.9"/>
    <x v="11"/>
    <m/>
    <s v="Uitgave"/>
    <n v="-0.9"/>
    <x v="1"/>
    <s v="OK"/>
  </r>
  <r>
    <d v="2025-05-12T00:00:00"/>
    <x v="4"/>
    <n v="-81.400000000000006"/>
    <x v="2"/>
    <m/>
    <s v="Uitgave"/>
    <n v="-81.400000000000006"/>
    <x v="2"/>
    <s v="OK"/>
  </r>
  <r>
    <d v="2025-05-12T00:00:00"/>
    <x v="4"/>
    <n v="-5"/>
    <x v="2"/>
    <m/>
    <s v="Uitgave"/>
    <n v="-5"/>
    <x v="2"/>
    <s v="OK"/>
  </r>
  <r>
    <d v="2025-05-12T00:00:00"/>
    <x v="4"/>
    <n v="-12.01"/>
    <x v="21"/>
    <m/>
    <s v="Uitgave"/>
    <n v="-12.01"/>
    <x v="2"/>
    <s v="OK"/>
  </r>
  <r>
    <d v="2025-05-13T00:00:00"/>
    <x v="4"/>
    <n v="-14.64"/>
    <x v="2"/>
    <m/>
    <s v="Uitgave"/>
    <n v="-14.64"/>
    <x v="2"/>
    <s v="OK"/>
  </r>
  <r>
    <d v="2025-05-13T00:00:00"/>
    <x v="4"/>
    <n v="50"/>
    <x v="17"/>
    <m/>
    <s v="Inkomst"/>
    <n v="50"/>
    <x v="1"/>
    <s v="OK"/>
  </r>
  <r>
    <d v="2025-05-13T00:00:00"/>
    <x v="4"/>
    <n v="-1.5"/>
    <x v="11"/>
    <m/>
    <s v="Uitgave"/>
    <n v="-1.5"/>
    <x v="1"/>
    <s v="OK"/>
  </r>
  <r>
    <d v="2025-05-13T00:00:00"/>
    <x v="4"/>
    <n v="-1.5"/>
    <x v="11"/>
    <m/>
    <s v="Uitgave"/>
    <n v="-1.5"/>
    <x v="1"/>
    <s v="OK"/>
  </r>
  <r>
    <d v="2025-05-13T00:00:00"/>
    <x v="4"/>
    <n v="8.33"/>
    <x v="30"/>
    <m/>
    <s v="Inkomst"/>
    <n v="8.33"/>
    <x v="2"/>
    <s v="OK"/>
  </r>
  <r>
    <d v="2025-05-14T00:00:00"/>
    <x v="4"/>
    <n v="-34.200000000000003"/>
    <x v="9"/>
    <m/>
    <s v="Uitgave"/>
    <n v="-34.200000000000003"/>
    <x v="1"/>
    <s v="OK"/>
  </r>
  <r>
    <d v="2025-05-14T00:00:00"/>
    <x v="4"/>
    <n v="-4"/>
    <x v="16"/>
    <m/>
    <s v="Uitgave"/>
    <n v="-4"/>
    <x v="2"/>
    <s v="OK"/>
  </r>
  <r>
    <d v="2025-05-14T00:00:00"/>
    <x v="4"/>
    <n v="-23.4"/>
    <x v="2"/>
    <m/>
    <s v="Uitgave"/>
    <n v="-23.4"/>
    <x v="2"/>
    <s v="OK"/>
  </r>
  <r>
    <d v="2025-05-14T00:00:00"/>
    <x v="4"/>
    <n v="-0.9"/>
    <x v="11"/>
    <m/>
    <s v="Uitgave"/>
    <n v="-0.9"/>
    <x v="1"/>
    <s v="OK"/>
  </r>
  <r>
    <d v="2025-05-15T00:00:00"/>
    <x v="4"/>
    <n v="-32.799999999999997"/>
    <x v="9"/>
    <m/>
    <s v="Uitgave"/>
    <n v="-32.799999999999997"/>
    <x v="1"/>
    <s v="OK"/>
  </r>
  <r>
    <d v="2025-05-15T00:00:00"/>
    <x v="4"/>
    <n v="-8.44"/>
    <x v="2"/>
    <m/>
    <s v="Uitgave"/>
    <n v="-8.44"/>
    <x v="2"/>
    <s v="OK"/>
  </r>
  <r>
    <d v="2025-05-15T00:00:00"/>
    <x v="4"/>
    <n v="-10.65"/>
    <x v="22"/>
    <m/>
    <s v="Uitgave"/>
    <n v="-10.65"/>
    <x v="1"/>
    <s v="OK"/>
  </r>
  <r>
    <d v="2025-05-15T00:00:00"/>
    <x v="4"/>
    <n v="-0.9"/>
    <x v="11"/>
    <m/>
    <s v="Uitgave"/>
    <n v="-0.9"/>
    <x v="1"/>
    <s v="OK"/>
  </r>
  <r>
    <d v="2025-05-15T00:00:00"/>
    <x v="4"/>
    <n v="-6.4"/>
    <x v="9"/>
    <m/>
    <s v="Uitgave"/>
    <n v="-6.4"/>
    <x v="1"/>
    <s v="OK"/>
  </r>
  <r>
    <d v="2025-05-15T00:00:00"/>
    <x v="4"/>
    <n v="-6.4"/>
    <x v="9"/>
    <m/>
    <s v="Uitgave"/>
    <n v="-6.4"/>
    <x v="1"/>
    <s v="OK"/>
  </r>
  <r>
    <d v="2025-05-16T00:00:00"/>
    <x v="4"/>
    <n v="-16.7"/>
    <x v="9"/>
    <m/>
    <s v="Uitgave"/>
    <n v="-16.7"/>
    <x v="1"/>
    <s v="OK"/>
  </r>
  <r>
    <d v="2025-05-16T00:00:00"/>
    <x v="4"/>
    <n v="19.5"/>
    <x v="17"/>
    <m/>
    <s v="Inkomst"/>
    <n v="19.5"/>
    <x v="1"/>
    <s v="OK"/>
  </r>
  <r>
    <d v="2025-05-16T00:00:00"/>
    <x v="4"/>
    <n v="3.5"/>
    <x v="17"/>
    <m/>
    <s v="Inkomst"/>
    <n v="3.5"/>
    <x v="1"/>
    <s v="OK"/>
  </r>
  <r>
    <d v="2025-05-16T00:00:00"/>
    <x v="4"/>
    <n v="-19.5"/>
    <x v="17"/>
    <m/>
    <s v="Uitgave"/>
    <n v="-19.5"/>
    <x v="1"/>
    <s v="OK"/>
  </r>
  <r>
    <d v="2025-05-16T00:00:00"/>
    <x v="4"/>
    <n v="14.3"/>
    <x v="2"/>
    <m/>
    <s v="Inkomst"/>
    <n v="14.3"/>
    <x v="2"/>
    <s v="OK"/>
  </r>
  <r>
    <d v="2025-05-16T00:00:00"/>
    <x v="4"/>
    <n v="-4"/>
    <x v="7"/>
    <m/>
    <s v="Uitgave"/>
    <n v="-4"/>
    <x v="1"/>
    <s v="OK"/>
  </r>
  <r>
    <d v="2025-05-16T00:00:00"/>
    <x v="4"/>
    <n v="-7.64"/>
    <x v="2"/>
    <m/>
    <s v="Uitgave"/>
    <n v="-7.64"/>
    <x v="2"/>
    <s v="OK"/>
  </r>
  <r>
    <d v="2025-05-16T00:00:00"/>
    <x v="4"/>
    <n v="-91.2"/>
    <x v="2"/>
    <m/>
    <s v="Uitgave"/>
    <n v="-91.2"/>
    <x v="2"/>
    <s v="OK"/>
  </r>
  <r>
    <d v="2025-05-16T00:00:00"/>
    <x v="4"/>
    <n v="-81.66"/>
    <x v="27"/>
    <m/>
    <s v="Uitgave"/>
    <n v="-81.66"/>
    <x v="2"/>
    <s v="OK"/>
  </r>
  <r>
    <d v="2025-05-16T00:00:00"/>
    <x v="4"/>
    <n v="-85"/>
    <x v="27"/>
    <m/>
    <s v="Uitgave"/>
    <n v="-85"/>
    <x v="2"/>
    <s v="OK"/>
  </r>
  <r>
    <d v="2025-05-17T00:00:00"/>
    <x v="4"/>
    <n v="-11.13"/>
    <x v="2"/>
    <m/>
    <s v="Uitgave"/>
    <n v="-11.13"/>
    <x v="2"/>
    <s v="OK"/>
  </r>
  <r>
    <d v="2025-05-17T00:00:00"/>
    <x v="4"/>
    <n v="-5.39"/>
    <x v="2"/>
    <m/>
    <s v="Uitgave"/>
    <n v="-5.39"/>
    <x v="2"/>
    <s v="OK"/>
  </r>
  <r>
    <d v="2025-05-17T00:00:00"/>
    <x v="4"/>
    <n v="-25.5"/>
    <x v="2"/>
    <m/>
    <s v="Uitgave"/>
    <n v="-25.5"/>
    <x v="2"/>
    <s v="OK"/>
  </r>
  <r>
    <d v="2025-05-17T00:00:00"/>
    <x v="4"/>
    <n v="-7"/>
    <x v="2"/>
    <m/>
    <s v="Uitgave"/>
    <n v="-7"/>
    <x v="2"/>
    <s v="OK"/>
  </r>
  <r>
    <d v="2025-05-17T00:00:00"/>
    <x v="4"/>
    <n v="-57.98"/>
    <x v="17"/>
    <m/>
    <s v="Uitgave"/>
    <n v="-57.98"/>
    <x v="1"/>
    <s v="OK"/>
  </r>
  <r>
    <d v="2025-05-18T00:00:00"/>
    <x v="4"/>
    <n v="-19.98"/>
    <x v="10"/>
    <m/>
    <s v="Uitgave"/>
    <n v="-19.98"/>
    <x v="1"/>
    <s v="OK"/>
  </r>
  <r>
    <d v="2025-05-18T00:00:00"/>
    <x v="4"/>
    <n v="-14.9"/>
    <x v="2"/>
    <m/>
    <s v="Uitgave"/>
    <n v="-14.9"/>
    <x v="2"/>
    <s v="OK"/>
  </r>
  <r>
    <d v="2025-05-18T00:00:00"/>
    <x v="4"/>
    <n v="-12.38"/>
    <x v="2"/>
    <m/>
    <s v="Uitgave"/>
    <n v="-12.38"/>
    <x v="2"/>
    <s v="OK"/>
  </r>
  <r>
    <d v="2025-05-18T00:00:00"/>
    <x v="4"/>
    <n v="-77.62"/>
    <x v="54"/>
    <m/>
    <s v="Uitgave"/>
    <n v="-77.62"/>
    <x v="1"/>
    <s v="OK"/>
  </r>
  <r>
    <d v="2025-05-18T00:00:00"/>
    <x v="4"/>
    <n v="-3.25"/>
    <x v="22"/>
    <m/>
    <s v="Uitgave"/>
    <n v="-3.25"/>
    <x v="1"/>
    <s v="OK"/>
  </r>
  <r>
    <d v="2025-05-18T00:00:00"/>
    <x v="4"/>
    <n v="-6"/>
    <x v="9"/>
    <m/>
    <s v="Uitgave"/>
    <n v="-6"/>
    <x v="1"/>
    <s v="OK"/>
  </r>
  <r>
    <d v="2025-05-19T00:00:00"/>
    <x v="4"/>
    <n v="-15.94"/>
    <x v="2"/>
    <m/>
    <s v="Uitgave"/>
    <n v="-15.94"/>
    <x v="2"/>
    <s v="OK"/>
  </r>
  <r>
    <d v="2025-05-19T00:00:00"/>
    <x v="4"/>
    <n v="-12.38"/>
    <x v="2"/>
    <m/>
    <s v="Uitgave"/>
    <n v="-12.38"/>
    <x v="2"/>
    <s v="OK"/>
  </r>
  <r>
    <d v="2025-05-19T00:00:00"/>
    <x v="4"/>
    <n v="-120"/>
    <x v="55"/>
    <m/>
    <s v="Uitgave"/>
    <n v="-120"/>
    <x v="2"/>
    <s v="OK"/>
  </r>
  <r>
    <d v="2025-05-19T00:00:00"/>
    <x v="4"/>
    <n v="-5"/>
    <x v="2"/>
    <m/>
    <s v="Uitgave"/>
    <n v="-5"/>
    <x v="2"/>
    <s v="OK"/>
  </r>
  <r>
    <d v="2025-05-19T00:00:00"/>
    <x v="4"/>
    <n v="4.5"/>
    <x v="2"/>
    <m/>
    <s v="Inkomst"/>
    <n v="4.5"/>
    <x v="2"/>
    <s v="OK"/>
  </r>
  <r>
    <d v="2025-05-19T00:00:00"/>
    <x v="4"/>
    <n v="-14.72"/>
    <x v="2"/>
    <m/>
    <s v="Uitgave"/>
    <n v="-14.72"/>
    <x v="2"/>
    <s v="OK"/>
  </r>
  <r>
    <d v="2025-05-19T00:00:00"/>
    <x v="4"/>
    <n v="-33.549999999999997"/>
    <x v="31"/>
    <m/>
    <s v="Uitgave"/>
    <n v="-33.549999999999997"/>
    <x v="2"/>
    <s v="OK"/>
  </r>
  <r>
    <d v="2025-05-19T00:00:00"/>
    <x v="4"/>
    <n v="-32.43"/>
    <x v="30"/>
    <m/>
    <s v="Uitgave"/>
    <n v="-32.43"/>
    <x v="2"/>
    <s v="OK"/>
  </r>
  <r>
    <d v="2025-05-20T00:00:00"/>
    <x v="4"/>
    <n v="-3.7"/>
    <x v="2"/>
    <m/>
    <s v="Uitgave"/>
    <n v="-3.7"/>
    <x v="2"/>
    <s v="OK"/>
  </r>
  <r>
    <d v="2025-05-20T00:00:00"/>
    <x v="4"/>
    <n v="-5"/>
    <x v="51"/>
    <m/>
    <s v="Uitgave"/>
    <n v="-5"/>
    <x v="2"/>
    <s v="OK"/>
  </r>
  <r>
    <d v="2025-05-21T00:00:00"/>
    <x v="4"/>
    <n v="-37.299999999999997"/>
    <x v="9"/>
    <m/>
    <s v="Uitgave"/>
    <n v="-37.299999999999997"/>
    <x v="1"/>
    <s v="OK"/>
  </r>
  <r>
    <d v="2025-05-21T00:00:00"/>
    <x v="4"/>
    <n v="-5.05"/>
    <x v="2"/>
    <m/>
    <s v="Uitgave"/>
    <n v="-5.05"/>
    <x v="2"/>
    <s v="OK"/>
  </r>
  <r>
    <d v="2025-05-21T00:00:00"/>
    <x v="4"/>
    <n v="-0.9"/>
    <x v="11"/>
    <m/>
    <s v="Uitgave"/>
    <n v="-0.9"/>
    <x v="1"/>
    <s v="OK"/>
  </r>
  <r>
    <d v="2025-05-21T00:00:00"/>
    <x v="4"/>
    <n v="-3.2"/>
    <x v="2"/>
    <m/>
    <s v="Uitgave"/>
    <n v="-3.2"/>
    <x v="2"/>
    <s v="OK"/>
  </r>
  <r>
    <d v="2025-05-22T00:00:00"/>
    <x v="4"/>
    <n v="-15.95"/>
    <x v="9"/>
    <m/>
    <s v="Uitgave"/>
    <n v="-15.95"/>
    <x v="1"/>
    <s v="OK"/>
  </r>
  <r>
    <d v="2025-05-22T00:00:00"/>
    <x v="4"/>
    <n v="-8.89"/>
    <x v="2"/>
    <m/>
    <s v="Uitgave"/>
    <n v="-8.89"/>
    <x v="2"/>
    <s v="OK"/>
  </r>
  <r>
    <d v="2025-05-22T00:00:00"/>
    <x v="4"/>
    <n v="-22.9"/>
    <x v="2"/>
    <m/>
    <s v="Uitgave"/>
    <n v="-22.9"/>
    <x v="2"/>
    <s v="OK"/>
  </r>
  <r>
    <d v="2025-05-22T00:00:00"/>
    <x v="4"/>
    <n v="-60"/>
    <x v="10"/>
    <m/>
    <s v="Uitgave"/>
    <n v="-60"/>
    <x v="1"/>
    <s v="OK"/>
  </r>
  <r>
    <d v="2025-05-22T00:00:00"/>
    <x v="4"/>
    <n v="-2.7"/>
    <x v="2"/>
    <m/>
    <s v="Uitgave"/>
    <n v="-2.7"/>
    <x v="2"/>
    <s v="OK"/>
  </r>
  <r>
    <d v="2025-05-22T00:00:00"/>
    <x v="4"/>
    <n v="-17.64"/>
    <x v="2"/>
    <m/>
    <s v="Uitgave"/>
    <n v="-17.64"/>
    <x v="2"/>
    <s v="OK"/>
  </r>
  <r>
    <d v="2025-05-22T00:00:00"/>
    <x v="4"/>
    <n v="-53.29"/>
    <x v="33"/>
    <m/>
    <s v="Uitgave"/>
    <n v="-53.29"/>
    <x v="2"/>
    <s v="OK"/>
  </r>
  <r>
    <d v="2025-05-23T00:00:00"/>
    <x v="4"/>
    <n v="-10.6"/>
    <x v="9"/>
    <m/>
    <s v="Uitgave"/>
    <n v="-10.6"/>
    <x v="1"/>
    <s v="OK"/>
  </r>
  <r>
    <d v="2025-05-23T00:00:00"/>
    <x v="4"/>
    <n v="-6.61"/>
    <x v="2"/>
    <m/>
    <s v="Uitgave"/>
    <n v="-6.61"/>
    <x v="2"/>
    <s v="OK"/>
  </r>
  <r>
    <d v="2025-05-23T00:00:00"/>
    <x v="4"/>
    <n v="-7.21"/>
    <x v="2"/>
    <m/>
    <s v="Uitgave"/>
    <n v="-7.21"/>
    <x v="2"/>
    <s v="OK"/>
  </r>
  <r>
    <d v="2025-05-23T00:00:00"/>
    <x v="4"/>
    <n v="-1.2"/>
    <x v="11"/>
    <m/>
    <s v="Uitgave"/>
    <n v="-1.2"/>
    <x v="1"/>
    <s v="OK"/>
  </r>
  <r>
    <d v="2025-05-23T00:00:00"/>
    <x v="4"/>
    <n v="-192.64"/>
    <x v="16"/>
    <m/>
    <s v="Uitgave"/>
    <n v="-192.64"/>
    <x v="2"/>
    <s v="OK"/>
  </r>
  <r>
    <d v="2025-05-24T00:00:00"/>
    <x v="4"/>
    <n v="-23.41"/>
    <x v="2"/>
    <m/>
    <s v="Uitgave"/>
    <n v="-23.41"/>
    <x v="2"/>
    <s v="OK"/>
  </r>
  <r>
    <d v="2025-05-24T00:00:00"/>
    <x v="4"/>
    <n v="-10.5"/>
    <x v="10"/>
    <m/>
    <s v="Uitgave"/>
    <n v="-10.5"/>
    <x v="1"/>
    <s v="OK"/>
  </r>
  <r>
    <d v="2025-05-24T00:00:00"/>
    <x v="4"/>
    <n v="-3.75"/>
    <x v="10"/>
    <m/>
    <s v="Uitgave"/>
    <n v="-3.75"/>
    <x v="1"/>
    <s v="OK"/>
  </r>
  <r>
    <d v="2025-05-24T00:00:00"/>
    <x v="4"/>
    <n v="-25"/>
    <x v="13"/>
    <m/>
    <s v="Uitgave"/>
    <n v="-25"/>
    <x v="2"/>
    <s v="OK"/>
  </r>
  <r>
    <d v="2025-05-25T00:00:00"/>
    <x v="4"/>
    <n v="-18.66"/>
    <x v="2"/>
    <m/>
    <s v="Uitgave"/>
    <n v="-18.66"/>
    <x v="2"/>
    <s v="OK"/>
  </r>
  <r>
    <d v="2025-05-25T00:00:00"/>
    <x v="4"/>
    <n v="-0.98"/>
    <x v="2"/>
    <m/>
    <s v="Uitgave"/>
    <n v="-0.98"/>
    <x v="2"/>
    <s v="OK"/>
  </r>
  <r>
    <d v="2025-05-25T00:00:00"/>
    <x v="4"/>
    <n v="-20.67"/>
    <x v="2"/>
    <m/>
    <s v="Uitgave"/>
    <n v="-20.67"/>
    <x v="2"/>
    <s v="OK"/>
  </r>
  <r>
    <d v="2025-05-26T00:00:00"/>
    <x v="4"/>
    <n v="-29.45"/>
    <x v="2"/>
    <m/>
    <s v="Uitgave"/>
    <n v="-29.45"/>
    <x v="2"/>
    <s v="OK"/>
  </r>
  <r>
    <d v="2025-05-26T00:00:00"/>
    <x v="4"/>
    <n v="-145"/>
    <x v="7"/>
    <m/>
    <s v="Uitgave"/>
    <n v="-145"/>
    <x v="1"/>
    <s v="OK"/>
  </r>
  <r>
    <d v="2025-05-26T00:00:00"/>
    <x v="4"/>
    <n v="-2.33"/>
    <x v="2"/>
    <m/>
    <s v="Uitgave"/>
    <n v="-2.33"/>
    <x v="2"/>
    <s v="OK"/>
  </r>
  <r>
    <d v="2025-05-26T00:00:00"/>
    <x v="4"/>
    <n v="-6.01"/>
    <x v="4"/>
    <m/>
    <s v="Uitgave"/>
    <n v="-6.01"/>
    <x v="2"/>
    <s v="OK"/>
  </r>
  <r>
    <d v="2025-05-26T00:00:00"/>
    <x v="4"/>
    <n v="-9.09"/>
    <x v="4"/>
    <m/>
    <s v="Uitgave"/>
    <n v="-9.09"/>
    <x v="2"/>
    <s v="OK"/>
  </r>
  <r>
    <d v="2025-05-26T00:00:00"/>
    <x v="4"/>
    <n v="-5"/>
    <x v="4"/>
    <m/>
    <s v="Uitgave"/>
    <n v="-5"/>
    <x v="2"/>
    <s v="OK"/>
  </r>
  <r>
    <d v="2025-05-26T00:00:00"/>
    <x v="4"/>
    <n v="-4.29"/>
    <x v="4"/>
    <m/>
    <s v="Uitgave"/>
    <n v="-4.29"/>
    <x v="2"/>
    <s v="OK"/>
  </r>
  <r>
    <d v="2025-05-26T00:00:00"/>
    <x v="4"/>
    <n v="-5"/>
    <x v="4"/>
    <m/>
    <s v="Uitgave"/>
    <n v="-5"/>
    <x v="2"/>
    <s v="OK"/>
  </r>
  <r>
    <d v="2025-05-26T00:00:00"/>
    <x v="4"/>
    <n v="530.58000000000004"/>
    <x v="0"/>
    <m/>
    <s v="Inkomst"/>
    <n v="530.58000000000004"/>
    <x v="0"/>
    <s v="OK"/>
  </r>
  <r>
    <d v="2025-05-26T00:00:00"/>
    <x v="4"/>
    <n v="-113.49"/>
    <x v="33"/>
    <m/>
    <s v="Uitgave"/>
    <n v="-113.49"/>
    <x v="2"/>
    <s v="OK"/>
  </r>
  <r>
    <d v="2025-05-27T00:00:00"/>
    <x v="4"/>
    <n v="83"/>
    <x v="16"/>
    <m/>
    <s v="Inkomst"/>
    <n v="83"/>
    <x v="2"/>
    <s v="OK"/>
  </r>
  <r>
    <d v="2025-05-27T00:00:00"/>
    <x v="4"/>
    <n v="-37.9"/>
    <x v="9"/>
    <m/>
    <s v="Uitgave"/>
    <n v="-37.9"/>
    <x v="1"/>
    <s v="OK"/>
  </r>
  <r>
    <d v="2025-05-27T00:00:00"/>
    <x v="4"/>
    <n v="-12.25"/>
    <x v="2"/>
    <m/>
    <s v="Uitgave"/>
    <n v="-12.25"/>
    <x v="2"/>
    <s v="OK"/>
  </r>
  <r>
    <d v="2025-05-27T00:00:00"/>
    <x v="4"/>
    <n v="-7.26"/>
    <x v="2"/>
    <m/>
    <s v="Uitgave"/>
    <n v="-7.26"/>
    <x v="2"/>
    <s v="OK"/>
  </r>
  <r>
    <d v="2025-05-27T00:00:00"/>
    <x v="4"/>
    <n v="-3.3"/>
    <x v="32"/>
    <m/>
    <s v="Uitgave"/>
    <n v="-3.3"/>
    <x v="1"/>
    <s v="OK"/>
  </r>
  <r>
    <d v="2025-05-27T00:00:00"/>
    <x v="4"/>
    <n v="-1.5"/>
    <x v="11"/>
    <m/>
    <s v="Uitgave"/>
    <n v="-1.5"/>
    <x v="1"/>
    <s v="OK"/>
  </r>
  <r>
    <d v="2025-05-27T00:00:00"/>
    <x v="4"/>
    <n v="-0.9"/>
    <x v="11"/>
    <m/>
    <s v="Uitgave"/>
    <n v="-0.9"/>
    <x v="1"/>
    <s v="OK"/>
  </r>
  <r>
    <d v="2025-05-27T00:00:00"/>
    <x v="4"/>
    <n v="-1.5"/>
    <x v="11"/>
    <m/>
    <s v="Uitgave"/>
    <n v="-1.5"/>
    <x v="1"/>
    <s v="OK"/>
  </r>
  <r>
    <d v="2025-05-27T00:00:00"/>
    <x v="4"/>
    <n v="-1.5"/>
    <x v="11"/>
    <m/>
    <s v="Uitgave"/>
    <n v="-1.5"/>
    <x v="1"/>
    <s v="OK"/>
  </r>
  <r>
    <d v="2025-05-27T00:00:00"/>
    <x v="4"/>
    <n v="-1.8"/>
    <x v="11"/>
    <m/>
    <s v="Uitgave"/>
    <n v="-1.8"/>
    <x v="1"/>
    <s v="OK"/>
  </r>
  <r>
    <d v="2025-05-27T00:00:00"/>
    <x v="4"/>
    <n v="-11.35"/>
    <x v="2"/>
    <m/>
    <s v="Uitgave"/>
    <n v="-11.35"/>
    <x v="2"/>
    <s v="OK"/>
  </r>
  <r>
    <d v="2025-05-28T00:00:00"/>
    <x v="4"/>
    <n v="-9.7200000000000006"/>
    <x v="16"/>
    <m/>
    <s v="Uitgave"/>
    <n v="-9.7200000000000006"/>
    <x v="2"/>
    <s v="OK"/>
  </r>
  <r>
    <d v="2025-05-28T00:00:00"/>
    <x v="4"/>
    <n v="-24.99"/>
    <x v="25"/>
    <m/>
    <s v="Uitgave"/>
    <n v="-24.99"/>
    <x v="1"/>
    <s v="OK"/>
  </r>
  <r>
    <d v="2025-05-28T00:00:00"/>
    <x v="4"/>
    <n v="-41.11"/>
    <x v="2"/>
    <m/>
    <s v="Uitgave"/>
    <n v="-41.11"/>
    <x v="2"/>
    <s v="OK"/>
  </r>
  <r>
    <d v="2025-05-28T00:00:00"/>
    <x v="4"/>
    <n v="-8.52"/>
    <x v="2"/>
    <m/>
    <s v="Uitgave"/>
    <n v="-8.52"/>
    <x v="2"/>
    <s v="OK"/>
  </r>
  <r>
    <d v="2025-05-28T00:00:00"/>
    <x v="4"/>
    <n v="-1.99"/>
    <x v="7"/>
    <m/>
    <s v="Uitgave"/>
    <n v="-1.99"/>
    <x v="1"/>
    <s v="OK"/>
  </r>
  <r>
    <d v="2025-05-28T00:00:00"/>
    <x v="4"/>
    <n v="-1.5"/>
    <x v="40"/>
    <m/>
    <s v="Uitgave"/>
    <n v="-1.5"/>
    <x v="2"/>
    <s v="OK"/>
  </r>
  <r>
    <d v="2025-05-28T00:00:00"/>
    <x v="4"/>
    <n v="-14"/>
    <x v="17"/>
    <m/>
    <s v="Uitgave"/>
    <n v="-14"/>
    <x v="1"/>
    <s v="OK"/>
  </r>
  <r>
    <d v="2025-05-29T00:00:00"/>
    <x v="4"/>
    <n v="-5.57"/>
    <x v="2"/>
    <m/>
    <s v="Uitgave"/>
    <n v="-5.57"/>
    <x v="2"/>
    <s v="OK"/>
  </r>
  <r>
    <d v="2025-05-29T00:00:00"/>
    <x v="4"/>
    <n v="-24.71"/>
    <x v="2"/>
    <m/>
    <s v="Uitgave"/>
    <n v="-24.71"/>
    <x v="2"/>
    <s v="OK"/>
  </r>
  <r>
    <d v="2025-05-29T00:00:00"/>
    <x v="4"/>
    <n v="-91"/>
    <x v="29"/>
    <m/>
    <s v="Uitgave"/>
    <n v="-91"/>
    <x v="1"/>
    <s v="OK"/>
  </r>
  <r>
    <d v="2025-05-29T00:00:00"/>
    <x v="4"/>
    <n v="-16"/>
    <x v="2"/>
    <m/>
    <s v="Uitgave"/>
    <n v="-16"/>
    <x v="2"/>
    <s v="OK"/>
  </r>
  <r>
    <d v="2025-05-30T00:00:00"/>
    <x v="4"/>
    <n v="-586.12"/>
    <x v="36"/>
    <m/>
    <s v="Uitgave"/>
    <n v="-586.12"/>
    <x v="2"/>
    <s v="OK"/>
  </r>
  <r>
    <d v="2025-05-30T00:00:00"/>
    <x v="4"/>
    <n v="-9.57"/>
    <x v="2"/>
    <m/>
    <s v="Uitgave"/>
    <n v="-9.57"/>
    <x v="2"/>
    <s v="OK"/>
  </r>
  <r>
    <d v="2025-05-30T00:00:00"/>
    <x v="4"/>
    <n v="-45"/>
    <x v="56"/>
    <m/>
    <s v="Uitgave"/>
    <n v="-45"/>
    <x v="1"/>
    <s v="OK"/>
  </r>
  <r>
    <d v="2025-05-30T00:00:00"/>
    <x v="4"/>
    <n v="-9.9499999999999993"/>
    <x v="10"/>
    <m/>
    <s v="Uitgave"/>
    <n v="-9.9499999999999993"/>
    <x v="1"/>
    <s v="OK"/>
  </r>
  <r>
    <d v="2025-05-30T00:00:00"/>
    <x v="4"/>
    <n v="-47.4"/>
    <x v="57"/>
    <m/>
    <s v="Uitgave"/>
    <n v="-47.4"/>
    <x v="1"/>
    <s v="OK"/>
  </r>
  <r>
    <d v="2025-05-30T00:00:00"/>
    <x v="4"/>
    <n v="-11.99"/>
    <x v="57"/>
    <m/>
    <s v="Uitgave"/>
    <n v="-11.99"/>
    <x v="1"/>
    <s v="OK"/>
  </r>
  <r>
    <d v="2025-05-30T00:00:00"/>
    <x v="4"/>
    <n v="-0.01"/>
    <x v="57"/>
    <m/>
    <s v="Uitgave"/>
    <n v="-0.01"/>
    <x v="1"/>
    <s v="OK"/>
  </r>
  <r>
    <d v="2025-05-30T00:00:00"/>
    <x v="4"/>
    <n v="-0.01"/>
    <x v="57"/>
    <m/>
    <s v="Uitgave"/>
    <n v="-0.01"/>
    <x v="1"/>
    <s v="OK"/>
  </r>
  <r>
    <d v="2025-05-30T00:00:00"/>
    <x v="4"/>
    <n v="-16"/>
    <x v="34"/>
    <m/>
    <s v="Uitgave"/>
    <n v="-16"/>
    <x v="1"/>
    <s v="OK"/>
  </r>
  <r>
    <d v="2025-05-30T00:00:00"/>
    <x v="4"/>
    <n v="-69.650000000000006"/>
    <x v="37"/>
    <m/>
    <s v="Uitgave"/>
    <n v="-69.650000000000006"/>
    <x v="2"/>
    <s v="OK"/>
  </r>
  <r>
    <d v="2025-06-01T00:00:00"/>
    <x v="5"/>
    <n v="4520.3999999999996"/>
    <x v="0"/>
    <m/>
    <s v="Inkomst"/>
    <n v="4520.3999999999996"/>
    <x v="0"/>
    <s v="OK"/>
  </r>
  <r>
    <d v="2025-06-01T00:00:00"/>
    <x v="5"/>
    <n v="2376.23"/>
    <x v="0"/>
    <m/>
    <s v="Inkomst"/>
    <n v="2376.23"/>
    <x v="0"/>
    <s v="OK"/>
  </r>
  <r>
    <d v="2025-06-01T00:00:00"/>
    <x v="5"/>
    <n v="-5.0599999999999996"/>
    <x v="2"/>
    <m/>
    <s v="Uitgave"/>
    <n v="-5.0599999999999996"/>
    <x v="2"/>
    <s v="OK"/>
  </r>
  <r>
    <d v="2025-06-01T00:00:00"/>
    <x v="5"/>
    <n v="-110.86"/>
    <x v="46"/>
    <m/>
    <s v="Uitgave"/>
    <n v="-110.86"/>
    <x v="1"/>
    <s v="OK"/>
  </r>
  <r>
    <d v="2025-06-02T00:00:00"/>
    <x v="5"/>
    <n v="-1.64"/>
    <x v="2"/>
    <m/>
    <s v="Uitgave"/>
    <n v="-1.64"/>
    <x v="2"/>
    <s v="OK"/>
  </r>
  <r>
    <d v="2025-06-02T00:00:00"/>
    <x v="5"/>
    <n v="-5"/>
    <x v="4"/>
    <m/>
    <s v="Uitgave"/>
    <n v="-5"/>
    <x v="2"/>
    <s v="OK"/>
  </r>
  <r>
    <d v="2025-06-02T00:00:00"/>
    <x v="5"/>
    <n v="-2.5"/>
    <x v="32"/>
    <m/>
    <s v="Uitgave"/>
    <n v="-2.5"/>
    <x v="1"/>
    <s v="OK"/>
  </r>
  <r>
    <d v="2025-06-02T00:00:00"/>
    <x v="5"/>
    <n v="0.01"/>
    <x v="17"/>
    <m/>
    <s v="Inkomst"/>
    <n v="0.01"/>
    <x v="1"/>
    <s v="OK"/>
  </r>
  <r>
    <d v="2025-06-02T00:00:00"/>
    <x v="5"/>
    <n v="0.01"/>
    <x v="17"/>
    <m/>
    <s v="Inkomst"/>
    <n v="0.01"/>
    <x v="1"/>
    <s v="OK"/>
  </r>
  <r>
    <d v="2025-06-02T00:00:00"/>
    <x v="5"/>
    <n v="-5.2"/>
    <x v="2"/>
    <m/>
    <s v="Uitgave"/>
    <n v="-5.2"/>
    <x v="2"/>
    <s v="OK"/>
  </r>
  <r>
    <d v="2025-06-02T00:00:00"/>
    <x v="5"/>
    <n v="-1.7"/>
    <x v="4"/>
    <m/>
    <s v="Uitgave"/>
    <n v="-1.7"/>
    <x v="2"/>
    <s v="OK"/>
  </r>
  <r>
    <d v="2025-06-02T00:00:00"/>
    <x v="5"/>
    <n v="-45.25"/>
    <x v="3"/>
    <m/>
    <s v="Uitgave"/>
    <n v="-45.25"/>
    <x v="2"/>
    <s v="OK"/>
  </r>
  <r>
    <d v="2025-06-02T00:00:00"/>
    <x v="5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6-03T00:00:00"/>
    <x v="5"/>
    <n v="-8.77"/>
    <x v="2"/>
    <m/>
    <s v="Uitgave"/>
    <n v="-8.77"/>
    <x v="2"/>
    <s v="OK"/>
  </r>
  <r>
    <d v="2025-06-03T00:00:00"/>
    <x v="5"/>
    <n v="-35"/>
    <x v="12"/>
    <m/>
    <s v="Uitgave"/>
    <n v="-35"/>
    <x v="1"/>
    <s v="OK"/>
  </r>
  <r>
    <d v="2025-06-03T00:00:00"/>
    <x v="5"/>
    <n v="-12"/>
    <x v="28"/>
    <m/>
    <s v="Uitgave"/>
    <n v="-12"/>
    <x v="2"/>
    <s v="OK"/>
  </r>
  <r>
    <d v="2025-06-04T00:00:00"/>
    <x v="5"/>
    <n v="-20.399999999999999"/>
    <x v="22"/>
    <m/>
    <s v="Uitgave"/>
    <n v="-20.399999999999999"/>
    <x v="1"/>
    <s v="OK"/>
  </r>
  <r>
    <d v="2025-06-04T00:00:00"/>
    <x v="5"/>
    <n v="-29.99"/>
    <x v="29"/>
    <m/>
    <s v="Uitgave"/>
    <n v="-29.99"/>
    <x v="1"/>
    <s v="OK"/>
  </r>
  <r>
    <d v="2025-06-04T00:00:00"/>
    <x v="5"/>
    <n v="-10.38"/>
    <x v="2"/>
    <s v="-"/>
    <s v="Uitgave"/>
    <n v="-10.38"/>
    <x v="2"/>
    <s v="OK"/>
  </r>
  <r>
    <d v="2025-06-04T00:00:00"/>
    <x v="5"/>
    <n v="-2.5"/>
    <x v="32"/>
    <m/>
    <s v="Uitgave"/>
    <n v="-2.5"/>
    <x v="1"/>
    <s v="OK"/>
  </r>
  <r>
    <d v="2025-06-04T00:00:00"/>
    <x v="5"/>
    <n v="-11.07"/>
    <x v="4"/>
    <m/>
    <s v="Uitgave"/>
    <n v="-11.07"/>
    <x v="2"/>
    <s v="OK"/>
  </r>
  <r>
    <d v="2025-06-04T00:00:00"/>
    <x v="5"/>
    <n v="-5"/>
    <x v="4"/>
    <m/>
    <s v="Uitgave"/>
    <n v="-5"/>
    <x v="2"/>
    <s v="OK"/>
  </r>
  <r>
    <d v="2025-06-04T00:00:00"/>
    <x v="5"/>
    <n v="-20.71"/>
    <x v="20"/>
    <m/>
    <s v="Uitgave"/>
    <n v="-20.71"/>
    <x v="2"/>
    <s v="OK"/>
  </r>
  <r>
    <d v="2025-06-04T00:00:00"/>
    <x v="5"/>
    <n v="-21.41"/>
    <x v="4"/>
    <m/>
    <s v="Uitgave"/>
    <n v="-21.41"/>
    <x v="2"/>
    <s v="OK"/>
  </r>
  <r>
    <d v="2025-06-05T00:00:00"/>
    <x v="5"/>
    <n v="-3.69"/>
    <x v="2"/>
    <m/>
    <s v="Uitgave"/>
    <n v="-3.69"/>
    <x v="2"/>
    <s v="OK"/>
  </r>
  <r>
    <d v="2025-06-05T00:00:00"/>
    <x v="5"/>
    <n v="-30"/>
    <x v="16"/>
    <m/>
    <s v="Uitgave"/>
    <n v="-30"/>
    <x v="2"/>
    <s v="OK"/>
  </r>
  <r>
    <d v="2025-06-05T00:00:00"/>
    <x v="5"/>
    <n v="-24.21"/>
    <x v="2"/>
    <m/>
    <s v="Uitgave"/>
    <n v="-24.21"/>
    <x v="2"/>
    <s v="OK"/>
  </r>
  <r>
    <d v="2025-06-05T00:00:00"/>
    <x v="5"/>
    <n v="-43.46"/>
    <x v="7"/>
    <m/>
    <s v="Uitgave"/>
    <n v="-43.46"/>
    <x v="1"/>
    <s v="OK"/>
  </r>
  <r>
    <d v="2025-06-05T00:00:00"/>
    <x v="5"/>
    <n v="-5.59"/>
    <x v="2"/>
    <m/>
    <s v="Uitgave"/>
    <n v="-5.59"/>
    <x v="2"/>
    <s v="OK"/>
  </r>
  <r>
    <d v="2025-06-06T00:00:00"/>
    <x v="5"/>
    <n v="-27.84"/>
    <x v="2"/>
    <m/>
    <s v="Uitgave"/>
    <n v="-27.84"/>
    <x v="2"/>
    <s v="OK"/>
  </r>
  <r>
    <d v="2025-06-06T00:00:00"/>
    <x v="5"/>
    <n v="-14.48"/>
    <x v="2"/>
    <m/>
    <s v="Uitgave"/>
    <n v="-14.48"/>
    <x v="2"/>
    <s v="OK"/>
  </r>
  <r>
    <d v="2025-06-06T00:00:00"/>
    <x v="5"/>
    <n v="-15.78"/>
    <x v="2"/>
    <m/>
    <s v="Uitgave"/>
    <n v="-15.78"/>
    <x v="2"/>
    <s v="OK"/>
  </r>
  <r>
    <d v="2025-06-06T00:00:00"/>
    <x v="5"/>
    <n v="-62"/>
    <x v="10"/>
    <m/>
    <s v="Uitgave"/>
    <n v="-62"/>
    <x v="1"/>
    <s v="OK"/>
  </r>
  <r>
    <d v="2025-06-06T00:00:00"/>
    <x v="5"/>
    <n v="-810.65"/>
    <x v="19"/>
    <m/>
    <s v="Uitgave"/>
    <n v="-810.65"/>
    <x v="2"/>
    <s v="OK"/>
  </r>
  <r>
    <d v="2025-06-06T00:00:00"/>
    <x v="5"/>
    <n v="-22.58"/>
    <x v="4"/>
    <m/>
    <s v="Uitgave"/>
    <n v="-22.58"/>
    <x v="2"/>
    <s v="OK"/>
  </r>
  <r>
    <d v="2025-06-06T00:00:00"/>
    <x v="5"/>
    <n v="-125.81"/>
    <x v="55"/>
    <m/>
    <s v="Uitgave"/>
    <n v="-125.81"/>
    <x v="2"/>
    <s v="OK"/>
  </r>
  <r>
    <d v="2025-06-07T00:00:00"/>
    <x v="5"/>
    <n v="-7.04"/>
    <x v="2"/>
    <m/>
    <s v="Uitgave"/>
    <n v="-7.04"/>
    <x v="2"/>
    <s v="OK"/>
  </r>
  <r>
    <d v="2025-06-07T00:00:00"/>
    <x v="5"/>
    <n v="-14.51"/>
    <x v="2"/>
    <m/>
    <s v="Uitgave"/>
    <n v="-14.51"/>
    <x v="2"/>
    <s v="OK"/>
  </r>
  <r>
    <d v="2025-06-07T00:00:00"/>
    <x v="5"/>
    <n v="-9.02"/>
    <x v="2"/>
    <m/>
    <s v="Uitgave"/>
    <n v="-9.02"/>
    <x v="2"/>
    <s v="OK"/>
  </r>
  <r>
    <d v="2025-06-07T00:00:00"/>
    <x v="5"/>
    <n v="-30"/>
    <x v="32"/>
    <m/>
    <s v="Uitgave"/>
    <n v="-30"/>
    <x v="1"/>
    <s v="OK"/>
  </r>
  <r>
    <d v="2025-06-07T00:00:00"/>
    <x v="5"/>
    <n v="-4"/>
    <x v="7"/>
    <m/>
    <s v="Uitgave"/>
    <n v="-4"/>
    <x v="1"/>
    <s v="OK"/>
  </r>
  <r>
    <d v="2025-06-07T00:00:00"/>
    <x v="5"/>
    <n v="-33.44"/>
    <x v="54"/>
    <m/>
    <s v="Uitgave"/>
    <n v="-33.44"/>
    <x v="1"/>
    <s v="OK"/>
  </r>
  <r>
    <d v="2025-06-08T00:00:00"/>
    <x v="5"/>
    <n v="45"/>
    <x v="17"/>
    <m/>
    <s v="Inkomst"/>
    <n v="45"/>
    <x v="1"/>
    <s v="OK"/>
  </r>
  <r>
    <d v="2025-06-08T00:00:00"/>
    <x v="5"/>
    <n v="-45"/>
    <x v="17"/>
    <m/>
    <s v="Uitgave"/>
    <n v="-45"/>
    <x v="1"/>
    <s v="OK"/>
  </r>
  <r>
    <d v="2025-06-08T00:00:00"/>
    <x v="5"/>
    <n v="-67.5"/>
    <x v="8"/>
    <m/>
    <s v="Uitgave"/>
    <n v="-67.5"/>
    <x v="1"/>
    <s v="OK"/>
  </r>
  <r>
    <d v="2025-06-09T00:00:00"/>
    <x v="5"/>
    <n v="-21.57"/>
    <x v="2"/>
    <m/>
    <s v="Uitgave"/>
    <n v="-21.57"/>
    <x v="2"/>
    <s v="OK"/>
  </r>
  <r>
    <d v="2025-06-09T00:00:00"/>
    <x v="5"/>
    <n v="-12.01"/>
    <x v="43"/>
    <m/>
    <s v="Uitgave"/>
    <n v="-12.01"/>
    <x v="2"/>
    <s v="OK"/>
  </r>
  <r>
    <d v="2025-06-10T00:00:00"/>
    <x v="5"/>
    <n v="-26.57"/>
    <x v="2"/>
    <m/>
    <s v="Uitgave"/>
    <n v="-26.57"/>
    <x v="2"/>
    <s v="OK"/>
  </r>
  <r>
    <d v="2025-06-10T00:00:00"/>
    <x v="5"/>
    <n v="-2.74"/>
    <x v="2"/>
    <m/>
    <s v="Uitgave"/>
    <n v="-2.74"/>
    <x v="2"/>
    <s v="OK"/>
  </r>
  <r>
    <d v="2025-06-10T00:00:00"/>
    <x v="5"/>
    <n v="-11.15"/>
    <x v="53"/>
    <m/>
    <s v="Uitgave"/>
    <n v="-11.15"/>
    <x v="1"/>
    <s v="OK"/>
  </r>
  <r>
    <d v="2025-06-10T00:00:00"/>
    <x v="5"/>
    <n v="-49.3"/>
    <x v="17"/>
    <m/>
    <s v="Uitgave"/>
    <n v="-49.3"/>
    <x v="1"/>
    <s v="OK"/>
  </r>
  <r>
    <d v="2025-06-10T00:00:00"/>
    <x v="5"/>
    <n v="-0.9"/>
    <x v="11"/>
    <m/>
    <s v="Uitgave"/>
    <n v="-0.9"/>
    <x v="1"/>
    <s v="OK"/>
  </r>
  <r>
    <d v="2025-06-11T00:00:00"/>
    <x v="5"/>
    <n v="-11.46"/>
    <x v="2"/>
    <m/>
    <s v="Uitgave"/>
    <n v="-11.46"/>
    <x v="2"/>
    <s v="OK"/>
  </r>
  <r>
    <d v="2025-06-11T00:00:00"/>
    <x v="5"/>
    <n v="-10.83"/>
    <x v="2"/>
    <m/>
    <s v="Uitgave"/>
    <n v="-10.83"/>
    <x v="2"/>
    <s v="OK"/>
  </r>
  <r>
    <d v="2025-06-11T00:00:00"/>
    <x v="5"/>
    <n v="-2.88"/>
    <x v="2"/>
    <m/>
    <s v="Uitgave"/>
    <n v="-2.88"/>
    <x v="2"/>
    <s v="OK"/>
  </r>
  <r>
    <d v="2025-06-11T00:00:00"/>
    <x v="5"/>
    <n v="-130"/>
    <x v="29"/>
    <m/>
    <s v="Uitgave"/>
    <n v="-130"/>
    <x v="1"/>
    <s v="OK"/>
  </r>
  <r>
    <d v="2025-06-11T00:00:00"/>
    <x v="5"/>
    <n v="-1.8"/>
    <x v="11"/>
    <m/>
    <s v="Uitgave"/>
    <n v="-1.8"/>
    <x v="1"/>
    <s v="OK"/>
  </r>
  <r>
    <d v="2025-06-11T00:00:00"/>
    <x v="5"/>
    <n v="-4.78"/>
    <x v="2"/>
    <m/>
    <s v="Uitgave"/>
    <n v="-4.78"/>
    <x v="2"/>
    <s v="OK"/>
  </r>
  <r>
    <d v="2025-06-12T00:00:00"/>
    <x v="5"/>
    <n v="-4.7300000000000004"/>
    <x v="2"/>
    <m/>
    <s v="Uitgave"/>
    <n v="-4.7300000000000004"/>
    <x v="2"/>
    <s v="OK"/>
  </r>
  <r>
    <d v="2025-06-12T00:00:00"/>
    <x v="5"/>
    <n v="-10.89"/>
    <x v="2"/>
    <m/>
    <s v="Uitgave"/>
    <n v="-10.89"/>
    <x v="2"/>
    <s v="OK"/>
  </r>
  <r>
    <d v="2025-06-12T00:00:00"/>
    <x v="5"/>
    <n v="-10.050000000000001"/>
    <x v="2"/>
    <m/>
    <s v="Uitgave"/>
    <n v="-10.050000000000001"/>
    <x v="2"/>
    <s v="OK"/>
  </r>
  <r>
    <d v="2025-06-12T00:00:00"/>
    <x v="5"/>
    <n v="-18"/>
    <x v="12"/>
    <m/>
    <s v="Uitgave"/>
    <n v="-18"/>
    <x v="1"/>
    <s v="OK"/>
  </r>
  <r>
    <d v="2025-06-12T00:00:00"/>
    <x v="5"/>
    <n v="-15.19"/>
    <x v="2"/>
    <m/>
    <s v="Uitgave"/>
    <n v="-15.19"/>
    <x v="2"/>
    <s v="OK"/>
  </r>
  <r>
    <d v="2025-06-12T00:00:00"/>
    <x v="5"/>
    <n v="-67.5"/>
    <x v="8"/>
    <m/>
    <s v="Uitgave"/>
    <n v="-67.5"/>
    <x v="1"/>
    <s v="OK"/>
  </r>
  <r>
    <d v="2025-06-12T00:00:00"/>
    <x v="5"/>
    <n v="50"/>
    <x v="17"/>
    <m/>
    <s v="Inkomst"/>
    <n v="50"/>
    <x v="1"/>
    <s v="OK"/>
  </r>
  <r>
    <d v="2025-06-12T00:00:00"/>
    <x v="5"/>
    <n v="-0.9"/>
    <x v="11"/>
    <m/>
    <s v="Uitgave"/>
    <n v="-0.9"/>
    <x v="1"/>
    <s v="OK"/>
  </r>
  <r>
    <d v="2025-06-12T00:00:00"/>
    <x v="5"/>
    <n v="-1.5"/>
    <x v="11"/>
    <m/>
    <s v="Uitgave"/>
    <n v="-1.5"/>
    <x v="1"/>
    <s v="OK"/>
  </r>
  <r>
    <d v="2025-06-12T00:00:00"/>
    <x v="5"/>
    <n v="-38"/>
    <x v="16"/>
    <m/>
    <s v="Uitgave"/>
    <n v="-38"/>
    <x v="2"/>
    <s v="OK"/>
  </r>
  <r>
    <d v="2025-06-12T00:00:00"/>
    <x v="5"/>
    <n v="-8"/>
    <x v="4"/>
    <m/>
    <s v="Uitgave"/>
    <n v="-8"/>
    <x v="2"/>
    <s v="OK"/>
  </r>
  <r>
    <d v="2025-06-12T00:00:00"/>
    <x v="5"/>
    <n v="-18.61"/>
    <x v="54"/>
    <m/>
    <s v="Uitgave"/>
    <n v="-18.61"/>
    <x v="1"/>
    <s v="OK"/>
  </r>
  <r>
    <d v="2025-06-13T00:00:00"/>
    <x v="5"/>
    <n v="-3.99"/>
    <x v="2"/>
    <m/>
    <s v="Uitgave"/>
    <n v="-3.99"/>
    <x v="2"/>
    <s v="OK"/>
  </r>
  <r>
    <d v="2025-06-13T00:00:00"/>
    <x v="5"/>
    <n v="-22.37"/>
    <x v="2"/>
    <m/>
    <s v="Uitgave"/>
    <n v="-22.37"/>
    <x v="2"/>
    <s v="OK"/>
  </r>
  <r>
    <d v="2025-06-13T00:00:00"/>
    <x v="5"/>
    <n v="-1.99"/>
    <x v="2"/>
    <m/>
    <s v="Uitgave"/>
    <n v="-1.99"/>
    <x v="2"/>
    <s v="OK"/>
  </r>
  <r>
    <d v="2025-06-13T00:00:00"/>
    <x v="5"/>
    <n v="-45.98"/>
    <x v="12"/>
    <m/>
    <s v="Uitgave"/>
    <n v="-45.98"/>
    <x v="1"/>
    <s v="OK"/>
  </r>
  <r>
    <d v="2025-06-13T00:00:00"/>
    <x v="5"/>
    <n v="4.5999999999999996"/>
    <x v="2"/>
    <m/>
    <s v="Inkomst"/>
    <n v="4.5999999999999996"/>
    <x v="2"/>
    <s v="OK"/>
  </r>
  <r>
    <d v="2025-06-13T00:00:00"/>
    <x v="5"/>
    <n v="4.5999999999999996"/>
    <x v="2"/>
    <m/>
    <s v="Inkomst"/>
    <n v="4.5999999999999996"/>
    <x v="2"/>
    <s v="OK"/>
  </r>
  <r>
    <d v="2025-06-13T00:00:00"/>
    <x v="5"/>
    <n v="-108.31"/>
    <x v="6"/>
    <m/>
    <s v="Uitgave"/>
    <n v="-108.31"/>
    <x v="2"/>
    <s v="OK"/>
  </r>
  <r>
    <d v="2025-06-14T00:00:00"/>
    <x v="5"/>
    <n v="-44.63"/>
    <x v="2"/>
    <m/>
    <s v="Uitgave"/>
    <n v="-44.63"/>
    <x v="2"/>
    <s v="OK"/>
  </r>
  <r>
    <d v="2025-06-15T00:00:00"/>
    <x v="5"/>
    <n v="-43.53"/>
    <x v="2"/>
    <m/>
    <s v="Uitgave"/>
    <n v="-43.53"/>
    <x v="2"/>
    <s v="OK"/>
  </r>
  <r>
    <d v="2025-06-15T00:00:00"/>
    <x v="5"/>
    <n v="-4.5"/>
    <x v="22"/>
    <m/>
    <s v="Uitgave"/>
    <n v="-4.5"/>
    <x v="1"/>
    <s v="OK"/>
  </r>
  <r>
    <d v="2025-06-15T00:00:00"/>
    <x v="5"/>
    <n v="-3.69"/>
    <x v="2"/>
    <m/>
    <s v="Uitgave"/>
    <n v="-3.69"/>
    <x v="2"/>
    <s v="OK"/>
  </r>
  <r>
    <d v="2025-06-15T00:00:00"/>
    <x v="5"/>
    <n v="-12.87"/>
    <x v="2"/>
    <m/>
    <s v="Uitgave"/>
    <n v="-12.87"/>
    <x v="2"/>
    <s v="OK"/>
  </r>
  <r>
    <d v="2025-06-16T00:00:00"/>
    <x v="5"/>
    <n v="-12.1"/>
    <x v="9"/>
    <m/>
    <s v="Uitgave"/>
    <n v="-12.1"/>
    <x v="1"/>
    <s v="OK"/>
  </r>
  <r>
    <d v="2025-06-16T00:00:00"/>
    <x v="5"/>
    <n v="-13.22"/>
    <x v="2"/>
    <m/>
    <s v="Uitgave"/>
    <n v="-13.22"/>
    <x v="2"/>
    <s v="OK"/>
  </r>
  <r>
    <d v="2025-06-16T00:00:00"/>
    <x v="5"/>
    <n v="-10.07"/>
    <x v="2"/>
    <m/>
    <s v="Uitgave"/>
    <n v="-10.07"/>
    <x v="2"/>
    <s v="OK"/>
  </r>
  <r>
    <d v="2025-06-16T00:00:00"/>
    <x v="5"/>
    <n v="-24.3"/>
    <x v="2"/>
    <m/>
    <s v="Uitgave"/>
    <n v="-24.3"/>
    <x v="2"/>
    <s v="OK"/>
  </r>
  <r>
    <d v="2025-06-16T00:00:00"/>
    <x v="5"/>
    <n v="-5"/>
    <x v="2"/>
    <m/>
    <s v="Uitgave"/>
    <n v="-5"/>
    <x v="2"/>
    <s v="OK"/>
  </r>
  <r>
    <d v="2025-06-16T00:00:00"/>
    <x v="5"/>
    <n v="-12.5"/>
    <x v="2"/>
    <m/>
    <s v="Uitgave"/>
    <n v="-12.5"/>
    <x v="2"/>
    <s v="OK"/>
  </r>
  <r>
    <d v="2025-06-16T00:00:00"/>
    <x v="5"/>
    <n v="-0.9"/>
    <x v="11"/>
    <m/>
    <s v="Uitgave"/>
    <n v="-0.9"/>
    <x v="1"/>
    <s v="OK"/>
  </r>
  <r>
    <d v="2025-06-16T00:00:00"/>
    <x v="5"/>
    <n v="-35"/>
    <x v="12"/>
    <m/>
    <s v="Uitgave"/>
    <n v="-35"/>
    <x v="1"/>
    <s v="OK"/>
  </r>
  <r>
    <d v="2025-06-16T00:00:00"/>
    <x v="5"/>
    <n v="3.3"/>
    <x v="17"/>
    <m/>
    <s v="Inkomst"/>
    <n v="3.3"/>
    <x v="1"/>
    <s v="OK"/>
  </r>
  <r>
    <d v="2025-06-16T00:00:00"/>
    <x v="5"/>
    <n v="-81.66"/>
    <x v="27"/>
    <m/>
    <s v="Uitgave"/>
    <n v="-81.66"/>
    <x v="2"/>
    <s v="OK"/>
  </r>
  <r>
    <d v="2025-06-16T00:00:00"/>
    <x v="5"/>
    <n v="-33.549999999999997"/>
    <x v="43"/>
    <m/>
    <s v="Uitgave"/>
    <n v="-33.549999999999997"/>
    <x v="2"/>
    <s v="OK"/>
  </r>
  <r>
    <d v="2025-06-16T00:00:00"/>
    <x v="5"/>
    <n v="-85"/>
    <x v="27"/>
    <m/>
    <s v="Uitgave"/>
    <n v="-85"/>
    <x v="2"/>
    <s v="OK"/>
  </r>
  <r>
    <d v="2025-06-17T00:00:00"/>
    <x v="5"/>
    <n v="-4"/>
    <x v="16"/>
    <m/>
    <s v="Uitgave"/>
    <n v="-4"/>
    <x v="2"/>
    <s v="OK"/>
  </r>
  <r>
    <d v="2025-06-17T00:00:00"/>
    <x v="5"/>
    <n v="-25.81"/>
    <x v="16"/>
    <m/>
    <s v="Uitgave"/>
    <n v="-25.81"/>
    <x v="2"/>
    <s v="OK"/>
  </r>
  <r>
    <d v="2025-06-17T00:00:00"/>
    <x v="5"/>
    <n v="-8.7100000000000009"/>
    <x v="2"/>
    <m/>
    <s v="Uitgave"/>
    <n v="-8.7100000000000009"/>
    <x v="2"/>
    <s v="OK"/>
  </r>
  <r>
    <d v="2025-06-17T00:00:00"/>
    <x v="5"/>
    <n v="-0.69"/>
    <x v="2"/>
    <m/>
    <s v="Uitgave"/>
    <n v="-0.69"/>
    <x v="2"/>
    <s v="OK"/>
  </r>
  <r>
    <d v="2025-06-17T00:00:00"/>
    <x v="5"/>
    <n v="-24"/>
    <x v="17"/>
    <m/>
    <s v="Uitgave"/>
    <n v="-24"/>
    <x v="1"/>
    <s v="OK"/>
  </r>
  <r>
    <d v="2025-06-17T00:00:00"/>
    <x v="5"/>
    <n v="-44.95"/>
    <x v="23"/>
    <m/>
    <s v="Uitgave"/>
    <n v="-44.95"/>
    <x v="1"/>
    <s v="OK"/>
  </r>
  <r>
    <d v="2025-06-18T00:00:00"/>
    <x v="5"/>
    <n v="-10.95"/>
    <x v="16"/>
    <m/>
    <s v="Uitgave"/>
    <n v="-10.95"/>
    <x v="2"/>
    <s v="OK"/>
  </r>
  <r>
    <d v="2025-06-18T00:00:00"/>
    <x v="5"/>
    <n v="-21.19"/>
    <x v="9"/>
    <m/>
    <s v="Uitgave"/>
    <n v="-21.19"/>
    <x v="1"/>
    <s v="OK"/>
  </r>
  <r>
    <d v="2025-06-18T00:00:00"/>
    <x v="5"/>
    <n v="-1.55"/>
    <x v="2"/>
    <m/>
    <s v="Uitgave"/>
    <n v="-1.55"/>
    <x v="2"/>
    <s v="OK"/>
  </r>
  <r>
    <d v="2025-06-18T00:00:00"/>
    <x v="5"/>
    <n v="-6.52"/>
    <x v="30"/>
    <m/>
    <s v="Uitgave"/>
    <n v="-6.52"/>
    <x v="2"/>
    <s v="OK"/>
  </r>
  <r>
    <d v="2025-06-18T00:00:00"/>
    <x v="5"/>
    <n v="-7.23"/>
    <x v="2"/>
    <m/>
    <s v="Uitgave"/>
    <n v="-7.23"/>
    <x v="2"/>
    <s v="OK"/>
  </r>
  <r>
    <d v="2025-06-18T00:00:00"/>
    <x v="5"/>
    <n v="-7.58"/>
    <x v="51"/>
    <m/>
    <s v="Uitgave"/>
    <n v="-7.58"/>
    <x v="2"/>
    <s v="OK"/>
  </r>
  <r>
    <d v="2025-06-19T00:00:00"/>
    <x v="5"/>
    <n v="-8.6"/>
    <x v="9"/>
    <m/>
    <s v="Uitgave"/>
    <n v="-8.6"/>
    <x v="1"/>
    <s v="OK"/>
  </r>
  <r>
    <d v="2025-06-19T00:00:00"/>
    <x v="5"/>
    <n v="-9.73"/>
    <x v="2"/>
    <m/>
    <s v="Uitgave"/>
    <n v="-9.73"/>
    <x v="2"/>
    <s v="OK"/>
  </r>
  <r>
    <d v="2025-06-19T00:00:00"/>
    <x v="5"/>
    <n v="-3.95"/>
    <x v="22"/>
    <m/>
    <s v="Uitgave"/>
    <n v="-3.95"/>
    <x v="1"/>
    <s v="OK"/>
  </r>
  <r>
    <d v="2025-06-19T00:00:00"/>
    <x v="5"/>
    <n v="-3.1"/>
    <x v="48"/>
    <m/>
    <s v="Uitgave"/>
    <n v="-3.1"/>
    <x v="1"/>
    <s v="OK"/>
  </r>
  <r>
    <d v="2025-06-19T00:00:00"/>
    <x v="5"/>
    <n v="-10.73"/>
    <x v="2"/>
    <m/>
    <s v="Uitgave"/>
    <n v="-10.73"/>
    <x v="2"/>
    <s v="OK"/>
  </r>
  <r>
    <d v="2025-06-19T00:00:00"/>
    <x v="5"/>
    <n v="-32.99"/>
    <x v="29"/>
    <m/>
    <s v="Uitgave"/>
    <n v="-32.99"/>
    <x v="1"/>
    <s v="OK"/>
  </r>
  <r>
    <d v="2025-06-19T00:00:00"/>
    <x v="5"/>
    <n v="-9"/>
    <x v="5"/>
    <m/>
    <s v="Uitgave"/>
    <n v="-9"/>
    <x v="1"/>
    <s v="OK"/>
  </r>
  <r>
    <d v="2025-06-20T00:00:00"/>
    <x v="5"/>
    <n v="-24.96"/>
    <x v="2"/>
    <m/>
    <s v="Uitgave"/>
    <n v="-24.96"/>
    <x v="2"/>
    <s v="OK"/>
  </r>
  <r>
    <d v="2025-06-20T00:00:00"/>
    <x v="5"/>
    <n v="-8.98"/>
    <x v="2"/>
    <m/>
    <s v="Uitgave"/>
    <n v="-8.98"/>
    <x v="2"/>
    <s v="OK"/>
  </r>
  <r>
    <d v="2025-06-20T00:00:00"/>
    <x v="5"/>
    <n v="-32.950000000000003"/>
    <x v="2"/>
    <m/>
    <s v="Uitgave"/>
    <n v="-32.950000000000003"/>
    <x v="2"/>
    <s v="OK"/>
  </r>
  <r>
    <d v="2025-06-20T00:00:00"/>
    <x v="5"/>
    <n v="-13.79"/>
    <x v="2"/>
    <m/>
    <s v="Uitgave"/>
    <n v="-13.79"/>
    <x v="2"/>
    <s v="OK"/>
  </r>
  <r>
    <d v="2025-06-20T00:00:00"/>
    <x v="5"/>
    <n v="-53.29"/>
    <x v="33"/>
    <m/>
    <s v="Uitgave"/>
    <n v="-53.29"/>
    <x v="2"/>
    <s v="OK"/>
  </r>
  <r>
    <d v="2025-06-20T00:00:00"/>
    <x v="5"/>
    <n v="-46.7"/>
    <x v="30"/>
    <m/>
    <s v="Uitgave"/>
    <n v="-46.7"/>
    <x v="2"/>
    <s v="OK"/>
  </r>
  <r>
    <d v="2025-06-20T00:00:00"/>
    <x v="5"/>
    <n v="-232.8"/>
    <x v="16"/>
    <m/>
    <s v="Uitgave"/>
    <n v="-232.8"/>
    <x v="2"/>
    <s v="OK"/>
  </r>
  <r>
    <d v="2025-06-21T00:00:00"/>
    <x v="5"/>
    <n v="-5.38"/>
    <x v="2"/>
    <m/>
    <s v="Uitgave"/>
    <n v="-5.38"/>
    <x v="2"/>
    <s v="OK"/>
  </r>
  <r>
    <d v="2025-06-21T00:00:00"/>
    <x v="5"/>
    <n v="-27.78"/>
    <x v="2"/>
    <m/>
    <s v="Uitgave"/>
    <n v="-27.78"/>
    <x v="2"/>
    <s v="OK"/>
  </r>
  <r>
    <d v="2025-06-21T00:00:00"/>
    <x v="5"/>
    <n v="-16.79"/>
    <x v="2"/>
    <m/>
    <s v="Uitgave"/>
    <n v="-16.79"/>
    <x v="2"/>
    <s v="OK"/>
  </r>
  <r>
    <d v="2025-06-21T00:00:00"/>
    <x v="5"/>
    <n v="-57.5"/>
    <x v="2"/>
    <m/>
    <s v="Uitgave"/>
    <n v="-57.5"/>
    <x v="2"/>
    <s v="OK"/>
  </r>
  <r>
    <d v="2025-06-21T00:00:00"/>
    <x v="5"/>
    <n v="-17.22"/>
    <x v="2"/>
    <m/>
    <s v="Uitgave"/>
    <n v="-17.22"/>
    <x v="2"/>
    <s v="OK"/>
  </r>
  <r>
    <d v="2025-06-21T00:00:00"/>
    <x v="5"/>
    <n v="-42.15"/>
    <x v="22"/>
    <m/>
    <s v="Uitgave"/>
    <n v="-42.15"/>
    <x v="1"/>
    <s v="OK"/>
  </r>
  <r>
    <d v="2025-06-21T00:00:00"/>
    <x v="5"/>
    <n v="-16.579999999999998"/>
    <x v="26"/>
    <m/>
    <s v="Uitgave"/>
    <n v="-16.579999999999998"/>
    <x v="1"/>
    <s v="OK"/>
  </r>
  <r>
    <d v="2025-06-21T00:00:00"/>
    <x v="5"/>
    <n v="-2.19"/>
    <x v="2"/>
    <m/>
    <s v="Uitgave"/>
    <n v="-2.19"/>
    <x v="2"/>
    <s v="OK"/>
  </r>
  <r>
    <d v="2025-06-21T00:00:00"/>
    <x v="5"/>
    <n v="-32.81"/>
    <x v="53"/>
    <m/>
    <s v="Uitgave"/>
    <n v="-32.81"/>
    <x v="1"/>
    <s v="OK"/>
  </r>
  <r>
    <d v="2025-06-21T00:00:00"/>
    <x v="5"/>
    <n v="-48.99"/>
    <x v="29"/>
    <m/>
    <s v="Uitgave"/>
    <n v="-48.99"/>
    <x v="1"/>
    <s v="OK"/>
  </r>
  <r>
    <d v="2025-06-22T00:00:00"/>
    <x v="5"/>
    <n v="-9.6300000000000008"/>
    <x v="2"/>
    <m/>
    <s v="Uitgave"/>
    <n v="-9.6300000000000008"/>
    <x v="2"/>
    <s v="OK"/>
  </r>
  <r>
    <d v="2025-06-22T00:00:00"/>
    <x v="5"/>
    <n v="-12.53"/>
    <x v="2"/>
    <m/>
    <s v="Uitgave"/>
    <n v="-12.53"/>
    <x v="2"/>
    <s v="OK"/>
  </r>
  <r>
    <d v="2025-06-22T00:00:00"/>
    <x v="5"/>
    <n v="-310.06"/>
    <x v="45"/>
    <m/>
    <s v="Uitgave"/>
    <n v="-310.06"/>
    <x v="2"/>
    <s v="OK"/>
  </r>
  <r>
    <d v="2025-06-22T00:00:00"/>
    <x v="5"/>
    <n v="-3.9"/>
    <x v="2"/>
    <m/>
    <s v="Uitgave"/>
    <n v="-3.9"/>
    <x v="2"/>
    <s v="OK"/>
  </r>
  <r>
    <d v="2025-06-23T00:00:00"/>
    <x v="5"/>
    <n v="209.75"/>
    <x v="16"/>
    <m/>
    <s v="Inkomst"/>
    <n v="209.75"/>
    <x v="2"/>
    <s v="OK"/>
  </r>
  <r>
    <d v="2025-06-23T00:00:00"/>
    <x v="5"/>
    <n v="-4"/>
    <x v="16"/>
    <m/>
    <s v="Uitgave"/>
    <n v="-4"/>
    <x v="2"/>
    <s v="OK"/>
  </r>
  <r>
    <d v="2025-06-23T00:00:00"/>
    <x v="5"/>
    <n v="-9.6999999999999993"/>
    <x v="2"/>
    <m/>
    <s v="Uitgave"/>
    <n v="-9.6999999999999993"/>
    <x v="2"/>
    <s v="OK"/>
  </r>
  <r>
    <d v="2025-06-23T00:00:00"/>
    <x v="5"/>
    <n v="-12.3"/>
    <x v="2"/>
    <m/>
    <s v="Uitgave"/>
    <n v="-12.3"/>
    <x v="2"/>
    <s v="OK"/>
  </r>
  <r>
    <d v="2025-06-23T00:00:00"/>
    <x v="5"/>
    <n v="-2.12"/>
    <x v="2"/>
    <m/>
    <s v="Uitgave"/>
    <n v="-2.12"/>
    <x v="2"/>
    <s v="OK"/>
  </r>
  <r>
    <d v="2025-06-24T00:00:00"/>
    <x v="5"/>
    <n v="-6.58"/>
    <x v="2"/>
    <m/>
    <s v="Uitgave"/>
    <n v="-6.58"/>
    <x v="2"/>
    <s v="OK"/>
  </r>
  <r>
    <d v="2025-06-24T00:00:00"/>
    <x v="5"/>
    <n v="-4.58"/>
    <x v="2"/>
    <m/>
    <s v="Uitgave"/>
    <n v="-4.58"/>
    <x v="2"/>
    <s v="OK"/>
  </r>
  <r>
    <d v="2025-06-24T00:00:00"/>
    <x v="5"/>
    <n v="-4.7300000000000004"/>
    <x v="4"/>
    <m/>
    <s v="Uitgave"/>
    <n v="-4.7300000000000004"/>
    <x v="2"/>
    <s v="OK"/>
  </r>
  <r>
    <d v="2025-06-24T00:00:00"/>
    <x v="5"/>
    <n v="-1.2"/>
    <x v="11"/>
    <m/>
    <s v="Uitgave"/>
    <n v="-1.2"/>
    <x v="1"/>
    <s v="OK"/>
  </r>
  <r>
    <d v="2025-06-24T00:00:00"/>
    <x v="5"/>
    <n v="-1.1000000000000001"/>
    <x v="11"/>
    <m/>
    <s v="Uitgave"/>
    <n v="-1.1000000000000001"/>
    <x v="1"/>
    <s v="OK"/>
  </r>
  <r>
    <d v="2025-06-25T00:00:00"/>
    <x v="5"/>
    <n v="-38.4"/>
    <x v="9"/>
    <m/>
    <s v="Uitgave"/>
    <n v="-38.4"/>
    <x v="1"/>
    <s v="OK"/>
  </r>
  <r>
    <d v="2025-06-25T00:00:00"/>
    <x v="5"/>
    <n v="-13.77"/>
    <x v="2"/>
    <m/>
    <s v="Uitgave"/>
    <n v="-13.77"/>
    <x v="2"/>
    <s v="OK"/>
  </r>
  <r>
    <d v="2025-06-25T00:00:00"/>
    <x v="5"/>
    <n v="-8.07"/>
    <x v="2"/>
    <m/>
    <s v="Uitgave"/>
    <n v="-8.07"/>
    <x v="2"/>
    <s v="OK"/>
  </r>
  <r>
    <d v="2025-06-25T00:00:00"/>
    <x v="5"/>
    <n v="-5.96"/>
    <x v="4"/>
    <m/>
    <s v="Uitgave"/>
    <n v="-5.96"/>
    <x v="2"/>
    <s v="OK"/>
  </r>
  <r>
    <d v="2025-06-25T00:00:00"/>
    <x v="5"/>
    <n v="-5"/>
    <x v="4"/>
    <m/>
    <s v="Uitgave"/>
    <n v="-5"/>
    <x v="2"/>
    <s v="OK"/>
  </r>
  <r>
    <d v="2025-06-25T00:00:00"/>
    <x v="5"/>
    <n v="-0.9"/>
    <x v="11"/>
    <m/>
    <s v="Uitgave"/>
    <n v="-0.9"/>
    <x v="1"/>
    <s v="OK"/>
  </r>
  <r>
    <d v="2025-06-26T00:00:00"/>
    <x v="5"/>
    <n v="-12.25"/>
    <x v="2"/>
    <m/>
    <s v="Uitgave"/>
    <n v="-12.25"/>
    <x v="2"/>
    <s v="OK"/>
  </r>
  <r>
    <d v="2025-06-26T00:00:00"/>
    <x v="5"/>
    <n v="-9.4700000000000006"/>
    <x v="2"/>
    <m/>
    <s v="Uitgave"/>
    <n v="-9.4700000000000006"/>
    <x v="2"/>
    <s v="OK"/>
  </r>
  <r>
    <d v="2025-06-26T00:00:00"/>
    <x v="5"/>
    <n v="-22.9"/>
    <x v="58"/>
    <m/>
    <s v="Uitgave"/>
    <n v="-22.9"/>
    <x v="1"/>
    <s v="OK"/>
  </r>
  <r>
    <d v="2025-06-26T00:00:00"/>
    <x v="5"/>
    <n v="-1.5"/>
    <x v="11"/>
    <m/>
    <s v="Uitgave"/>
    <n v="-1.5"/>
    <x v="1"/>
    <s v="OK"/>
  </r>
  <r>
    <d v="2025-06-26T00:00:00"/>
    <x v="5"/>
    <n v="-1.5"/>
    <x v="11"/>
    <m/>
    <s v="Uitgave"/>
    <n v="-1.5"/>
    <x v="1"/>
    <s v="OK"/>
  </r>
  <r>
    <d v="2025-06-26T00:00:00"/>
    <x v="5"/>
    <n v="-150"/>
    <x v="35"/>
    <m/>
    <s v="Uitgave"/>
    <n v="-150"/>
    <x v="1"/>
    <s v="OK"/>
  </r>
  <r>
    <d v="2025-06-26T00:00:00"/>
    <x v="5"/>
    <n v="-113.49"/>
    <x v="59"/>
    <m/>
    <s v="Uitgave"/>
    <n v="-113.49"/>
    <x v="2"/>
    <s v="OK"/>
  </r>
  <r>
    <d v="2025-06-27T00:00:00"/>
    <x v="5"/>
    <n v="-9.19"/>
    <x v="2"/>
    <m/>
    <s v="Uitgave"/>
    <n v="-9.19"/>
    <x v="2"/>
    <s v="OK"/>
  </r>
  <r>
    <d v="2025-06-27T00:00:00"/>
    <x v="5"/>
    <n v="-14.68"/>
    <x v="25"/>
    <m/>
    <s v="Uitgave"/>
    <n v="-14.68"/>
    <x v="1"/>
    <s v="OK"/>
  </r>
  <r>
    <d v="2025-06-27T00:00:00"/>
    <x v="5"/>
    <n v="-69.98"/>
    <x v="14"/>
    <m/>
    <s v="Uitgave"/>
    <n v="-69.98"/>
    <x v="1"/>
    <s v="OK"/>
  </r>
  <r>
    <d v="2025-06-27T00:00:00"/>
    <x v="5"/>
    <n v="-14"/>
    <x v="2"/>
    <m/>
    <s v="Uitgave"/>
    <n v="-14"/>
    <x v="2"/>
    <s v="OK"/>
  </r>
  <r>
    <d v="2025-06-27T00:00:00"/>
    <x v="5"/>
    <n v="-1.5"/>
    <x v="11"/>
    <m/>
    <s v="Uitgave"/>
    <n v="-1.5"/>
    <x v="1"/>
    <s v="OK"/>
  </r>
  <r>
    <d v="2025-06-27T00:00:00"/>
    <x v="5"/>
    <n v="-1.5"/>
    <x v="11"/>
    <m/>
    <s v="Uitgave"/>
    <n v="-1.5"/>
    <x v="1"/>
    <s v="OK"/>
  </r>
  <r>
    <d v="2025-06-27T00:00:00"/>
    <x v="5"/>
    <n v="-26.07"/>
    <x v="2"/>
    <m/>
    <s v="Uitgave"/>
    <n v="-26.07"/>
    <x v="2"/>
    <s v="OK"/>
  </r>
  <r>
    <d v="2025-06-28T00:00:00"/>
    <x v="5"/>
    <n v="-11.21"/>
    <x v="2"/>
    <m/>
    <s v="Uitgave"/>
    <n v="-11.21"/>
    <x v="2"/>
    <s v="OK"/>
  </r>
  <r>
    <d v="2025-06-28T00:00:00"/>
    <x v="5"/>
    <n v="-24.75"/>
    <x v="2"/>
    <m/>
    <s v="Uitgave"/>
    <n v="-24.75"/>
    <x v="2"/>
    <s v="OK"/>
  </r>
  <r>
    <d v="2025-06-28T00:00:00"/>
    <x v="5"/>
    <n v="-3.19"/>
    <x v="2"/>
    <m/>
    <s v="Uitgave"/>
    <n v="-3.19"/>
    <x v="2"/>
    <s v="OK"/>
  </r>
  <r>
    <d v="2025-06-28T00:00:00"/>
    <x v="5"/>
    <n v="-11.95"/>
    <x v="2"/>
    <m/>
    <s v="Uitgave"/>
    <n v="-11.95"/>
    <x v="2"/>
    <s v="OK"/>
  </r>
  <r>
    <d v="2025-06-29T00:00:00"/>
    <x v="5"/>
    <n v="-18"/>
    <x v="8"/>
    <m/>
    <s v="Uitgave"/>
    <n v="-18"/>
    <x v="1"/>
    <s v="OK"/>
  </r>
  <r>
    <d v="2025-06-29T00:00:00"/>
    <x v="5"/>
    <n v="-22.03"/>
    <x v="8"/>
    <m/>
    <s v="Uitgave"/>
    <n v="-22.03"/>
    <x v="1"/>
    <s v="OK"/>
  </r>
  <r>
    <d v="2025-06-29T00:00:00"/>
    <x v="5"/>
    <n v="-17.350000000000001"/>
    <x v="8"/>
    <m/>
    <s v="Uitgave"/>
    <n v="-17.350000000000001"/>
    <x v="1"/>
    <s v="OK"/>
  </r>
  <r>
    <d v="2025-06-29T00:00:00"/>
    <x v="5"/>
    <n v="-30"/>
    <x v="32"/>
    <m/>
    <s v="Uitgave"/>
    <n v="-30"/>
    <x v="1"/>
    <s v="OK"/>
  </r>
  <r>
    <d v="2025-06-30T00:00:00"/>
    <x v="5"/>
    <n v="-240"/>
    <x v="16"/>
    <m/>
    <s v="Uitgave"/>
    <n v="-240"/>
    <x v="2"/>
    <s v="OK"/>
  </r>
  <r>
    <d v="2025-06-30T00:00:00"/>
    <x v="5"/>
    <n v="-1.5"/>
    <x v="40"/>
    <m/>
    <s v="Uitgave"/>
    <n v="-1.5"/>
    <x v="2"/>
    <s v="OK"/>
  </r>
  <r>
    <d v="2025-06-30T00:00:00"/>
    <x v="5"/>
    <n v="-3.35"/>
    <x v="5"/>
    <m/>
    <s v="Uitgave"/>
    <n v="-3.35"/>
    <x v="1"/>
    <s v="OK"/>
  </r>
  <r>
    <d v="2025-06-30T00:00:00"/>
    <x v="5"/>
    <n v="-44.64"/>
    <x v="3"/>
    <s v="EUROPESE DOMICILIERING               31-12 SCHULDEISER     : KBC VERZEKERINGEN REF. SCHULDEISER: 390794481282 MANDAATREFERTE  : L00194638787V0001 EIGEN OMSCHR.   : HOSPITALISATIEVERZEKERING MEDEDELING      : POL.54467509 31/12/2024-31/01/2025 HOSPITALISATIEVERZEKERING"/>
    <s v="Uitgave"/>
    <n v="-44.64"/>
    <x v="2"/>
    <s v="OK"/>
  </r>
  <r>
    <d v="2025-06-30T00:00:00"/>
    <x v="5"/>
    <n v="-74.430000000000007"/>
    <x v="37"/>
    <m/>
    <s v="Uitgave"/>
    <n v="-74.430000000000007"/>
    <x v="2"/>
    <s v="OK"/>
  </r>
  <r>
    <d v="2025-06-30T00:00:00"/>
    <x v="5"/>
    <n v="-443.03"/>
    <x v="36"/>
    <m/>
    <s v="Uitgave"/>
    <n v="-443.03"/>
    <x v="2"/>
    <s v="OK"/>
  </r>
  <r>
    <d v="2025-06-30T00:00:00"/>
    <x v="5"/>
    <n v="-7.49"/>
    <x v="2"/>
    <m/>
    <s v="Uitgave"/>
    <n v="-7.49"/>
    <x v="2"/>
    <s v="OK"/>
  </r>
  <r>
    <d v="2025-06-30T00:00:00"/>
    <x v="5"/>
    <n v="8"/>
    <x v="17"/>
    <m/>
    <s v="Inkomst"/>
    <n v="8"/>
    <x v="1"/>
    <s v="OK"/>
  </r>
  <r>
    <d v="2025-06-30T00:00:00"/>
    <x v="5"/>
    <n v="-143.09"/>
    <x v="36"/>
    <m/>
    <s v="Uitgave"/>
    <n v="-143.09"/>
    <x v="2"/>
    <s v="OK"/>
  </r>
  <r>
    <d v="2025-06-30T00:00:00"/>
    <x v="5"/>
    <n v="-46.65"/>
    <x v="60"/>
    <m/>
    <s v="Uitgave"/>
    <n v="-46.65"/>
    <x v="1"/>
    <s v="OK"/>
  </r>
  <r>
    <d v="2025-06-30T00:00:00"/>
    <x v="5"/>
    <n v="-2.19"/>
    <x v="2"/>
    <m/>
    <s v="Uitgave"/>
    <n v="-2.19"/>
    <x v="2"/>
    <s v="OK"/>
  </r>
  <r>
    <d v="2025-06-30T00:00:00"/>
    <x v="5"/>
    <n v="-19.64"/>
    <x v="2"/>
    <m/>
    <s v="Uitgave"/>
    <n v="-19.64"/>
    <x v="2"/>
    <s v="OK"/>
  </r>
  <r>
    <d v="2025-06-30T00:00:00"/>
    <x v="5"/>
    <n v="-7.63"/>
    <x v="2"/>
    <m/>
    <s v="Uitgave"/>
    <n v="-7.63"/>
    <x v="2"/>
    <s v="OK"/>
  </r>
  <r>
    <d v="2025-07-01T00:00:00"/>
    <x v="6"/>
    <n v="2376.23"/>
    <x v="0"/>
    <m/>
    <s v="Inkomst"/>
    <n v="2376.23"/>
    <x v="0"/>
    <s v="OK"/>
  </r>
  <r>
    <d v="2025-07-01T00:00:00"/>
    <x v="6"/>
    <n v="2663.51"/>
    <x v="0"/>
    <m/>
    <s v="Inkomst"/>
    <n v="2663.51"/>
    <x v="0"/>
    <s v="OK"/>
  </r>
  <r>
    <d v="2025-07-01T00:00:00"/>
    <x v="6"/>
    <n v="-19.559999999999999"/>
    <x v="2"/>
    <m/>
    <s v="Uitgave"/>
    <n v="-19.559999999999999"/>
    <x v="2"/>
    <s v="OK"/>
  </r>
  <r>
    <d v="2025-07-01T00:00:00"/>
    <x v="6"/>
    <n v="-8.58"/>
    <x v="2"/>
    <m/>
    <s v="Uitgave"/>
    <n v="-8.58"/>
    <x v="2"/>
    <s v="OK"/>
  </r>
  <r>
    <d v="2025-07-01T00:00:00"/>
    <x v="6"/>
    <n v="-3.83"/>
    <x v="2"/>
    <m/>
    <s v="Uitgave"/>
    <n v="-3.83"/>
    <x v="2"/>
    <s v="OK"/>
  </r>
  <r>
    <d v="2025-07-01T00:00:00"/>
    <x v="6"/>
    <n v="-1.5"/>
    <x v="11"/>
    <m/>
    <s v="Uitgave"/>
    <n v="-1.5"/>
    <x v="1"/>
    <s v="OK"/>
  </r>
  <r>
    <d v="2025-07-01T00:00:00"/>
    <x v="6"/>
    <n v="-30"/>
    <x v="61"/>
    <m/>
    <s v="Uitgave"/>
    <n v="-30"/>
    <x v="1"/>
    <s v="OK"/>
  </r>
  <r>
    <d v="2025-07-01T00:00:00"/>
    <x v="6"/>
    <n v="-45.25"/>
    <x v="3"/>
    <m/>
    <s v="Uitgave"/>
    <n v="-45.25"/>
    <x v="2"/>
    <s v="OK"/>
  </r>
  <r>
    <d v="2025-07-01T00:00:00"/>
    <x v="6"/>
    <n v="-48.95"/>
    <x v="46"/>
    <m/>
    <s v="Uitgave"/>
    <n v="-48.95"/>
    <x v="1"/>
    <s v="OK"/>
  </r>
  <r>
    <d v="2025-07-02T00:00:00"/>
    <x v="6"/>
    <n v="-1.85"/>
    <x v="2"/>
    <m/>
    <s v="Uitgave"/>
    <n v="-1.85"/>
    <x v="2"/>
    <s v="OK"/>
  </r>
  <r>
    <d v="2025-07-02T00:00:00"/>
    <x v="6"/>
    <n v="-11.23"/>
    <x v="4"/>
    <m/>
    <s v="Uitgave"/>
    <n v="-11.23"/>
    <x v="2"/>
    <s v="OK"/>
  </r>
  <r>
    <d v="2025-07-02T00:00:00"/>
    <x v="6"/>
    <n v="-5"/>
    <x v="4"/>
    <m/>
    <s v="Uitgave"/>
    <n v="-5"/>
    <x v="2"/>
    <s v="OK"/>
  </r>
  <r>
    <d v="2025-07-02T00:00:00"/>
    <x v="6"/>
    <n v="-123"/>
    <x v="6"/>
    <m/>
    <s v="Uitgave"/>
    <n v="-123"/>
    <x v="2"/>
    <s v="OK"/>
  </r>
  <r>
    <d v="2025-07-03T00:00:00"/>
    <x v="6"/>
    <n v="-17.95"/>
    <x v="2"/>
    <m/>
    <s v="Uitgave"/>
    <n v="-17.95"/>
    <x v="2"/>
    <s v="OK"/>
  </r>
  <r>
    <d v="2025-07-03T00:00:00"/>
    <x v="6"/>
    <n v="-1.9"/>
    <x v="7"/>
    <m/>
    <s v="Uitgave"/>
    <n v="-1.9"/>
    <x v="1"/>
    <s v="OK"/>
  </r>
  <r>
    <d v="2025-07-03T00:00:00"/>
    <x v="6"/>
    <n v="-25"/>
    <x v="13"/>
    <m/>
    <s v="Uitgave"/>
    <n v="-25"/>
    <x v="2"/>
    <s v="OK"/>
  </r>
  <r>
    <d v="2025-07-03T00:00:00"/>
    <x v="6"/>
    <n v="-26.7"/>
    <x v="7"/>
    <s v="BETALING VIA BANCONTACT              03-07 03-07-2025 OM 13.45 UUR DIE KEURE BE8000 BRUGGE MET KBC-DEBETKAART 5127 88XX XXXX 8113 KAARTHOUDER: BOMBAERT BRAM"/>
    <s v="Uitgave"/>
    <n v="-26.7"/>
    <x v="1"/>
    <s v="OK"/>
  </r>
  <r>
    <d v="2025-07-03T00:00:00"/>
    <x v="6"/>
    <n v="-12"/>
    <x v="62"/>
    <m/>
    <s v="Uitgave"/>
    <n v="-12"/>
    <x v="1"/>
    <s v="OK"/>
  </r>
  <r>
    <d v="2025-07-03T00:00:00"/>
    <x v="6"/>
    <n v="-20.71"/>
    <x v="20"/>
    <m/>
    <s v="Uitgave"/>
    <n v="-20.71"/>
    <x v="2"/>
    <s v="OK"/>
  </r>
  <r>
    <d v="2025-07-04T00:00:00"/>
    <x v="6"/>
    <n v="-8.64"/>
    <x v="2"/>
    <m/>
    <s v="Uitgave"/>
    <n v="-8.64"/>
    <x v="2"/>
    <s v="OK"/>
  </r>
  <r>
    <d v="2025-07-04T00:00:00"/>
    <x v="6"/>
    <n v="-7.64"/>
    <x v="2"/>
    <m/>
    <s v="Uitgave"/>
    <n v="-7.64"/>
    <x v="2"/>
    <s v="OK"/>
  </r>
  <r>
    <d v="2025-07-04T00:00:00"/>
    <x v="6"/>
    <n v="-16.13"/>
    <x v="2"/>
    <m/>
    <s v="Uitgave"/>
    <n v="-16.13"/>
    <x v="2"/>
    <s v="OK"/>
  </r>
  <r>
    <d v="2025-07-04T00:00:00"/>
    <x v="6"/>
    <n v="-20.74"/>
    <x v="2"/>
    <m/>
    <s v="Uitgave"/>
    <n v="-20.74"/>
    <x v="2"/>
    <s v="OK"/>
  </r>
  <r>
    <d v="2025-07-04T00:00:00"/>
    <x v="6"/>
    <n v="-29.61"/>
    <x v="2"/>
    <m/>
    <s v="Uitgave"/>
    <n v="-29.61"/>
    <x v="2"/>
    <s v="OK"/>
  </r>
  <r>
    <d v="2025-07-04T00:00:00"/>
    <x v="6"/>
    <n v="-8.57"/>
    <x v="53"/>
    <m/>
    <s v="Uitgave"/>
    <n v="-8.57"/>
    <x v="1"/>
    <s v="OK"/>
  </r>
  <r>
    <d v="2025-07-04T00:00:00"/>
    <x v="6"/>
    <n v="-14.5"/>
    <x v="7"/>
    <m/>
    <s v="Uitgave"/>
    <n v="-14.5"/>
    <x v="1"/>
    <s v="OK"/>
  </r>
  <r>
    <d v="2025-07-04T00:00:00"/>
    <x v="6"/>
    <n v="-14"/>
    <x v="30"/>
    <m/>
    <s v="Uitgave"/>
    <n v="-14"/>
    <x v="2"/>
    <s v="OK"/>
  </r>
  <r>
    <d v="2025-07-04T00:00:00"/>
    <x v="6"/>
    <n v="-7.92"/>
    <x v="4"/>
    <m/>
    <s v="Uitgave"/>
    <n v="-7.92"/>
    <x v="2"/>
    <s v="OK"/>
  </r>
  <r>
    <d v="2025-07-05T00:00:00"/>
    <x v="6"/>
    <n v="-23.49"/>
    <x v="2"/>
    <m/>
    <s v="Uitgave"/>
    <n v="-23.49"/>
    <x v="2"/>
    <s v="OK"/>
  </r>
  <r>
    <d v="2025-07-05T00:00:00"/>
    <x v="6"/>
    <n v="-5.49"/>
    <x v="2"/>
    <m/>
    <s v="Uitgave"/>
    <n v="-5.49"/>
    <x v="2"/>
    <s v="OK"/>
  </r>
  <r>
    <d v="2025-07-05T00:00:00"/>
    <x v="6"/>
    <n v="-22.93"/>
    <x v="2"/>
    <m/>
    <s v="Uitgave"/>
    <n v="-22.93"/>
    <x v="2"/>
    <s v="OK"/>
  </r>
  <r>
    <d v="2025-07-05T00:00:00"/>
    <x v="6"/>
    <n v="-25"/>
    <x v="1"/>
    <m/>
    <s v="Uitgave"/>
    <n v="-25"/>
    <x v="1"/>
    <s v="OK"/>
  </r>
  <r>
    <d v="2025-07-06T00:00:00"/>
    <x v="6"/>
    <n v="-5.83"/>
    <x v="2"/>
    <m/>
    <s v="Uitgave"/>
    <n v="-5.83"/>
    <x v="2"/>
    <s v="OK"/>
  </r>
  <r>
    <d v="2025-07-06T00:00:00"/>
    <x v="6"/>
    <n v="-125.81"/>
    <x v="55"/>
    <m/>
    <s v="Uitgave"/>
    <n v="-125.81"/>
    <x v="2"/>
    <s v="OK"/>
  </r>
  <r>
    <d v="2025-07-07T00:00:00"/>
    <x v="6"/>
    <n v="-15.6"/>
    <x v="9"/>
    <m/>
    <s v="Uitgave"/>
    <n v="-15.6"/>
    <x v="1"/>
    <s v="OK"/>
  </r>
  <r>
    <d v="2025-07-07T00:00:00"/>
    <x v="6"/>
    <n v="-11.23"/>
    <x v="2"/>
    <m/>
    <s v="Uitgave"/>
    <n v="-11.23"/>
    <x v="2"/>
    <s v="OK"/>
  </r>
  <r>
    <d v="2025-07-07T00:00:00"/>
    <x v="6"/>
    <n v="-37.200000000000003"/>
    <x v="41"/>
    <m/>
    <s v="Uitgave"/>
    <n v="-37.200000000000003"/>
    <x v="1"/>
    <s v="OK"/>
  </r>
  <r>
    <d v="2025-07-07T00:00:00"/>
    <x v="6"/>
    <n v="-2.5"/>
    <x v="5"/>
    <m/>
    <s v="Uitgave"/>
    <n v="-2.5"/>
    <x v="1"/>
    <s v="OK"/>
  </r>
  <r>
    <d v="2025-07-07T00:00:00"/>
    <x v="6"/>
    <n v="-12.46"/>
    <x v="2"/>
    <m/>
    <s v="Uitgave"/>
    <n v="-12.46"/>
    <x v="2"/>
    <s v="OK"/>
  </r>
  <r>
    <d v="2025-07-07T00:00:00"/>
    <x v="6"/>
    <n v="-101"/>
    <x v="17"/>
    <m/>
    <s v="Uitgave"/>
    <n v="-101"/>
    <x v="1"/>
    <s v="OK"/>
  </r>
  <r>
    <d v="2025-07-07T00:00:00"/>
    <x v="6"/>
    <n v="-4.68"/>
    <x v="2"/>
    <m/>
    <s v="Uitgave"/>
    <n v="-4.68"/>
    <x v="2"/>
    <s v="OK"/>
  </r>
  <r>
    <d v="2025-07-07T00:00:00"/>
    <x v="6"/>
    <n v="-0.1"/>
    <x v="5"/>
    <m/>
    <s v="Uitgave"/>
    <n v="-0.1"/>
    <x v="1"/>
    <s v="OK"/>
  </r>
  <r>
    <d v="2025-07-07T00:00:00"/>
    <x v="6"/>
    <n v="-810.65"/>
    <x v="19"/>
    <m/>
    <s v="Uitgave"/>
    <n v="-810.65"/>
    <x v="2"/>
    <s v="OK"/>
  </r>
  <r>
    <d v="2025-07-07T00:00:00"/>
    <x v="6"/>
    <n v="-35.770000000000003"/>
    <x v="4"/>
    <m/>
    <s v="Uitgave"/>
    <n v="-35.770000000000003"/>
    <x v="2"/>
    <s v="OK"/>
  </r>
  <r>
    <d v="2025-07-08T00:00:00"/>
    <x v="6"/>
    <n v="-1.1200000000000001"/>
    <x v="2"/>
    <m/>
    <s v="Uitgave"/>
    <n v="-1.1200000000000001"/>
    <x v="2"/>
    <s v="OK"/>
  </r>
  <r>
    <d v="2025-07-08T00:00:00"/>
    <x v="6"/>
    <n v="22.5"/>
    <x v="16"/>
    <m/>
    <s v="Inkomst"/>
    <n v="22.5"/>
    <x v="2"/>
    <s v="OK"/>
  </r>
  <r>
    <d v="2025-07-08T00:00:00"/>
    <x v="6"/>
    <n v="-24"/>
    <x v="16"/>
    <m/>
    <s v="Uitgave"/>
    <n v="-24"/>
    <x v="2"/>
    <s v="OK"/>
  </r>
  <r>
    <d v="2025-07-08T00:00:00"/>
    <x v="6"/>
    <n v="-317.69"/>
    <x v="16"/>
    <m/>
    <s v="Uitgave"/>
    <n v="-317.69"/>
    <x v="2"/>
    <s v="OK"/>
  </r>
  <r>
    <d v="2025-07-08T00:00:00"/>
    <x v="6"/>
    <n v="-25.95"/>
    <x v="16"/>
    <m/>
    <s v="Uitgave"/>
    <n v="-25.95"/>
    <x v="2"/>
    <s v="OK"/>
  </r>
  <r>
    <d v="2025-07-08T00:00:00"/>
    <x v="6"/>
    <n v="-25.95"/>
    <x v="16"/>
    <m/>
    <s v="Uitgave"/>
    <n v="-25.95"/>
    <x v="2"/>
    <s v="OK"/>
  </r>
  <r>
    <d v="2025-07-08T00:00:00"/>
    <x v="6"/>
    <n v="-12.01"/>
    <x v="21"/>
    <m/>
    <s v="Uitgave"/>
    <n v="-12.01"/>
    <x v="2"/>
    <s v="OK"/>
  </r>
  <r>
    <d v="2025-07-09T00:00:00"/>
    <x v="6"/>
    <n v="-5.97"/>
    <x v="2"/>
    <m/>
    <s v="Uitgave"/>
    <n v="-5.97"/>
    <x v="2"/>
    <s v="OK"/>
  </r>
  <r>
    <d v="2025-07-09T00:00:00"/>
    <x v="6"/>
    <n v="-18.34"/>
    <x v="2"/>
    <m/>
    <s v="Uitgave"/>
    <n v="-18.34"/>
    <x v="2"/>
    <s v="OK"/>
  </r>
  <r>
    <d v="2025-07-09T00:00:00"/>
    <x v="6"/>
    <n v="-29.94"/>
    <x v="2"/>
    <m/>
    <s v="Uitgave"/>
    <n v="-29.94"/>
    <x v="2"/>
    <s v="OK"/>
  </r>
  <r>
    <d v="2025-07-09T00:00:00"/>
    <x v="6"/>
    <n v="-11.32"/>
    <x v="2"/>
    <m/>
    <s v="Uitgave"/>
    <n v="-11.32"/>
    <x v="2"/>
    <s v="OK"/>
  </r>
  <r>
    <d v="2025-07-09T00:00:00"/>
    <x v="6"/>
    <n v="-55"/>
    <x v="61"/>
    <m/>
    <s v="Uitgave"/>
    <n v="-55"/>
    <x v="1"/>
    <s v="OK"/>
  </r>
  <r>
    <d v="2025-07-09T00:00:00"/>
    <x v="6"/>
    <n v="-2.7"/>
    <x v="2"/>
    <m/>
    <s v="Uitgave"/>
    <n v="-2.7"/>
    <x v="2"/>
    <s v="OK"/>
  </r>
  <r>
    <d v="2025-07-09T00:00:00"/>
    <x v="6"/>
    <n v="-14"/>
    <x v="17"/>
    <m/>
    <s v="Uitgave"/>
    <n v="-14"/>
    <x v="1"/>
    <s v="OK"/>
  </r>
  <r>
    <d v="2025-07-10T00:00:00"/>
    <x v="6"/>
    <n v="-10.19"/>
    <x v="2"/>
    <m/>
    <s v="Uitgave"/>
    <n v="-10.19"/>
    <x v="2"/>
    <s v="OK"/>
  </r>
  <r>
    <d v="2025-07-10T00:00:00"/>
    <x v="6"/>
    <n v="-14.61"/>
    <x v="2"/>
    <m/>
    <s v="Uitgave"/>
    <n v="-14.61"/>
    <x v="2"/>
    <s v="OK"/>
  </r>
  <r>
    <d v="2025-07-10T00:00:00"/>
    <x v="6"/>
    <n v="-10"/>
    <x v="2"/>
    <m/>
    <s v="Uitgave"/>
    <n v="-10"/>
    <x v="2"/>
    <s v="OK"/>
  </r>
  <r>
    <d v="2025-07-10T00:00:00"/>
    <x v="6"/>
    <n v="-53.1"/>
    <x v="17"/>
    <m/>
    <s v="Uitgave"/>
    <n v="-53.1"/>
    <x v="1"/>
    <s v="OK"/>
  </r>
  <r>
    <d v="2025-07-10T00:00:00"/>
    <x v="6"/>
    <n v="-5.13"/>
    <x v="2"/>
    <m/>
    <s v="Uitgave"/>
    <n v="-5.13"/>
    <x v="2"/>
    <s v="OK"/>
  </r>
  <r>
    <d v="2025-07-10T00:00:00"/>
    <x v="6"/>
    <n v="-8.69"/>
    <x v="2"/>
    <m/>
    <s v="Uitgave"/>
    <n v="-8.69"/>
    <x v="2"/>
    <s v="OK"/>
  </r>
  <r>
    <d v="2025-07-11T00:00:00"/>
    <x v="6"/>
    <n v="-28.46"/>
    <x v="2"/>
    <m/>
    <s v="Uitgave"/>
    <n v="-28.46"/>
    <x v="2"/>
    <s v="OK"/>
  </r>
  <r>
    <d v="2025-07-11T00:00:00"/>
    <x v="6"/>
    <n v="-19.75"/>
    <x v="2"/>
    <m/>
    <s v="Uitgave"/>
    <n v="-19.75"/>
    <x v="2"/>
    <s v="OK"/>
  </r>
  <r>
    <d v="2025-07-11T00:00:00"/>
    <x v="6"/>
    <n v="-4.33"/>
    <x v="2"/>
    <m/>
    <s v="Uitgave"/>
    <n v="-4.33"/>
    <x v="2"/>
    <s v="OK"/>
  </r>
  <r>
    <d v="2025-07-11T00:00:00"/>
    <x v="6"/>
    <n v="-6.62"/>
    <x v="53"/>
    <m/>
    <s v="Uitgave"/>
    <n v="-6.62"/>
    <x v="1"/>
    <s v="OK"/>
  </r>
  <r>
    <d v="2025-07-11T00:00:00"/>
    <x v="6"/>
    <n v="-3.8"/>
    <x v="22"/>
    <m/>
    <s v="Uitgave"/>
    <n v="-3.8"/>
    <x v="1"/>
    <s v="OK"/>
  </r>
  <r>
    <d v="2025-07-11T00:00:00"/>
    <x v="6"/>
    <n v="-1.1000000000000001"/>
    <x v="11"/>
    <m/>
    <s v="Uitgave"/>
    <n v="-1.1000000000000001"/>
    <x v="1"/>
    <s v="OK"/>
  </r>
  <r>
    <d v="2025-07-11T00:00:00"/>
    <x v="6"/>
    <n v="-5.35"/>
    <x v="2"/>
    <m/>
    <s v="Uitgave"/>
    <n v="-5.35"/>
    <x v="2"/>
    <s v="OK"/>
  </r>
  <r>
    <d v="2025-07-11T00:00:00"/>
    <x v="6"/>
    <n v="17.989999999999998"/>
    <x v="30"/>
    <m/>
    <s v="Inkomst"/>
    <n v="17.989999999999998"/>
    <x v="2"/>
    <s v="OK"/>
  </r>
  <r>
    <d v="2025-07-11T00:00:00"/>
    <x v="6"/>
    <n v="-49.99"/>
    <x v="54"/>
    <m/>
    <s v="Uitgave"/>
    <n v="-49.99"/>
    <x v="1"/>
    <s v="OK"/>
  </r>
  <r>
    <d v="2025-07-12T00:00:00"/>
    <x v="6"/>
    <n v="-11.73"/>
    <x v="2"/>
    <m/>
    <s v="Uitgave"/>
    <n v="-11.73"/>
    <x v="2"/>
    <s v="OK"/>
  </r>
  <r>
    <d v="2025-07-12T00:00:00"/>
    <x v="6"/>
    <n v="-15.48"/>
    <x v="26"/>
    <m/>
    <s v="Uitgave"/>
    <n v="-15.48"/>
    <x v="1"/>
    <s v="OK"/>
  </r>
  <r>
    <d v="2025-07-12T00:00:00"/>
    <x v="6"/>
    <n v="-6.16"/>
    <x v="2"/>
    <m/>
    <s v="Uitgave"/>
    <n v="-6.16"/>
    <x v="2"/>
    <s v="OK"/>
  </r>
  <r>
    <d v="2025-07-12T00:00:00"/>
    <x v="6"/>
    <n v="-36"/>
    <x v="8"/>
    <m/>
    <s v="Uitgave"/>
    <n v="-36"/>
    <x v="1"/>
    <s v="OK"/>
  </r>
  <r>
    <d v="2025-07-13T00:00:00"/>
    <x v="6"/>
    <n v="-19.59"/>
    <x v="2"/>
    <m/>
    <s v="Uitgave"/>
    <n v="-19.59"/>
    <x v="2"/>
    <s v="OK"/>
  </r>
  <r>
    <d v="2025-07-13T00:00:00"/>
    <x v="6"/>
    <n v="-7.96"/>
    <x v="2"/>
    <m/>
    <s v="Uitgave"/>
    <n v="-7.96"/>
    <x v="2"/>
    <s v="OK"/>
  </r>
  <r>
    <d v="2025-07-14T00:00:00"/>
    <x v="6"/>
    <n v="-23.3"/>
    <x v="22"/>
    <m/>
    <s v="Uitgave"/>
    <n v="-23.3"/>
    <x v="1"/>
    <s v="OK"/>
  </r>
  <r>
    <d v="2025-07-14T00:00:00"/>
    <x v="6"/>
    <n v="-280"/>
    <x v="16"/>
    <m/>
    <s v="Uitgave"/>
    <n v="-280"/>
    <x v="2"/>
    <s v="OK"/>
  </r>
  <r>
    <d v="2025-07-14T00:00:00"/>
    <x v="6"/>
    <n v="-12.1"/>
    <x v="32"/>
    <m/>
    <s v="Uitgave"/>
    <n v="-12.1"/>
    <x v="1"/>
    <s v="OK"/>
  </r>
  <r>
    <d v="2025-07-14T00:00:00"/>
    <x v="6"/>
    <n v="-3.7"/>
    <x v="2"/>
    <m/>
    <s v="Uitgave"/>
    <n v="-3.7"/>
    <x v="2"/>
    <s v="OK"/>
  </r>
  <r>
    <d v="2025-07-14T00:00:00"/>
    <x v="6"/>
    <n v="-3.07"/>
    <x v="4"/>
    <m/>
    <s v="Uitgave"/>
    <n v="-3.07"/>
    <x v="2"/>
    <s v="OK"/>
  </r>
  <r>
    <d v="2025-07-14T00:00:00"/>
    <x v="6"/>
    <n v="-0.9"/>
    <x v="11"/>
    <m/>
    <s v="Uitgave"/>
    <n v="-0.9"/>
    <x v="1"/>
    <s v="OK"/>
  </r>
  <r>
    <d v="2025-07-14T00:00:00"/>
    <x v="6"/>
    <n v="-0.9"/>
    <x v="11"/>
    <m/>
    <s v="Uitgave"/>
    <n v="-0.9"/>
    <x v="1"/>
    <s v="OK"/>
  </r>
  <r>
    <d v="2025-07-14T00:00:00"/>
    <x v="6"/>
    <n v="-8"/>
    <x v="4"/>
    <m/>
    <s v="Uitgave"/>
    <n v="-8"/>
    <x v="2"/>
    <s v="OK"/>
  </r>
  <r>
    <d v="2025-07-14T00:00:00"/>
    <x v="6"/>
    <n v="-23.6"/>
    <x v="15"/>
    <s v="BETALING VIA DEBIT MASTERCARD        16-07 14-07-2025 OM 17.29 UUR IKEA GENT-FOOD BE9051 SINT-DENIJS-W MET APPLE PAY 5127 88XX XXXX 8113 VIRTUEEL KAARTNUMMER CONTACTLOZE BETALING: 5354 00XX XXXX 8030 KAARTHOUDER: BOMBAERT BRAM"/>
    <s v="Uitgave"/>
    <n v="-23.6"/>
    <x v="1"/>
    <s v="OK"/>
  </r>
  <r>
    <d v="2025-07-14T00:00:00"/>
    <x v="6"/>
    <n v="-1.49"/>
    <x v="15"/>
    <s v="BETALING VIA DEBIT MASTERCARD        16-07 14-07-2025 OM 17.50 UUR IKEA GENT-STORE BE9051 SINT-DENIJS-W MET APPLE PAY 5127 88XX XXXX 8113 VIRTUEEL KAARTNUMMER CONTACTLOZE BETALING: 5354 00XX XXXX 8030 KAARTHOUDER: BOMBAERT BRAM"/>
    <s v="Uitgave"/>
    <n v="-1.49"/>
    <x v="1"/>
    <s v="OK"/>
  </r>
  <r>
    <d v="2025-07-15T00:00:00"/>
    <x v="6"/>
    <n v="50.5"/>
    <x v="17"/>
    <m/>
    <s v="Inkomst"/>
    <n v="50.5"/>
    <x v="1"/>
    <s v="OK"/>
  </r>
  <r>
    <d v="2025-07-15T00:00:00"/>
    <x v="6"/>
    <n v="50.5"/>
    <x v="17"/>
    <m/>
    <s v="Inkomst"/>
    <n v="50.5"/>
    <x v="1"/>
    <s v="OK"/>
  </r>
  <r>
    <d v="2025-07-15T00:00:00"/>
    <x v="6"/>
    <n v="-38"/>
    <x v="16"/>
    <m/>
    <s v="Uitgave"/>
    <n v="-38"/>
    <x v="2"/>
    <s v="OK"/>
  </r>
  <r>
    <d v="2025-07-15T00:00:00"/>
    <x v="6"/>
    <n v="-1.2"/>
    <x v="11"/>
    <m/>
    <s v="Uitgave"/>
    <n v="-1.2"/>
    <x v="1"/>
    <s v="OK"/>
  </r>
  <r>
    <d v="2025-07-15T00:00:00"/>
    <x v="6"/>
    <n v="-1.2"/>
    <x v="11"/>
    <m/>
    <s v="Uitgave"/>
    <n v="-1.2"/>
    <x v="1"/>
    <s v="OK"/>
  </r>
  <r>
    <d v="2025-07-15T00:00:00"/>
    <x v="6"/>
    <n v="-8.02"/>
    <x v="2"/>
    <m/>
    <s v="Uitgave"/>
    <n v="-8.02"/>
    <x v="2"/>
    <s v="OK"/>
  </r>
  <r>
    <d v="2025-07-15T00:00:00"/>
    <x v="6"/>
    <n v="-4.18"/>
    <x v="2"/>
    <s v="BETALING VIA DEBIT MASTERCARD        16-07 15-07-2025 OM 12.14 UUR CARREFOUR MARKE BE8510 MARKE MET KBC-DEBETKAART 5127 88XX XXXX 8113 KAARTHOUDER: BOMBAERT BRAM"/>
    <s v="Uitgave"/>
    <n v="-4.18"/>
    <x v="2"/>
    <s v="OK"/>
  </r>
  <r>
    <d v="2025-07-15T00:00:00"/>
    <x v="6"/>
    <n v="-4.91"/>
    <x v="2"/>
    <s v="BETALING VIA DEBIT MASTERCARD        16-07 15-07-2025 OM 10.15 UUR CARREFOUR MARKE BE8510 MARKE MET APPLE PAY 5127 88XX XXXX 8113 VIRTUEEL KAARTNUMMER CONTACTLOZE BETALING: 5354 00XX XXXX 7841 KAARTHOUDER: BOMBAERT BRAM"/>
    <s v="Uitgave"/>
    <n v="-4.91"/>
    <x v="2"/>
    <s v="OK"/>
  </r>
  <r>
    <d v="2025-07-15T00:00:00"/>
    <x v="6"/>
    <n v="-3.29"/>
    <x v="2"/>
    <s v="BETALING VIA DEBIT MASTERCARD        16-07 15-07-2025 OM 13.55 UUR SPAR KORTRIJK BE8500 KORTRIJK MET APPLE PAY 5127 88XX XXXX 8113 VIRTUEEL KAARTNUMMER CONTACTLOZE BETALING: 5354 00XX XXXX 8030 KAARTHOUDER: BOMBAERT BRAM"/>
    <s v="Uitgave"/>
    <n v="-3.29"/>
    <x v="2"/>
    <s v="OK"/>
  </r>
  <r>
    <d v="2025-07-15T00:00:00"/>
    <x v="6"/>
    <n v="-25.39"/>
    <x v="2"/>
    <s v="BETALING VIA DEBIT MASTERCARD        16-07 15-07-2025 OM 14.24 UUR LIDL 803 KORTRIJK 2 BE8500 KORTRIJK MET APPLE PAY 5127 88XX XXXX 8113 VIRTUEEL KAARTNUMMER CONTACTLOZE BETALING: 5354 00XX XXXX 8030 KAARTHOUDER: BOMBAERT BRAM"/>
    <s v="Uitgave"/>
    <n v="-25.39"/>
    <x v="2"/>
    <s v="OK"/>
  </r>
  <r>
    <d v="2025-07-16T00:00:00"/>
    <x v="6"/>
    <n v="-182"/>
    <x v="16"/>
    <s v="BETALING VIA DEBIT MASTERCARD        17-07 16-07-2025 OM 12.43 UUR CCV*MARKIES TANDARTSEN BE8510 KORTRIJK MET APPLE PAY 5127 88XX XXXX 8113 VIRTUEEL KAARTNUMMER CONTACTLOZE BETALING: 5354 00XX XXXX 8030 KAARTHOUDER: BOMBAERT BRAM"/>
    <s v="Uitgave"/>
    <n v="-182"/>
    <x v="2"/>
    <s v="OK"/>
  </r>
  <r>
    <d v="2025-07-16T00:00:00"/>
    <x v="6"/>
    <n v="-7.5"/>
    <x v="7"/>
    <s v="BETALING VIA DEBIT MASTERCARD        17-07 16-07-2025 OM 15.49 UUR INTRATUIN ZWEVEGEM BE8550 ZWEVEGEM MET APPLE PAY 5127 88XX XXXX 8113 VIRTUEEL KAARTNUMMER CONTACTLOZE BETALING: 5354 00XX XXXX 8030 KAARTHOUDER: BOMBAERT BRAM"/>
    <s v="Uitgave"/>
    <n v="-7.5"/>
    <x v="1"/>
    <s v="OK"/>
  </r>
  <r>
    <d v="2025-07-16T00:00:00"/>
    <x v="6"/>
    <n v="-5.38"/>
    <x v="2"/>
    <s v="BETALING VIA DEBIT MASTERCARD        17-07 16-07-2025 OM 13.01 UUR CARREFOUR MARKE BE8510 MARKE MET APPLE PAY 5127 88XX XXXX 8113 VIRTUEEL KAARTNUMMER CONTACTLOZE BETALING: 5354 00XX XXXX 8030 KAARTHOUDER: BOMBAERT BRAM"/>
    <s v="Uitgave"/>
    <n v="-5.38"/>
    <x v="2"/>
    <s v="OK"/>
  </r>
  <r>
    <d v="2025-07-16T00:00:00"/>
    <x v="6"/>
    <n v="-43.99"/>
    <x v="29"/>
    <s v="BETALING VIA DEBIT MASTERCARD        17-07 16-07-2025 OM 08.08 UUR COOLBLUE N.V. BE2600 BERCHEM MET APPLE PAY 5127 88XX XXXX 8113 VIRTUEEL KAARTNUMMER CONTACTLOZE BETALING: 5354 00XX XXXX 7841 KAARTHOUDER: BOMBAERT BRAM"/>
    <s v="Uitgave"/>
    <n v="-43.99"/>
    <x v="1"/>
    <s v="OK"/>
  </r>
  <r>
    <d v="2025-07-16T00:00:00"/>
    <x v="6"/>
    <n v="-1.2"/>
    <x v="11"/>
    <s v="BETALING VIA MAESTRO                 16-07 15-07-2025 OM 16.10 UUR VALINSOPAY NL NL WIJK EN AALBU MET APPLE PAY 6703 42XX XXXX X901 0 VIRTUEEL KAARTNUMMER CONTACTLOZE BETALING: 6790 28XX XXXX X658 7 KAARTHOUDER: ROTTY CHRISTOFF"/>
    <s v="Uitgave"/>
    <n v="-1.2"/>
    <x v="1"/>
    <s v="OK"/>
  </r>
  <r>
    <d v="2025-07-16T00:00:00"/>
    <x v="6"/>
    <n v="-5"/>
    <x v="51"/>
    <s v="EUROPESE DOMICILIERING               16-07 SCHULDEISER     : DIGI COMMUNICATIONS BELGIUM NV REF. SCHULDEISER: 000009716467-705461 MANDAATREFERTE  : 1D574ED99E164823 MEDEDELING      : DIGI FACTUUR - JULI 2025"/>
    <s v="Uitgave"/>
    <n v="-5"/>
    <x v="2"/>
    <s v="OK"/>
  </r>
  <r>
    <d v="2025-07-16T00:00:00"/>
    <x v="6"/>
    <n v="-81.66"/>
    <x v="27"/>
    <s v="EUROPESE DOMICILIERING               16-07 SCHULDEISER     : BALOISE BELGIUM NV REF. SCHULDEISER: 0000000000000024342672584 MANDAATREFERTE  : 202025682289 MEDEDELING      : POL.1A02635 VERV.10/07/25 9833"/>
    <s v="Uitgave"/>
    <n v="-81.66"/>
    <x v="2"/>
    <s v="OK"/>
  </r>
  <r>
    <d v="2025-07-16T00:00:00"/>
    <x v="6"/>
    <n v="-90"/>
    <x v="27"/>
    <s v="EUROPESE DOMICILIERING               16-07 SCHULDEISER     : BALOISE BELGIUM NV REF. SCHULDEISER: 0000000000000024308945987 MANDAATREFERTE  : 202025687747 MEDEDELING      : POL.1B57806 VERV.10/07/25 9833"/>
    <s v="Uitgave"/>
    <n v="-90"/>
    <x v="2"/>
    <s v="OK"/>
  </r>
  <r>
    <d v="2025-07-16T00:00:00"/>
    <x v="6"/>
    <n v="-35.1"/>
    <x v="9"/>
    <s v="BETALING VIA DEBIT MASTERCARD        17-07 16-07-2025 OM 18.13 UUR HAWAIIAN POKE BOWL BE8500 KORTRIJK MET APPLE PAY 5127 88XX XXXX 8113 VIRTUEEL KAARTNUMMER CONTACTLOZE BETALING: 5354 00XX XXXX 8030 KAARTHOUDER: BOMBAERT BRAM"/>
    <s v="Uitgave"/>
    <n v="-35.1"/>
    <x v="1"/>
    <s v="OK"/>
  </r>
  <r>
    <d v="2025-07-16T00:00:00"/>
    <x v="6"/>
    <n v="-7.83"/>
    <x v="16"/>
    <s v="BETALING VIA BANCONTACT              17-07 16-07-2025 OM 18.02 UUR MEDI-MARKET KORTRIJK BE8500 KORTRIJK MET KBC-DEBETKAART 5127 88XX XXXX 8113 KAARTHOUDER: BOMBAERT BRAM"/>
    <s v="Uitgave"/>
    <n v="-7.83"/>
    <x v="2"/>
    <s v="OK"/>
  </r>
  <r>
    <d v="2025-07-16T00:00:00"/>
    <x v="6"/>
    <n v="245"/>
    <x v="16"/>
    <s v="OVERSCHRIJVING VAN                   16-07 BE10 1325 4851 1904 BANKIER OPDRACHTGEVER: BNAGBEBBXXX SOLIDARIS W.-VLAANDEREN /C/ (1619945)   ZORG VAN 14/07/25 VEYS E 93032216582 REFERENTIE: 176"/>
    <s v="Inkomst"/>
    <n v="245"/>
    <x v="2"/>
    <s v="OK"/>
  </r>
  <r>
    <d v="2025-07-17T00:00:00"/>
    <x v="6"/>
    <n v="-20.85"/>
    <x v="7"/>
    <s v="BETALING VIA DEBIT MASTERCARD        18-07 17-07-2025 OM 13.47 UUR VOGEL &amp; VIJVERCENTRUM BE8531 HULSTE MET APPLE PAY 5127 88XX XXXX 8113 VIRTUEEL KAARTNUMMER CONTACTLOZE BETALING: 5354 00XX XXXX 8030 KAARTHOUDER: BOMBAERT BRAM"/>
    <s v="Uitgave"/>
    <n v="-20.85"/>
    <x v="1"/>
    <s v="OK"/>
  </r>
  <r>
    <d v="2025-07-17T00:00:00"/>
    <x v="6"/>
    <n v="-35.15"/>
    <x v="2"/>
    <s v="BETALING VIA DEBIT MASTERCARD        18-07 17-07-2025 OM 18.11 UUR LIDL 803 KORTRIJK 2 BE8500 KORTRIJK MET APPLE PAY 5127 88XX XXXX 8113 VIRTUEEL KAARTNUMMER CONTACTLOZE BETALING: 5354 00XX XXXX 8030 KAARTHOUDER: BOMBAERT BRAM"/>
    <s v="Uitgave"/>
    <n v="-35.15"/>
    <x v="2"/>
    <s v="OK"/>
  </r>
  <r>
    <d v="2025-07-17T00:00:00"/>
    <x v="6"/>
    <n v="-18.07"/>
    <x v="2"/>
    <s v="BETALING VIA DEBIT MASTERCARD        18-07 17-07-2025 OM 11.22 UUR CARREFOUR MARKE BE8510 MARKE MET APPLE PAY 5127 88XX XXXX 8113 VIRTUEEL KAARTNUMMER CONTACTLOZE BETALING: 5354 00XX XXXX 8030 KAARTHOUDER: BOMBAERT BRAM"/>
    <s v="Uitgave"/>
    <n v="-18.07"/>
    <x v="2"/>
    <s v="OK"/>
  </r>
  <r>
    <d v="2025-07-17T00:00:00"/>
    <x v="6"/>
    <n v="-7.2"/>
    <x v="2"/>
    <s v="BETALING VIA MAESTRO                 17-07 16-07-2025 OM 10.35 UUR AZ GROENINGE VZW BE KORTRIJK MET APPLE PAY 6703 42XX XXXX X901 0 VIRTUEEL KAARTNUMMER CONTACTLOZE BETALING: 6790 28XX XXXX X658 7 KAARTHOUDER: ROTTY CHRISTOFF"/>
    <s v="Uitgave"/>
    <n v="-7.2"/>
    <x v="2"/>
    <s v="OK"/>
  </r>
  <r>
    <d v="2025-07-17T00:00:00"/>
    <x v="6"/>
    <n v="-28.5"/>
    <x v="8"/>
    <s v="BETALING VIA BANCONTACT              17-07 17-07-2025 OM 15.15 UUR BROUWERIJ HAESEVELD BE9040 SINT-AMANDSBE MET KBC-DEBETKAART 6703 42XX XXXX X901 0 KAARTHOUDER: ROTTY CHRISTOFF INFO VAN DE HANDELAAR: 7825852 BY MULTISAFEPAY"/>
    <s v="Uitgave"/>
    <n v="-28.5"/>
    <x v="1"/>
    <s v="OK"/>
  </r>
  <r>
    <d v="2025-07-17T00:00:00"/>
    <x v="6"/>
    <n v="-7"/>
    <x v="8"/>
    <s v="BETALING VIA BANCONTACT              17-07 17-07-2025 OM 14.38 UUR BROUWERIJ HAESEVELD BE9040 SINT-AMANDSBE MET KBC-DEBETKAART 6703 42XX XXXX X901 0 KAARTHOUDER: ROTTY CHRISTOFF INFO VAN DE HANDELAAR: 7825265 BY MULTISAFEPAY"/>
    <s v="Uitgave"/>
    <n v="-7"/>
    <x v="1"/>
    <s v="OK"/>
  </r>
  <r>
    <d v="2025-07-17T00:00:00"/>
    <x v="6"/>
    <n v="-16.920000000000002"/>
    <x v="14"/>
    <s v="BETALING VIA BANCONTACT              17-07 17-07-2025 OM 10.18 UUR MIJN.HOST NL1066JR AMSTERDAM MET KBC-DEBETKAART 6703 42XX XXXX X901 0 KAARTHOUDER: ROTTY CHRISTOFF INFO VAN DE HANDELAAR: 73BRPBE MIJN.HOST FACTUURNR. 2"/>
    <s v="Uitgave"/>
    <n v="-16.920000000000002"/>
    <x v="1"/>
    <s v="OK"/>
  </r>
  <r>
    <d v="2025-07-17T00:00:00"/>
    <x v="6"/>
    <n v="100"/>
    <x v="14"/>
    <s v="INSTANTOVERSCHRIJVING VAN            17-07 BE62 7370 5211 9961 BANKIER OPDRACHTGEVER: KREDBEBBXXX DE MEYER-LAVENDOMME J &amp; M OM 23.23 UUR"/>
    <s v="Inkomst"/>
    <n v="100"/>
    <x v="1"/>
    <s v="OK"/>
  </r>
  <r>
    <d v="2025-07-17T00:00:00"/>
    <x v="6"/>
    <n v="116.5"/>
    <x v="16"/>
    <s v="OVERSCHRIJVING VAN                   17-07 BE10 1325 4851 1904 BANKIER OPDRACHTGEVER: BNAGBEBBXXX SOLIDARIS W.-VLAANDEREN /C/ (1619945)   ZORG VAN 16/07/25 TACK E 93032216582 REFERENTIE: 175"/>
    <s v="Inkomst"/>
    <n v="116.5"/>
    <x v="2"/>
    <s v="OK"/>
  </r>
  <r>
    <d v="2025-07-18T00:00:00"/>
    <x v="6"/>
    <n v="-5.8"/>
    <x v="47"/>
    <s v="BETALING VIA DEBIT MASTERCARD        22-07 18-07-2025 OM 16.30 UUR MOLECULE BE8570 VICHTE MET APPLE PAY 5127 88XX XXXX 8113 VIRTUEEL KAARTNUMMER CONTACTLOZE BETALING: 5354 00XX XXXX 8030 KAARTHOUDER: BOMBAERT BRAM"/>
    <s v="Uitgave"/>
    <n v="-5.8"/>
    <x v="1"/>
    <s v="OK"/>
  </r>
  <r>
    <d v="2025-07-18T00:00:00"/>
    <x v="6"/>
    <n v="-3.15"/>
    <x v="47"/>
    <s v="BETALING VIA DEBIT MASTERCARD        22-07 18-07-2025 OM 16.27 UUR CASH PLUS BE8570 VICHTE MET APPLE PAY 5127 88XX XXXX 8113 VIRTUEEL KAARTNUMMER CONTACTLOZE BETALING: 5354 00XX XXXX 8030 KAARTHOUDER: BOMBAERT BRAM"/>
    <s v="Uitgave"/>
    <n v="-3.15"/>
    <x v="1"/>
    <s v="OK"/>
  </r>
  <r>
    <d v="2025-07-18T00:00:00"/>
    <x v="6"/>
    <n v="-8"/>
    <x v="50"/>
    <s v="BETALING VIA DEBIT MASTERCARD        22-07 18-07-2025 OM 14.28 UUR DECATHLON 384 KORTRIJK BE8500 KORTRIJK MET APPLE PAY 5127 88XX XXXX 8113 VIRTUEEL KAARTNUMMER CONTACTLOZE BETALING: 5354 00XX XXXX 8030 KAARTHOUDER: BOMBAERT BRAM"/>
    <s v="Uitgave"/>
    <n v="-8"/>
    <x v="1"/>
    <s v="OK"/>
  </r>
  <r>
    <d v="2025-07-18T00:00:00"/>
    <x v="6"/>
    <n v="-27"/>
    <x v="2"/>
    <s v="BETALING VIA DEBIT MASTERCARD        22-07 18-07-2025 OM 17.39 UUR DE KLEINE BASSIN KORTR BE8500 KORTRIJK MET APPLE PAY 5127 88XX XXXX 8113 VIRTUEEL KAARTNUMMER CONTACTLOZE BETALING: 5354 00XX XXXX 8030 KAARTHOUDER: BOMBAERT BRAM"/>
    <s v="Uitgave"/>
    <n v="-27"/>
    <x v="2"/>
    <s v="OK"/>
  </r>
  <r>
    <d v="2025-07-18T00:00:00"/>
    <x v="6"/>
    <n v="-9.7200000000000006"/>
    <x v="2"/>
    <s v="BETALING VIA DEBIT MASTERCARD        22-07 18-07-2025 OM 18.13 UUR SPAR KORTRIJK BE8500 KORTRIJK MET APPLE PAY 5127 88XX XXXX 8113 VIRTUEEL KAARTNUMMER CONTACTLOZE BETALING: 5354 00XX XXXX 8030 KAARTHOUDER: BOMBAERT BRAM"/>
    <s v="Uitgave"/>
    <n v="-9.7200000000000006"/>
    <x v="2"/>
    <s v="OK"/>
  </r>
  <r>
    <d v="2025-07-18T00:00:00"/>
    <x v="6"/>
    <n v="-7.66"/>
    <x v="2"/>
    <s v="BETALING VIA DEBIT MASTERCARD        22-07 18-07-2025 OM 18.04 UUR LIDL 803 KORTRIJK 2 BE8500 KORTRIJK MET APPLE PAY 5127 88XX XXXX 8113 VIRTUEEL KAARTNUMMER CONTACTLOZE BETALING: 5354 00XX XXXX 8030 KAARTHOUDER: BOMBAERT BRAM"/>
    <s v="Uitgave"/>
    <n v="-7.66"/>
    <x v="2"/>
    <s v="OK"/>
  </r>
  <r>
    <d v="2025-07-18T00:00:00"/>
    <x v="6"/>
    <n v="-16.329999999999998"/>
    <x v="2"/>
    <s v="BETALING VIA DEBIT MASTERCARD        22-07 18-07-2025 OM 18.27 UUR CARREFOUR MARKE BE8510 MARKE MET APPLE PAY 5127 88XX XXXX 8113 VIRTUEEL KAARTNUMMER CONTACTLOZE BETALING: 5354 00XX XXXX 8030 KAARTHOUDER: BOMBAERT BRAM"/>
    <s v="Uitgave"/>
    <n v="-16.329999999999998"/>
    <x v="2"/>
    <s v="OK"/>
  </r>
  <r>
    <d v="2025-07-18T00:00:00"/>
    <x v="6"/>
    <n v="-9.6999999999999993"/>
    <x v="2"/>
    <s v="BETALING VIA DEBIT MASTERCARD        22-07 18-07-2025 OM 13.31 UUR CARREFOUR MARKE BE8510 MARKE MET APPLE PAY 5127 88XX XXXX 8113 VIRTUEEL KAARTNUMMER CONTACTLOZE BETALING: 5354 00XX XXXX 8030 KAARTHOUDER: BOMBAERT BRAM"/>
    <s v="Uitgave"/>
    <n v="-9.6999999999999993"/>
    <x v="2"/>
    <s v="OK"/>
  </r>
  <r>
    <d v="2025-07-18T00:00:00"/>
    <x v="6"/>
    <n v="-19.5"/>
    <x v="23"/>
    <s v="BETALING VIA BANCONTACT              18-07 18-07-2025 OM 11.04 UUR BOL.COM NL3528 BJ UTRECHT MET KBC-DEBETKAART 5127 88XX XXXX 8113 KAARTHOUDER: BOMBAERT BRAM"/>
    <s v="Uitgave"/>
    <n v="-19.5"/>
    <x v="1"/>
    <s v="OK"/>
  </r>
  <r>
    <d v="2025-07-18T00:00:00"/>
    <x v="6"/>
    <n v="-9.51"/>
    <x v="4"/>
    <s v="EUROPESE DOMICILIERING               18-07 SCHULDEISER     : SHELL EV CHARGING SOLUTIONS BELGIUM REF. SCHULDEISER: BE25TID123756 FEITEL. BEGUNST.: SHELL EV CHARGING SOLUTIONS BELGIUM MANDAATREFERTE  : 22MA139064 MEDEDELING      : BE25SI077240"/>
    <s v="Uitgave"/>
    <n v="-9.51"/>
    <x v="2"/>
    <s v="OK"/>
  </r>
  <r>
    <d v="2025-07-19T00:00:00"/>
    <x v="6"/>
    <n v="-9.9"/>
    <x v="53"/>
    <s v="BETALING VIA DEBIT MASTERCARD        22-07 19-07-2025 OM 15.41 UUR ACTION 2009 BE8560 WEVELGEM MET APPLE PAY 5127 88XX XXXX 8113 VIRTUEEL KAARTNUMMER CONTACTLOZE BETALING: 5354 00XX XXXX 7841 KAARTHOUDER: BOMBAERT BRAM"/>
    <s v="Uitgave"/>
    <n v="-9.9"/>
    <x v="1"/>
    <s v="OK"/>
  </r>
  <r>
    <d v="2025-07-19T00:00:00"/>
    <x v="6"/>
    <n v="-22.21"/>
    <x v="2"/>
    <s v="BETALING VIA DEBIT MASTERCARD        22-07 19-07-2025 OM 16.00 UUR CARREFOUR MARKE BE8510 MARKE MET APPLE PAY 5127 88XX XXXX 8113 VIRTUEEL KAARTNUMMER CONTACTLOZE BETALING: 5354 00XX XXXX 7841 KAARTHOUDER: BOMBAERT BRAM"/>
    <s v="Uitgave"/>
    <n v="-22.21"/>
    <x v="2"/>
    <s v="OK"/>
  </r>
  <r>
    <d v="2025-07-19T00:00:00"/>
    <x v="6"/>
    <n v="-4.09"/>
    <x v="2"/>
    <s v="BETALING VIA DEBIT MASTERCARD        22-07 19-07-2025 OM 12.03 UUR CARREFOUR MARKE BE8510 MARKE MET APPLE PAY 5127 88XX XXXX 8113 VIRTUEEL KAARTNUMMER CONTACTLOZE BETALING: 5354 00XX XXXX 7841 KAARTHOUDER: BOMBAERT BRAM"/>
    <s v="Uitgave"/>
    <n v="-4.09"/>
    <x v="2"/>
    <s v="OK"/>
  </r>
  <r>
    <d v="2025-07-19T00:00:00"/>
    <x v="6"/>
    <n v="-16.8"/>
    <x v="10"/>
    <s v="BETALING VIA DEBIT MASTERCARD        22-07 19-07-2025 OM 13.36 UUR AU POISSON D'OR BE07700 MOUSCRON MET KBC-DEBETKAART 5127 88XX XXXX 8113 KAARTHOUDER: BOMBAERT BRAM"/>
    <s v="Uitgave"/>
    <n v="-16.8"/>
    <x v="1"/>
    <s v="OK"/>
  </r>
  <r>
    <d v="2025-07-20T00:00:00"/>
    <x v="6"/>
    <n v="-26.99"/>
    <x v="10"/>
    <s v="BETALING VIA DEBIT MASTERCARD        22-07 20-07-2025 OM 09.59 UUR SP EDGARD &amp; COOPER BE8500 KORTRIJK MET APPLE PAY 5127 88XX XXXX 8113 VIRTUEEL KAARTNUMMER CONTACTLOZE BETALING: 5354 00XX XXXX 7841 KAARTHOUDER: BOMBAERT BRAM"/>
    <s v="Uitgave"/>
    <n v="-26.99"/>
    <x v="1"/>
    <s v="OK"/>
  </r>
  <r>
    <d v="2025-07-20T00:00:00"/>
    <x v="6"/>
    <n v="-23.98"/>
    <x v="14"/>
    <s v="BETALING VIA BANCONTACT              22-07 20-07-2025 OM 12.00 UUR CONRAD ELECTRONIC BENE NL7575 EJ OLDENZAAL MET KBC-DEBETKAART 5127 88XX XXXX 8113 KAARTHOUDER: BOMBAERT BRAM"/>
    <s v="Uitgave"/>
    <n v="-23.98"/>
    <x v="1"/>
    <s v="OK"/>
  </r>
  <r>
    <d v="2025-07-21T00:00:00"/>
    <x v="6"/>
    <n v="-20.9"/>
    <x v="10"/>
    <s v="BETALING VIA DEBIT MASTERCARD        22-07 21-07-2025 OM 11.44 UUR VOGEL &amp; VIJVERCENTRUM BE8531 HULSTE MET APPLE PAY 5127 88XX XXXX 8113 VIRTUEEL KAARTNUMMER CONTACTLOZE BETALING: 5354 00XX XXXX 8030 KAARTHOUDER: BOMBAERT BRAM"/>
    <s v="Uitgave"/>
    <n v="-20.9"/>
    <x v="1"/>
    <s v="OK"/>
  </r>
  <r>
    <d v="2025-07-21T00:00:00"/>
    <x v="6"/>
    <n v="-30.6"/>
    <x v="9"/>
    <s v="BETALING VIA DEBIT MASTERCARD        22-07 21-07-2025 OM 13.48 UUR BELL FRITE BE7730 ESTAIMPUIS MET APPLE PAY 5127 88XX XXXX 8113 VIRTUEEL KAARTNUMMER CONTACTLOZE BETALING: 5354 00XX XXXX 8030 KAARTHOUDER: BOMBAERT BRAM"/>
    <s v="Uitgave"/>
    <n v="-30.6"/>
    <x v="1"/>
    <s v="OK"/>
  </r>
  <r>
    <d v="2025-07-21T00:00:00"/>
    <x v="6"/>
    <n v="-9.98"/>
    <x v="17"/>
    <s v="BETALING VIA DEBIT MASTERCARD        22-07 21-07-2025 OM 14.37 UUR FAMIFLORA  CAISSE 26 BE7711 MOUSCRON MET APPLE PAY 5127 88XX XXXX 8113 VIRTUEEL KAARTNUMMER CONTACTLOZE BETALING: 5354 00XX XXXX 8030 KAARTHOUDER: BOMBAERT BRAM"/>
    <s v="Uitgave"/>
    <n v="-9.98"/>
    <x v="1"/>
    <s v="OK"/>
  </r>
  <r>
    <d v="2025-07-21T00:00:00"/>
    <x v="6"/>
    <n v="-8.15"/>
    <x v="2"/>
    <s v="BETALING VIA DEBIT MASTERCARD        22-07 21-07-2025 OM 17.00 UUR CARREFOUR MARKE BE8510 MARKE MET APPLE PAY 5127 88XX XXXX 8113 VIRTUEEL KAARTNUMMER CONTACTLOZE BETALING: 5354 00XX XXXX 7841 KAARTHOUDER: BOMBAERT BRAM"/>
    <s v="Uitgave"/>
    <n v="-8.15"/>
    <x v="2"/>
    <s v="OK"/>
  </r>
  <r>
    <d v="2025-07-21T00:00:00"/>
    <x v="6"/>
    <n v="-33.549999999999997"/>
    <x v="31"/>
    <s v="EUROPESE DOMICILIERING               21-07 SCHULDEISER     : CARDIF -ASSURANCE VIE REF. SCHULDEISER: RF63250543867488235418399 MANDAATREFERTE  : CARDIF-8742994/01 MEDEDELING      : SCOR                   ISO                   RF63250543867488235418399"/>
    <s v="Uitgave"/>
    <n v="-33.549999999999997"/>
    <x v="2"/>
    <s v="OK"/>
  </r>
  <r>
    <d v="2025-07-22T00:00:00"/>
    <x v="6"/>
    <n v="-15.13"/>
    <x v="2"/>
    <s v="BETALING VIA DEBIT MASTERCARD        24-07 22-07-2025 OM 12.28 UUR LIDL 803 KORTRIJK 2 BE8500 KORTRIJK MET APPLE PAY 5127 88XX XXXX 8113 VIRTUEEL KAARTNUMMER CONTACTLOZE BETALING: 5354 00XX XXXX 8030 KAARTHOUDER: BOMBAERT BRAM"/>
    <s v="Uitgave"/>
    <n v="-15.13"/>
    <x v="2"/>
    <s v="OK"/>
  </r>
  <r>
    <d v="2025-07-22T00:00:00"/>
    <x v="6"/>
    <n v="-5.14"/>
    <x v="2"/>
    <s v="BETALING VIA DEBIT MASTERCARD        23-07 22-07-2025 OM 12.40 UUR CARREFOUR MARKE BE8510 MARKE MET APPLE PAY 5127 88XX XXXX 8113 VIRTUEEL KAARTNUMMER CONTACTLOZE BETALING: 5354 00XX XXXX 8030 KAARTHOUDER: BOMBAERT BRAM"/>
    <s v="Uitgave"/>
    <n v="-5.14"/>
    <x v="2"/>
    <s v="OK"/>
  </r>
  <r>
    <d v="2025-07-22T00:00:00"/>
    <x v="6"/>
    <n v="-8.9"/>
    <x v="47"/>
    <s v="BETALING VIA MAESTRO                 22-07 18-07-2025 OM 15.21 UUR MOLECULE BE VICHTE MET APPLE PAY 6703 42XX XXXX X901 0 VIRTUEEL KAARTNUMMER CONTACTLOZE BETALING: 6790 28XX XXXX X658 7 KAARTHOUDER: ROTTY CHRISTOFF"/>
    <s v="Uitgave"/>
    <n v="-8.9"/>
    <x v="1"/>
    <s v="OK"/>
  </r>
  <r>
    <d v="2025-07-22T00:00:00"/>
    <x v="6"/>
    <n v="-16"/>
    <x v="2"/>
    <s v="BETALING VIA MAESTRO                 22-07 19-07-2025 OM 14.42 UUR BEUGNIES LES CHOCOLATS BE KORTRIJK MET APPLE PAY 6703 42XX XXXX X901 0 VIRTUEEL KAARTNUMMER CONTACTLOZE BETALING: 6790 28XX XXXX X658 7 KAARTHOUDER: ROTTY CHRISTOFF"/>
    <s v="Uitgave"/>
    <n v="-16"/>
    <x v="2"/>
    <s v="OK"/>
  </r>
  <r>
    <d v="2025-07-22T00:00:00"/>
    <x v="6"/>
    <n v="15.44"/>
    <x v="6"/>
    <s v="OVERSCHRIJVING VAN                   22-07 BE76 3350 5545 9895 BANKIER OPDRACHTGEVER: BBRUBEBB LUMINUS NV LUMINUS TERUGBET 4834178099 0415334214 REFERENTIE: 000165443362"/>
    <s v="Inkomst"/>
    <n v="15.44"/>
    <x v="2"/>
    <s v="OK"/>
  </r>
  <r>
    <d v="2025-07-22T00:00:00"/>
    <x v="6"/>
    <n v="-53.29"/>
    <x v="33"/>
    <s v="EUROPESE DOMICILIERING               22-07 SCHULDEISER     : AXA REF. SCHULDEISER: 20250715010935524060002695 MANDAATREFERTE  : 010817143526001 MEDEDELING      : 0108171435261042025-07-222025070000 0010817143526"/>
    <s v="Uitgave"/>
    <n v="-53.29"/>
    <x v="2"/>
    <s v="OK"/>
  </r>
  <r>
    <d v="2025-07-23T00:00:00"/>
    <x v="6"/>
    <n v="-84"/>
    <x v="8"/>
    <s v="BETALING VIA DEBIT MASTERCARD        24-07 23-07-2025 OM 00.00 tickets TOTZ"/>
    <s v="Uitgave"/>
    <n v="-84"/>
    <x v="1"/>
    <s v="OK"/>
  </r>
  <r>
    <d v="2025-07-23T00:00:00"/>
    <x v="6"/>
    <n v="-15.2"/>
    <x v="2"/>
    <s v="BETALING VIA DEBIT MASTERCARD        24-07 23-07-2025 OM 12.14 UUR CARREFOUR MARKE BE8510 MARKE MET APPLE PAY 5127 88XX XXXX 8113 VIRTUEEL KAARTNUMMER CONTACTLOZE BETALING: 5354 00XX XXXX 7841 KAARTHOUDER: BOMBAERT BRAM"/>
    <s v="Uitgave"/>
    <n v="-15.2"/>
    <x v="2"/>
    <s v="OK"/>
  </r>
  <r>
    <d v="2025-07-23T00:00:00"/>
    <x v="6"/>
    <n v="-387"/>
    <x v="16"/>
    <s v="BETALING VIA DEBIT MASTERCARD        24-07 23-07-2025 OM 14.57 UUR CCV*MARKIES TANDARTSEN BE8510 KORTRIJK MET APPLE PAY 5127 88XX XXXX 8113 VIRTUEEL KAARTNUMMER CONTACTLOZE BETALING: 5354 00XX XXXX 8030 KAARTHOUDER: BOMBAERT BRAM"/>
    <s v="Uitgave"/>
    <n v="-387"/>
    <x v="2"/>
    <s v="OK"/>
  </r>
  <r>
    <d v="2025-07-23T00:00:00"/>
    <x v="6"/>
    <n v="-6"/>
    <x v="9"/>
    <s v="BETALING VIA BANCONTACT              24-07 23-07-2025 OM 22.57 UUR SPOTS BE8434 MIDDELKERK MET KBC-DEBETKAART 5127 88XX XXXX 8113 KAARTHOUDER: BOMBAERT BRAM"/>
    <s v="Uitgave"/>
    <n v="-6"/>
    <x v="1"/>
    <s v="OK"/>
  </r>
  <r>
    <d v="2025-07-23T00:00:00"/>
    <x v="6"/>
    <n v="-1.3"/>
    <x v="5"/>
    <s v="OVERSCHRIJVING NAAR                  23-07 BE23 7330 6155 2691 BANKIER BEGUNSTIGDE: KREDBEBB 4411 4411 MIDDELKERKE MID2 2CMY158 - OLMPA100100 - NBKPNI1 BJNHQ MET KBC MOBILE"/>
    <s v="Uitgave"/>
    <n v="-1.3"/>
    <x v="1"/>
    <s v="OK"/>
  </r>
  <r>
    <d v="2025-07-24T00:00:00"/>
    <x v="6"/>
    <n v="19.5"/>
    <x v="23"/>
    <s v="OVERSCHRIJVING VAN                   24-07 NL27 INGB 0000 0265 00 BANKIER OPDRACHTGEVER: INGBNL2A BOLCOM BV ARTIKEL GERETOURNEERD VOOR FACTUUR 3913732120357 REFERENTIE: 0BA06622187E46DCB0D7925D5B632AB9"/>
    <s v="Inkomst"/>
    <n v="19.5"/>
    <x v="1"/>
    <s v="OK"/>
  </r>
  <r>
    <d v="2025-07-24T00:00:00"/>
    <x v="6"/>
    <n v="242"/>
    <x v="16"/>
    <s v="OVERSCHRIJVING VAN                   24-07 BE10 1325 4851 1904 BANKIER OPDRACHTGEVER: BNAGBEBBXXX SOLIDARIS W.-VLAANDEREN /C/ (1619945)   ZORG VAN 23/07/25 TACK E 93032216582 REFERENTIE: 112"/>
    <s v="Inkomst"/>
    <n v="242"/>
    <x v="2"/>
    <s v="OK"/>
  </r>
  <r>
    <d v="2025-07-24T00:00:00"/>
    <x v="6"/>
    <n v="-36.799999999999997"/>
    <x v="9"/>
    <s v="BETALING VIA MAESTRO                 24-07 23-07-2025 OM 18.44 UUR CCV*BAR DU SOLEIL BE MIDDELKERKE MET APPLE PAY 6703 42XX XXXX X901 0 VIRTUEEL KAARTNUMMER CONTACTLOZE BETALING: 6790 28XX XXXX X658 7 KAARTHOUDER: ROTTY CHRISTOFF"/>
    <s v="Uitgave"/>
    <n v="-36.799999999999997"/>
    <x v="1"/>
    <s v="OK"/>
  </r>
  <r>
    <d v="2025-07-24T00:00:00"/>
    <x v="6"/>
    <n v="-10.4"/>
    <x v="8"/>
    <s v="BETALING VIA MAESTRO                 24-07 23-07-2025 OM 20.00 UUR TIEN OM TE ZIEN BE GRIMBERGEN MET APPLE PAY 6703 42XX XXXX X901 0 VIRTUEEL KAARTNUMMER CONTACTLOZE BETALING: 6790 28XX XXXX X658 7 KAARTHOUDER: ROTTY CHRISTOFF"/>
    <s v="Uitgave"/>
    <n v="-10.4"/>
    <x v="1"/>
    <s v="OK"/>
  </r>
  <r>
    <d v="2025-07-24T00:00:00"/>
    <x v="6"/>
    <n v="-4"/>
    <x v="4"/>
    <s v="BETALING VIA MAESTRO                 24-07 23-07-2025 OM 09.56 UUR OVO CHARGE ANYWH GB BRISTOL MET KBC-DEBETKAART 6703 42XX XXXX X901 0 KAARTHOUDER: ROTTY CHRISTOFF"/>
    <s v="Uitgave"/>
    <n v="-4"/>
    <x v="2"/>
    <s v="OK"/>
  </r>
  <r>
    <d v="2025-07-24T00:00:00"/>
    <x v="6"/>
    <n v="-5.24"/>
    <x v="2"/>
    <s v="BETALING VIA DEBIT MASTERCARD        25-07 24-07-2025 OM 18.29 UUR CARREFOUR MARKE BE8510 MARKE MET APPLE PAY 5127 88XX XXXX 8113 VIRTUEEL KAARTNUMMER CONTACTLOZE BETALING: 5354 00XX XXXX 7841 KAARTHOUDER: BOMBAERT BRAM"/>
    <s v="Uitgave"/>
    <n v="-5.24"/>
    <x v="2"/>
    <s v="OK"/>
  </r>
  <r>
    <d v="2025-07-24T00:00:00"/>
    <x v="6"/>
    <n v="-13.76"/>
    <x v="2"/>
    <s v="BETALING VIA DEBIT MASTERCARD        25-07 24-07-2025 OM 12.06 UUR CARREFOUR MARKE BE8510 MARKE MET APPLE PAY 5127 88XX XXXX 8113 VIRTUEEL KAARTNUMMER CONTACTLOZE BETALING: 5354 00XX XXXX 7841 KAARTHOUDER: BOMBAERT BRAM"/>
    <s v="Uitgave"/>
    <n v="-13.76"/>
    <x v="2"/>
    <s v="OK"/>
  </r>
  <r>
    <d v="2025-07-25T00:00:00"/>
    <x v="6"/>
    <n v="-33.89"/>
    <x v="2"/>
    <s v="BETALING VIA DEBIT MASTERCARD        28-07 25-07-2025 OM 17.00 UUR LIDL 803 KORTRIJK 2 BE8500 KORTRIJK MET APPLE PAY 5127 88XX XXXX 8113 VIRTUEEL KAARTNUMMER CONTACTLOZE BETALING: 5354 00XX XXXX 8030 KAARTHOUDER: BOMBAERT BRAM"/>
    <s v="Uitgave"/>
    <n v="-33.89"/>
    <x v="2"/>
    <s v="OK"/>
  </r>
  <r>
    <d v="2025-07-25T00:00:00"/>
    <x v="6"/>
    <n v="-15.4"/>
    <x v="2"/>
    <s v="BETALING VIA DEBIT MASTERCARD        28-07 25-07-2025 OM 12.05 UUR ERIC KAYSER FR59000 LILLE MET APPLE PAY 5127 88XX XXXX 8113 VIRTUEEL KAARTNUMMER CONTACTLOZE BETALING: 5354 00XX XXXX 8030 KAARTHOUDER: BOMBAERT BRAM"/>
    <s v="Uitgave"/>
    <n v="-15.4"/>
    <x v="2"/>
    <s v="OK"/>
  </r>
  <r>
    <d v="2025-07-25T00:00:00"/>
    <x v="6"/>
    <n v="-4.4000000000000004"/>
    <x v="2"/>
    <s v="BETALING VIA DEBIT MASTERCARD        28-07 25-07-2025 OM 12.06 UUR ERIC KAYSER FR59000 LILLE MET APPLE PAY 5127 88XX XXXX 8113 VIRTUEEL KAARTNUMMER CONTACTLOZE BETALING: 5354 00XX XXXX 8030 KAARTHOUDER: BOMBAERT BRAM"/>
    <s v="Uitgave"/>
    <n v="-4.4000000000000004"/>
    <x v="2"/>
    <s v="OK"/>
  </r>
  <r>
    <d v="2025-07-25T00:00:00"/>
    <x v="6"/>
    <n v="-16.600000000000001"/>
    <x v="9"/>
    <s v="BETALING VIA DEBIT MASTERCARD        28-07 25-07-2025 OM 16.12 UUR CCV*S&amp;R KORTRIJK-ZWEVE BE8500 KORTRIJK MET APPLE PAY 5127 88XX XXXX 8113 VIRTUEEL KAARTNUMMER CONTACTLOZE BETALING: 5354 00XX XXXX 8030 KAARTHOUDER: BOMBAERT BRAM"/>
    <s v="Uitgave"/>
    <n v="-16.600000000000001"/>
    <x v="1"/>
    <s v="OK"/>
  </r>
  <r>
    <d v="2025-07-25T00:00:00"/>
    <x v="6"/>
    <n v="4"/>
    <x v="17"/>
    <s v="OVERSCHRIJVING VAN                   25-07 BE17 7350 6873 7521 BANKIER OPDRACHTGEVER: KREDBEBB BEYOND ORDERING BV REFUND 71324844524635444236686431554B3178593252 BESTANDSREF. 2C1BE8280D43429985D4D35223F86126 OPDRACHTREF. Q2HDRF5DB6HD1UK1XY2R"/>
    <s v="Inkomst"/>
    <n v="4"/>
    <x v="1"/>
    <s v="OK"/>
  </r>
  <r>
    <d v="2025-07-25T00:00:00"/>
    <x v="6"/>
    <n v="-23.8"/>
    <x v="9"/>
    <s v="BETALING VIA MAESTRO                 25-07 24-07-2025 OM 17.15 UUR CCV*S&amp;R KORTRIJK-ZWEVE BE KORTRIJK MET APPLE PAY 6703 42XX XXXX X901 0 VIRTUEEL KAARTNUMMER CONTACTLOZE BETALING: 6790 28XX XXXX X658 7 KAARTHOUDER: ROTTY CHRISTOFF"/>
    <s v="Uitgave"/>
    <n v="-23.8"/>
    <x v="1"/>
    <s v="OK"/>
  </r>
  <r>
    <d v="2025-07-25T00:00:00"/>
    <x v="6"/>
    <n v="-6.4"/>
    <x v="9"/>
    <s v="BETALING VIA MAESTRO                 25-07 24-07-2025 OM 17.00 UUR CCV*S&amp;R KORTRIJK-ZWEVE BE KORTRIJK MET APPLE PAY 6703 42XX XXXX X901 0 VIRTUEEL KAARTNUMMER CONTACTLOZE BETALING: 6790 28XX XXXX X658 7 KAARTHOUDER: ROTTY CHRISTOFF"/>
    <s v="Uitgave"/>
    <n v="-6.4"/>
    <x v="1"/>
    <s v="OK"/>
  </r>
  <r>
    <d v="2025-07-25T00:00:00"/>
    <x v="6"/>
    <n v="-121.2"/>
    <x v="6"/>
    <s v="BETALING VIA BANCONTACT              25-07 25-07-2025 OM 06.28 UUR ENGIE BE1000 BRUSSEL MET KBC-DEBETKAART 6703 42XX XXXX X901 0 KAARTHOUDER: ROTTY CHRISTOFF"/>
    <s v="Uitgave"/>
    <n v="-121.2"/>
    <x v="2"/>
    <s v="OK"/>
  </r>
  <r>
    <d v="2025-07-25T00:00:00"/>
    <x v="6"/>
    <n v="-113.49"/>
    <x v="33"/>
    <s v="EUROPESE DOMICILIERING               25-07 SCHULDEISER     : AXA REF. SCHULDEISER: 20250718010842671923011292 MANDAATREFERTE  : 010624258692001 MEDEDELING      : 0106242586921042025-07-252025070000 0010624258692"/>
    <s v="Uitgave"/>
    <n v="-113.49"/>
    <x v="2"/>
    <s v="OK"/>
  </r>
  <r>
    <d v="2025-07-25T00:00:00"/>
    <x v="6"/>
    <n v="-2.6"/>
    <x v="5"/>
    <s v="BETALING VIA DEBIT MASTERCARD        29-07 25-07-2025 OM 12.42 UUR EFFIA FR59000 LILLE MET APPLE PAY 5127 88XX XXXX 8113 VIRTUEEL KAARTNUMMER CONTACTLOZE BETALING: 5354 00XX XXXX 8030 KAARTHOUDER: BOMBAERT BRAM"/>
    <s v="Uitgave"/>
    <n v="-2.6"/>
    <x v="1"/>
    <s v="OK"/>
  </r>
  <r>
    <d v="2025-07-25T00:00:00"/>
    <x v="6"/>
    <n v="-2.6"/>
    <x v="17"/>
    <s v="BETALING VIA DEBIT MASTERCARD        29-07 25-07-2025 OM 12.42 UUR EFFIA FR59000 LILLE MET APPLE PAY 5127 88XX XXXX 8113 VIRTUEEL KAARTNUMMER CONTACTLOZE BETALING: 5354 00XX XXXX 8030 KAARTHOUDER: BOMBAERT BRAM"/>
    <s v="Uitgave"/>
    <n v="-2.6"/>
    <x v="1"/>
    <s v="OK"/>
  </r>
  <r>
    <d v="2025-07-25T00:00:00"/>
    <x v="6"/>
    <n v="-33.89"/>
    <x v="2"/>
    <s v="BETALING VIA DEBIT MASTERCARD        28-07 25-07-2025 OM 17.00 UUR LIDL 803 KORTRIJK 2 BE8500 KORTRIJK MET APPLE PAY 5127 88XX XXXX 8113 VIRTUEEL KAARTNUMMER CONTACTLOZE BETALING: 5354 00XX XXXX 8030 KAARTHOUDER: BOMBAERT BRAM"/>
    <s v="Uitgave"/>
    <n v="-33.89"/>
    <x v="2"/>
    <s v="OK"/>
  </r>
  <r>
    <d v="2025-07-26T00:00:00"/>
    <x v="6"/>
    <n v="-17.72"/>
    <x v="2"/>
    <s v="BETALING VIA DEBIT MASTERCARD        28-07 26-07-2025 OM 12.13 UUR LIDL 803 KORTRIJK 2 BE8500 KORTRIJK MET APPLE PAY 5127 88XX XXXX 8113 VIRTUEEL KAARTNUMMER CONTACTLOZE BETALING: 5354 00XX XXXX 8030 KAARTHOUDER: BOMBAERT BRAM"/>
    <s v="Uitgave"/>
    <n v="-17.72"/>
    <x v="2"/>
    <s v="OK"/>
  </r>
  <r>
    <d v="2025-07-26T00:00:00"/>
    <x v="6"/>
    <n v="-19"/>
    <x v="34"/>
    <s v="BETALING VIA BANCONTACT              28-07 26-07-2025 OM 15.37 UUR CARWASH DE SINGEL KUUR BE8250 KUUME MET KBC-DEBETKAART 5127 88XX XXXX 8113 KAARTHOUDER: BOMBAERT BRAM"/>
    <s v="Uitgave"/>
    <n v="-19"/>
    <x v="1"/>
    <s v="OK"/>
  </r>
  <r>
    <d v="2025-07-27T00:00:00"/>
    <x v="6"/>
    <n v="-12.31"/>
    <x v="2"/>
    <s v="BETALING VIA DEBIT MASTERCARD        28-07 27-07-2025 OM 16.09 UUR CARREFOUR MARKE BE8510 MARKE MET APPLE PAY 5127 88XX XXXX 8113 VIRTUEEL KAARTNUMMER CONTACTLOZE BETALING: 5354 00XX XXXX 8030 KAARTHOUDER: BOMBAERT BRAM"/>
    <s v="Uitgave"/>
    <n v="-12.31"/>
    <x v="2"/>
    <s v="OK"/>
  </r>
  <r>
    <d v="2025-07-27T00:00:00"/>
    <x v="6"/>
    <n v="-5.95"/>
    <x v="9"/>
    <s v="BETALING VIA DEBIT MASTERCARD        28-07 27-07-2025 OM 19.35 UUR LSP*MOOCHIE FROZEN YOG BE9000 GENT MET APPLE PAY 5127 88XX XXXX 8113 VIRTUEEL KAARTNUMMER CONTACTLOZE BETALING: 5354 00XX XXXX 8030 KAARTHOUDER: BOMBAERT BRAM"/>
    <s v="Uitgave"/>
    <n v="-5.95"/>
    <x v="1"/>
    <s v="OK"/>
  </r>
  <r>
    <d v="2025-07-28T00:00:00"/>
    <x v="6"/>
    <n v="-10"/>
    <x v="10"/>
    <s v="BETALING VIA DEBIT MASTERCARD        29-07 28-07-2025 OM 14.34 UUR TOM&amp;CO KORTRIJK BE8500 KORTRIJK MET APPLE PAY 5127 88XX XXXX 8113 VIRTUEEL KAARTNUMMER CONTACTLOZE BETALING: 5354 00XX XXXX 7841 KAARTHOUDER: BOMBAERT BRAM"/>
    <s v="Uitgave"/>
    <n v="-10"/>
    <x v="1"/>
    <s v="OK"/>
  </r>
  <r>
    <d v="2025-07-28T00:00:00"/>
    <x v="6"/>
    <n v="-9.66"/>
    <x v="2"/>
    <s v="BETALING VIA DEBIT MASTERCARD        29-07 28-07-2025 OM 14.43 UUR LIDL 803 KORTRIJK 2 BE8500 KORTRIJK MET APPLE PAY 5127 88XX XXXX 8113 VIRTUEEL KAARTNUMMER CONTACTLOZE BETALING: 5354 00XX XXXX 7841 KAARTHOUDER: BOMBAERT BRAM"/>
    <s v="Uitgave"/>
    <n v="-9.66"/>
    <x v="2"/>
    <s v="OK"/>
  </r>
  <r>
    <d v="2025-07-28T00:00:00"/>
    <x v="6"/>
    <n v="-0.9"/>
    <x v="11"/>
    <s v="BETALING VIA DEBIT MASTERCARD        29-07 28-07-2025 OM 01.06 UUR VALINSOPAY NL NL4261 LN WIJK EN AALBU MET APPLE PAY 5127 88XX XXXX 8113 VIRTUEEL KAARTNUMMER CONTACTLOZE BETALING: 5354 00XX XXXX 8030 KAARTHOUDER: BOMBAERT BRAM"/>
    <s v="Uitgave"/>
    <n v="-0.9"/>
    <x v="1"/>
    <s v="OK"/>
  </r>
  <r>
    <d v="2025-07-28T00:00:00"/>
    <x v="6"/>
    <n v="-1.5"/>
    <x v="11"/>
    <s v="BETALING VIA DEBIT MASTERCARD        29-07 28-07-2025 OM 01.05 UUR VALINSOPAY NL NL4261 LN WIJK EN AALBU MET APPLE PAY 5127 88XX XXXX 8113 VIRTUEEL KAARTNUMMER CONTACTLOZE BETALING: 5354 00XX XXXX 8030 KAARTHOUDER: BOMBAERT BRAM"/>
    <s v="Uitgave"/>
    <n v="-1.5"/>
    <x v="1"/>
    <s v="OK"/>
  </r>
  <r>
    <d v="2025-07-28T00:00:00"/>
    <x v="6"/>
    <n v="-5.33"/>
    <x v="2"/>
    <s v="BETALING VIA DEBIT MASTERCARD        29-07 28-07-2025 OM 18.33 UUR CARREFOUR MARKE BE8510 MARKE MET KBC-DEBETKAART 5127 88XX XXXX 8113 KAARTHOUDER: BOMBAERT BRAM"/>
    <s v="Uitgave"/>
    <n v="-5.33"/>
    <x v="2"/>
    <s v="OK"/>
  </r>
  <r>
    <d v="2025-07-28T00:00:00"/>
    <x v="6"/>
    <n v="-22.4"/>
    <x v="2"/>
    <s v="BETALING VIA DEBIT MASTERCARD        29-07 28-07-2025 OM 12.07 UUR CARREFOUR MARKE BE8510 MARKE MET APPLE PAY 5127 88XX XXXX 8113 VIRTUEEL KAARTNUMMER CONTACTLOZE BETALING: 5354 00XX XXXX 7841 KAARTHOUDER: BOMBAERT BRAM"/>
    <s v="Uitgave"/>
    <n v="-22.4"/>
    <x v="2"/>
    <s v="OK"/>
  </r>
  <r>
    <d v="2025-07-28T00:00:00"/>
    <x v="6"/>
    <n v="-110.1"/>
    <x v="10"/>
    <s v="BETALING VIA DEBIT MASTERCARD        29-07 28-07-2025 OM 14.22 UUR CCV*DIERENARTSENPRAKTI BE8500 KORTRIJK MET APPLE PAY 5127 88XX XXXX 8113 VIRTUEEL KAARTNUMMER CONTACTLOZE BETALING: 5354 00XX XXXX 7841 KAARTHOUDER: BOMBAERT BRAM"/>
    <s v="Uitgave"/>
    <n v="-110.1"/>
    <x v="1"/>
    <s v="OK"/>
  </r>
  <r>
    <d v="2025-07-28T00:00:00"/>
    <x v="6"/>
    <n v="-7.48"/>
    <x v="4"/>
    <s v="BETALING VIA MAESTRO                 28-07 27-07-2025 OM 07.29 UUR OVO CHARGE ANYWHERE GB BRISTOL MET APPLE PAY 6703 42XX XXXX X901 0 VIRTUEEL KAARTNUMMER CONTACTLOZE BETALING: 6790 28XX XXXX X658 7 KAARTHOUDER: ROTTY CHRISTOFF"/>
    <s v="Uitgave"/>
    <n v="-7.48"/>
    <x v="2"/>
    <s v="OK"/>
  </r>
  <r>
    <d v="2025-07-28T00:00:00"/>
    <x v="6"/>
    <n v="-5"/>
    <x v="4"/>
    <s v="BETALING VIA MAESTRO                 28-07 27-07-2025 OM 07.29 UUR OVO CHARGE ANYWHERE GB BRISTOL MET APPLE PAY 6703 42XX XXXX X901 0 VIRTUEEL KAARTNUMMER CONTACTLOZE BETALING: 6790 28XX XXXX X658 7 KAARTHOUDER: ROTTY CHRISTOFF"/>
    <s v="Uitgave"/>
    <n v="-5"/>
    <x v="2"/>
    <s v="OK"/>
  </r>
  <r>
    <d v="2025-07-28T00:00:00"/>
    <x v="6"/>
    <n v="-10.65"/>
    <x v="4"/>
    <s v="BETALING VIA MAESTRO                 28-07 25-07-2025 OM 04.13 UUR OVO CHARGE ANYWHERE GB BRISTOL MET APPLE PAY 6703 42XX XXXX X901 0 VIRTUEEL KAARTNUMMER CONTACTLOZE BETALING: 6790 28XX XXXX X658 7 KAARTHOUDER: ROTTY CHRISTOFF"/>
    <s v="Uitgave"/>
    <n v="-10.65"/>
    <x v="2"/>
    <s v="OK"/>
  </r>
  <r>
    <d v="2025-07-28T00:00:00"/>
    <x v="6"/>
    <n v="-5"/>
    <x v="4"/>
    <s v="BETALING VIA MAESTRO                 28-07 25-07-2025 OM 04.13 UUR OVO CHARGE ANYWHERE GB BRISTOL MET APPLE PAY 6703 42XX XXXX X901 0 VIRTUEEL KAARTNUMMER CONTACTLOZE BETALING: 6790 28XX XXXX X658 7 KAARTHOUDER: ROTTY CHRISTOFF"/>
    <s v="Uitgave"/>
    <n v="-5"/>
    <x v="2"/>
    <s v="OK"/>
  </r>
  <r>
    <d v="2025-07-28T00:00:00"/>
    <x v="6"/>
    <n v="-18"/>
    <x v="30"/>
    <s v="EUROPESE DOMICILIERING               28-07 SCHULDEISER     : ORANGE REF. SCHULDEISER: A68O81EA MANDAATREFERTE  : 7808001 MEDEDELING      : SCOR                   BBA                   111846299230"/>
    <s v="Uitgave"/>
    <n v="-18"/>
    <x v="2"/>
    <s v="OK"/>
  </r>
  <r>
    <d v="2025-07-29T00:00:00"/>
    <x v="6"/>
    <n v="-22.48"/>
    <x v="10"/>
    <s v="BETALING VIA MAESTRO                 29-07 28-07-2025 OM 15.05 UUR TOM&amp;CO KORTRIJK BE KORTRIJK MET APPLE PAY 6703 42XX XXXX X901 0 VIRTUEEL KAARTNUMMER CONTACTLOZE BETALING: 6790 28XX XXXX X658 7 KAARTHOUDER: ROTTY CHRISTOFF"/>
    <s v="Uitgave"/>
    <n v="-22.48"/>
    <x v="1"/>
    <s v="OK"/>
  </r>
  <r>
    <d v="2025-07-29T00:00:00"/>
    <x v="6"/>
    <n v="-27.33"/>
    <x v="2"/>
    <s v="BETALING VIA MAESTRO                 29-07 28-07-2025 OM 16.43 UUR LIDL 803 KORTRIJK 2 BE KORTRIJK MET APPLE PAY 6703 42XX XXXX X901 0 VIRTUEEL KAARTNUMMER CONTACTLOZE BETALING: 6790 28XX XXXX X658 7 KAARTHOUDER: ROTTY CHRISTOFF"/>
    <s v="Uitgave"/>
    <n v="-27.33"/>
    <x v="2"/>
    <s v="OK"/>
  </r>
  <r>
    <d v="2025-07-29T00:00:00"/>
    <x v="6"/>
    <n v="-15.84"/>
    <x v="16"/>
    <s v="BETALING VIA BANCONTACT              29-07 29-07-2025 OM 14.24 UUR APOTHEEK ARIE BE8510 MARKE MET KBC-DEBETKAART 5127 88XX XXXX 8113 KAARTHOUDER: BOMBAERT BRAM"/>
    <s v="Uitgave"/>
    <n v="-15.84"/>
    <x v="2"/>
    <s v="OK"/>
  </r>
  <r>
    <d v="2025-07-29T00:00:00"/>
    <x v="6"/>
    <n v="-5.5"/>
    <x v="4"/>
    <s v="BETALING VIA MAESTRO                 29-07 28-07-2025 OM 02.51 UUR OVO CHARGE ANYWHERE GB BRISTOL MET APPLE PAY 6703 42XX XXXX X901 0 VIRTUEEL KAARTNUMMER CONTACTLOZE BETALING: 6790 28XX XXXX X658 7 KAARTHOUDER: ROTTY CHRISTOFF"/>
    <s v="Uitgave"/>
    <n v="-5.5"/>
    <x v="2"/>
    <s v="OK"/>
  </r>
  <r>
    <d v="2025-07-29T00:00:00"/>
    <x v="6"/>
    <n v="-55.11"/>
    <x v="41"/>
    <s v="BETALING VIA DEBIT MASTERCARD        30-07 29-07-2025 OM 12.35 UUR MOL*VIVA SARA BE8570 3256777776 MET APPLE PAY 5127 88XX XXXX 8113 VIRTUEEL KAARTNUMMER CONTACTLOZE BETALING: 5354 00XX XXXX 7841 KAARTHOUDER: BOMBAERT BRAM"/>
    <s v="Uitgave"/>
    <n v="-55.11"/>
    <x v="1"/>
    <s v="OK"/>
  </r>
  <r>
    <d v="2025-07-29T00:00:00"/>
    <x v="6"/>
    <n v="-3.58"/>
    <x v="2"/>
    <s v="BETALING VIA DEBIT MASTERCARD        31-07 29-07-2025 OM 14.14 UUR LIDL 803 KORTRIJK 2 BE8500 KORTRIJK MET APPLE PAY 5127 88XX XXXX 8113 VIRTUEEL KAARTNUMMER CONTACTLOZE BETALING: 5354 00XX XXXX 8030 KAARTHOUDER: BOMBAERT BRAM"/>
    <s v="Uitgave"/>
    <n v="-3.58"/>
    <x v="2"/>
    <s v="OK"/>
  </r>
  <r>
    <d v="2025-07-30T00:00:00"/>
    <x v="6"/>
    <n v="-200"/>
    <x v="36"/>
    <s v="BETALING LEASING                     30-07 0001/0001/BE/2502240437"/>
    <s v="Uitgave"/>
    <n v="-200"/>
    <x v="2"/>
    <s v="OK"/>
  </r>
  <r>
    <d v="2025-07-30T00:00:00"/>
    <x v="6"/>
    <n v="-10.18"/>
    <x v="2"/>
    <s v="BETALING VIA MAESTRO                 30-07 29-07-2025 OM 16.20 UUR COLRUYT LEDEBERG BE GENT MET APPLE PAY 6703 42XX XXXX X901 0 VIRTUEEL KAARTNUMMER CONTACTLOZE BETALING: 6790 28XX XXXX X658 7 KAARTHOUDER: ROTTY CHRISTOFF"/>
    <s v="Uitgave"/>
    <n v="-10.18"/>
    <x v="2"/>
    <s v="OK"/>
  </r>
  <r>
    <d v="2025-07-30T00:00:00"/>
    <x v="6"/>
    <n v="-6.99"/>
    <x v="16"/>
    <s v="BETALING VIA BANCONTACT              30-07 30-07-2025 OM 15.30 UUR MEDI-MARKET KORTRIJK BE8500 KORTRIJK MET KBC-DEBETKAART 5127 88XX XXXX 8113 KAARTHOUDER: BOMBAERT BRAM"/>
    <s v="Uitgave"/>
    <n v="-6.99"/>
    <x v="2"/>
    <s v="OK"/>
  </r>
  <r>
    <d v="2025-07-30T00:00:00"/>
    <x v="6"/>
    <n v="-1.6"/>
    <x v="2"/>
    <s v="BETALING VIA BANCONTACT              30-07 30-07-2025 OM 12.52 UUR TOTAL NB002038 MARKE C BE8510 MARKE (KORTRI MET KBC-DEBETKAART 5127 88XX XXXX 8113 KAARTHOUDER: BOMBAERT BRAM"/>
    <s v="Uitgave"/>
    <n v="-1.6"/>
    <x v="2"/>
    <s v="OK"/>
  </r>
  <r>
    <d v="2025-07-30T00:00:00"/>
    <x v="6"/>
    <n v="-76.83"/>
    <x v="37"/>
    <s v="EUROPESE DOMICILIERING               30-07 SCHULDEISER     : TELENET BV REF. SCHULDEISER: 115343185310657366763 MANDAATREFERTE  : 001285135 MEDEDELING      : ACCOUNT: 115343185 REF : 3106573667 63"/>
    <s v="Uitgave"/>
    <n v="-76.83"/>
    <x v="2"/>
    <s v="OK"/>
  </r>
  <r>
    <d v="2025-07-30T00:00:00"/>
    <x v="6"/>
    <n v="-386.12"/>
    <x v="36"/>
    <s v="BETALING LEASING                     30-07 0001/0001/BE/2502240437"/>
    <s v="Uitgave"/>
    <n v="-386.12"/>
    <x v="2"/>
    <s v="OK"/>
  </r>
  <r>
    <d v="2025-07-30T00:00:00"/>
    <x v="6"/>
    <n v="-6.23"/>
    <x v="2"/>
    <s v="BETALING VIA DEBIT MASTERCARD        31-07 30-07-2025 OM 16.56 UUR CARREFOUR MARKE BE8510 MARKE MET APPLE PAY 5127 88XX XXXX 8113 VIRTUEEL KAARTNUMMER CONTACTLOZE BETALING: 5354 00XX XXXX 7841 KAARTHOUDER: BOMBAERT BRAM"/>
    <s v="Uitgave"/>
    <n v="-6.23"/>
    <x v="2"/>
    <s v="OK"/>
  </r>
  <r>
    <d v="2025-07-30T00:00:00"/>
    <x v="6"/>
    <n v="-297"/>
    <x v="16"/>
    <s v="BETALING VIA DEBIT MASTERCARD        31-07 30-07-2025 OM 14.28 UUR CCV*MARKIES TANDARTSEN BE8510 KORTRIJK MET APPLE PAY 5127 88XX XXXX 8113 VIRTUEEL KAARTNUMMER CONTACTLOZE BETALING: 5354 00XX XXXX 8030 KAARTHOUDER: BOMBAERT BRAM"/>
    <s v="Uitgave"/>
    <n v="-297"/>
    <x v="2"/>
    <s v="OK"/>
  </r>
  <r>
    <d v="2025-07-30T00:00:00"/>
    <x v="6"/>
    <n v="-4.59"/>
    <x v="42"/>
    <s v="BETALING VIA DEBIT MASTERCARD        31-07 30-07-2025 OM 15.37 UUR HEMA EV409 KORTRIJK BE8520 KORTRIJK MET APPLE PAY 5127 88XX XXXX 8113 VIRTUEEL KAARTNUMMER CONTACTLOZE BETALING: 5354 00XX XXXX 8030 KAARTHOUDER: BOMBAERT BRAM"/>
    <s v="Uitgave"/>
    <n v="-4.59"/>
    <x v="1"/>
    <s v="OK"/>
  </r>
  <r>
    <d v="2025-07-30T00:00:00"/>
    <x v="6"/>
    <n v="-8.1"/>
    <x v="22"/>
    <s v="BETALING VIA DEBIT MASTERCARD        01-08 30-07-2025 OM 16.00 UUR EURO SHOP KORTRIJK BE8800 ROESELARE MET APPLE PAY 5127 88XX XXXX 8113 VIRTUEEL KAARTNUMMER CONTACTLOZE BETALING: 5354 00XX XXXX 8030 KAARTHOUDER: BOMBAERT BRAM"/>
    <s v="Uitgave"/>
    <n v="-8.1"/>
    <x v="1"/>
    <s v="OK"/>
  </r>
  <r>
    <d v="2025-07-30T00:00:00"/>
    <x v="6"/>
    <n v="-5.62"/>
    <x v="2"/>
    <s v="BETALING VIA DEBIT MASTERCARD        01-08 30-07-2025 OM 14.47 UUR LIDL 803 KORTRIJK 2 BE8500 KORTRIJK MET APPLE PAY 5127 88XX XXXX 8113 VIRTUEEL KAARTNUMMER CONTACTLOZE BETALING: 5354 00XX XXXX 8030 KAARTHOUDER: BOMBAERT BRAM"/>
    <s v="Uitgave"/>
    <n v="-5.62"/>
    <x v="2"/>
    <s v="OK"/>
  </r>
  <r>
    <d v="2025-07-31T00:00:00"/>
    <x v="6"/>
    <n v="-1.99"/>
    <x v="2"/>
    <s v="BETALING VIA MAESTRO                 31-07 30-07-2025 OM 17.18 UUR CARREFOUR MARKE BE MARKE MET APPLE PAY 6703 42XX XXXX X901 0 VIRTUEEL KAARTNUMMER CONTACTLOZE BETALING: 6790 28XX XXXX X658 7 KAARTHOUDER: ROTTY CHRISTOFF"/>
    <s v="Uitgave"/>
    <n v="-1.99"/>
    <x v="2"/>
    <s v="OK"/>
  </r>
  <r>
    <d v="2025-07-31T00:00:00"/>
    <x v="6"/>
    <n v="-3.92"/>
    <x v="4"/>
    <s v="BETALING VIA MAESTRO                 31-07 30-07-2025 OM 05.48 UUR OVO CHARGE ANYWHERE GB BRISTOL MET APPLE PAY 6703 42XX XXXX X901 0 VIRTUEEL KAARTNUMMER CONTACTLOZE BETALING: 6790 28XX XXXX X658 7 KAARTHOUDER: ROTTY CHRISTOFF"/>
    <s v="Uitgave"/>
    <n v="-3.92"/>
    <x v="2"/>
    <s v="OK"/>
  </r>
  <r>
    <d v="2025-07-31T00:00:00"/>
    <x v="6"/>
    <n v="-50.6"/>
    <x v="3"/>
    <s v="EUROPESE DOMICILIERING               31-07 SCHULDEISER     : KBC VERZEKERINGEN REF. SCHULDEISER: 392129685878 MANDAATREFERTE  : L00194638787V0001 EIGEN OMSCHR.   : HOSPITALISATIEVERZEKERING MEDEDELING      : POL.54467509 31/07/2025-31/08/2025 HOSPITALISATIEVERZEKERING"/>
    <s v="Uitgave"/>
    <n v="-50.6"/>
    <x v="2"/>
    <s v="OK"/>
  </r>
  <r>
    <d v="2025-07-31T00:00:00"/>
    <x v="6"/>
    <n v="-24"/>
    <x v="63"/>
    <s v="BETALING VIA BANCONTACT              31-07 31-07-2025 OM 10.30 UUR LIEN P2P MOBILE MET KBC-DEBETKAART 5127 88XX XXXX 8113 KAARTHOUDER: BOMBAERT BRAM"/>
    <s v="Uitgave"/>
    <n v="-24"/>
    <x v="1"/>
    <s v="OK"/>
  </r>
  <r>
    <d v="2025-07-31T00:00:00"/>
    <x v="6"/>
    <n v="53.1"/>
    <x v="17"/>
    <s v="OVERSCHRIJVING VAN                   31-07 BE64 3751 1173 1652 BANKIER OPDRACHTGEVER: BBRUBEBB VVM DE LIJN ALGEMENE REK ATTENTIE ZIEK/OVERL 50 EURO"/>
    <s v="Inkomst"/>
    <n v="53.1"/>
    <x v="1"/>
    <s v="OK"/>
  </r>
  <r>
    <d v="2025-07-31T00:00:00"/>
    <x v="6"/>
    <n v="164.5"/>
    <x v="16"/>
    <s v="OVERSCHRIJVING VAN                   31-07 BE10 1325 4851 1904 BANKIER OPDRACHTGEVER: BNAGBEBBXXX SOLIDARIS W.-VLAANDEREN /C/ (1619945)   ZORG VAN 30/07/25 TACK E 93032216582 REFERENTIE: 109"/>
    <s v="Inkomst"/>
    <n v="164.5"/>
    <x v="2"/>
    <s v="OK"/>
  </r>
  <r>
    <d v="2025-07-31T00:00:00"/>
    <x v="6"/>
    <n v="-1.5"/>
    <x v="11"/>
    <s v="BETALING VIA MAESTRO                 31-07 30-07-2025 OM 14.09 UUR VALINSOPAY NL NL WIJK EN AALBU MET APPLE PAY 6703 42XX XXXX X901 0 VIRTUEEL KAARTNUMMER CONTACTLOZE BETALING: 6790 28XX XXXX X658 7 KAARTHOUDER: ROTTY CHRISTOFF"/>
    <s v="Uitgave"/>
    <n v="-1.5"/>
    <x v="1"/>
    <s v="OK"/>
  </r>
  <r>
    <d v="2025-07-31T00:00:00"/>
    <x v="6"/>
    <n v="-7.04"/>
    <x v="7"/>
    <s v="BETALING VIA BANCONTACT              31-07 31-07-2025 OM 13.50 UUR KWARTO  N.V. BE9000 GENT MET KBC-DEBETKAART 5127 88XX XXXX 8113 KAARTHOUDER: BOMBAERT BRAM"/>
    <s v="Uitgave"/>
    <n v="-7.04"/>
    <x v="1"/>
    <s v="OK"/>
  </r>
  <r>
    <d v="2025-07-31T00:00:00"/>
    <x v="6"/>
    <n v="-23.92"/>
    <x v="2"/>
    <s v="BETALING VIA DEBIT MASTERCARD        01-08 31-07-2025 OM 14.36 UUR LIDL 803 KORTRIJK 2 BE8500 KORTRIJK MET APPLE PAY 5127 88XX XXXX 8113 VIRTUEEL KAARTNUMMER CONTACTLOZE BETALING: 5354 00XX XXXX 7841 KAARTHOUDER: BOMBAERT BRAM"/>
    <s v="Uitgave"/>
    <n v="-23.92"/>
    <x v="2"/>
    <s v="OK"/>
  </r>
  <r>
    <d v="2025-07-31T00:00:00"/>
    <x v="6"/>
    <n v="-5.49"/>
    <x v="2"/>
    <s v="BETALING VIA DEBIT MASTERCARD        01-08 31-07-2025 OM 14.47 UUR CARREFOUR MARKE BE8510 MARKE MET APPLE PAY 5127 88XX XXXX 8113 VIRTUEEL KAARTNUMMER CONTACTLOZE BETALING: 5354 00XX XXXX 8030 KAARTHOUDER: BOMBAERT BRAM"/>
    <s v="Uitgave"/>
    <n v="-5.49"/>
    <x v="2"/>
    <s v="OK"/>
  </r>
  <r>
    <d v="2025-07-31T00:00:00"/>
    <x v="6"/>
    <n v="-1.5"/>
    <x v="40"/>
    <s v="BIJDRAGE 01-07-2025 - 31-07-2025     31-07 KBC-PLUSREKENING"/>
    <s v="Uitgave"/>
    <n v="-1.5"/>
    <x v="2"/>
    <s v="OK"/>
  </r>
  <r>
    <d v="2025-07-31T00:00:00"/>
    <x v="6"/>
    <n v="-23.92"/>
    <x v="2"/>
    <s v="BETALING VIA DEBIT MASTERCARD        01-08 31-07-2025 OM 14.36 UUR LIDL 803 KORTRIJK 2 BE8500 KORTRIJK MET APPLE PAY 5127 88XX XXXX 8113 VIRTUEEL KAARTNUMMER CONTACTLOZE BETALING: 5354 00XX XXXX 7841 KAARTHOUDER: BOMBAERT BRAM"/>
    <s v="Uitgave"/>
    <n v="-23.92"/>
    <x v="2"/>
    <s v="OK"/>
  </r>
  <r>
    <d v="2025-07-31T00:00:00"/>
    <x v="6"/>
    <n v="-5.49"/>
    <x v="2"/>
    <s v="BETALING VIA DEBIT MASTERCARD        01-08 31-07-2025 OM 14.47 UUR CARREFOUR MARKE BE8510 MARKE MET APPLE PAY 5127 88XX XXXX 8113 VIRTUEEL KAARTNUMMER CONTACTLOZE BETALING: 5354 00XX XXXX 8030 KAARTHOUDER: BOMBAERT BRAM"/>
    <s v="Uitgave"/>
    <n v="-5.49"/>
    <x v="2"/>
    <s v="OK"/>
  </r>
  <r>
    <d v="2025-08-01T00:00:00"/>
    <x v="7"/>
    <n v="-19.399999999999999"/>
    <x v="26"/>
    <s v="BETALING VIA DEBIT MASTERCARD        04-08 01-08-2025 OM 12.07 UUR BRICO PLAN-IT 4210 BE8500 KORTRIJK MET APPLE PAY 5127 88XX XXXX 8113 VIRTUEEL KAARTNUMMER CONTACTLOZE BETALING: 5354 00XX XXXX 8030 KAARTHOUDER: BOMBAERT BRAM"/>
    <s v="Uitgave"/>
    <n v="-19.399999999999999"/>
    <x v="1"/>
    <s v="OK"/>
  </r>
  <r>
    <d v="2025-08-01T00:00:00"/>
    <x v="7"/>
    <n v="-5.32"/>
    <x v="2"/>
    <s v="BETALING VIA DEBIT MASTERCARD        04-08 01-08-2025 OM 17.38 UUR CARREFOUR MARKE BE8510 MARKE MET APPLE PAY 5127 88XX XXXX 8113 VIRTUEEL KAARTNUMMER CONTACTLOZE BETALING: 5354 00XX XXXX 7841 KAARTHOUDER: BOMBAERT BRAM"/>
    <s v="Uitgave"/>
    <n v="-5.32"/>
    <x v="2"/>
    <s v="OK"/>
  </r>
  <r>
    <d v="2025-08-01T00:00:00"/>
    <x v="7"/>
    <n v="-13.99"/>
    <x v="29"/>
    <s v="BETALING VIA DEBIT MASTERCARD        04-08 01-08-2025 OM 16.46 UUR COOLBLUE N.V. BE2600 BERCHEM MET APPLE PAY 5127 88XX XXXX 8113 VIRTUEEL KAARTNUMMER CONTACTLOZE BETALING: 5354 00XX XXXX 7841 KAARTHOUDER: BOMBAERT BRAM"/>
    <s v="Uitgave"/>
    <n v="-13.99"/>
    <x v="1"/>
    <s v="OK"/>
  </r>
  <r>
    <d v="2025-08-01T00:00:00"/>
    <x v="7"/>
    <n v="-5"/>
    <x v="30"/>
    <s v="BETALING VIA BANCONTACT              04-08 01-08-2025 OM 21.37 UUR ORANGE BRUXELLES BE1140 BRUSSEL MET KBC-DEBETKAART 6703 42XX XXXX X901 0 KAARTHOUDER: ROTTY CHRISTOFF"/>
    <s v="Uitgave"/>
    <n v="-5"/>
    <x v="2"/>
    <s v="OK"/>
  </r>
  <r>
    <d v="2025-08-01T00:00:00"/>
    <x v="7"/>
    <n v="-0.9"/>
    <x v="11"/>
    <s v="BETALING VIA MAESTRO                 01-08 31-07-2025 OM 14.48 UUR VALINSOPAY NL NL WIJK EN AALBU MET APPLE PAY 6703 42XX XXXX X901 0 VIRTUEEL KAARTNUMMER CONTACTLOZE BETALING: 6790 28XX XXXX X005 7 KAARTHOUDER: ROTTY CHRISTOFF"/>
    <s v="Uitgave"/>
    <n v="-0.9"/>
    <x v="1"/>
    <s v="OK"/>
  </r>
  <r>
    <d v="2025-08-01T00:00:00"/>
    <x v="7"/>
    <n v="-25"/>
    <x v="13"/>
    <s v="BETALING VIA BANCONTACT              01-08 01-08-2025 OM 08.49 UUR VERLINDE LAUREN BE8510 MARKE MET KBC-DEBETKAART 5127 88XX XXXX 8113 KAARTHOUDER: BOMBAERT BRAM"/>
    <s v="Uitgave"/>
    <n v="-25"/>
    <x v="2"/>
    <s v="OK"/>
  </r>
  <r>
    <d v="2025-08-01T00:00:00"/>
    <x v="7"/>
    <n v="-45.25"/>
    <x v="3"/>
    <s v="EUROPESE DOMICILIERING               01-08 SCHULDEISER     : DKV BELGIUM REF. SCHULDEISER: 2025200345523551X000000000000001 MANDAATREFERTE  : 345523551/002 MEDEDELING      : 0825-0925 PREMIE"/>
    <s v="Uitgave"/>
    <n v="-45.25"/>
    <x v="2"/>
    <s v="OK"/>
  </r>
  <r>
    <d v="2025-08-01T00:00:00"/>
    <x v="7"/>
    <n v="-74"/>
    <x v="6"/>
    <s v="EUROPESE DOMICILIERING               01-08 SCHULDEISER     : LUMINUS SA REF. SCHULDEISER: 002992755583 MANDAATREFERTE  : 0087006660811 MEDEDELING      : LUMINUS VOORSCHOT 3434131195"/>
    <s v="Uitgave"/>
    <n v="-74"/>
    <x v="2"/>
    <s v="OK"/>
  </r>
  <r>
    <d v="2025-09-01T00:00:00"/>
    <x v="8"/>
    <n v="-138.66"/>
    <x v="14"/>
    <s v="AUTOMATISCHE BETALING                01-08 FLEX BUDGET 420-6319589-46"/>
    <s v="Uitgave"/>
    <n v="-138.66"/>
    <x v="1"/>
    <s v="OK"/>
  </r>
  <r>
    <d v="2025-08-01T00:00:00"/>
    <x v="7"/>
    <n v="20"/>
    <x v="0"/>
    <m/>
    <s v="Inkomst"/>
    <n v="20"/>
    <x v="0"/>
    <s v="OK"/>
  </r>
  <r>
    <d v="2025-08-01T00:00:00"/>
    <x v="7"/>
    <n v="1851.77"/>
    <x v="0"/>
    <m/>
    <s v="Inkomst"/>
    <n v="1851.77"/>
    <x v="0"/>
    <s v="OK"/>
  </r>
  <r>
    <d v="2025-08-01T00:00:00"/>
    <x v="7"/>
    <n v="2654.51"/>
    <x v="0"/>
    <m/>
    <s v="Inkomst"/>
    <n v="2654.51"/>
    <x v="0"/>
    <s v="OK"/>
  </r>
  <r>
    <d v="2025-08-02T00:00:00"/>
    <x v="7"/>
    <n v="-6.05"/>
    <x v="2"/>
    <s v="BETALING VIA DEBIT MASTERCARD        04-08 02-08-2025 OM 16.25 UUR CARREFOUR MARKE BE8510 MARKE MET APPLE PAY 5127 88XX XXXX 8113 VIRTUEEL KAARTNUMMER CONTACTLOZE BETALING: 5354 00XX XXXX 8030 KAARTHOUDER: BOMBAERT BRAM"/>
    <s v="Uitgave"/>
    <n v="-6.05"/>
    <x v="2"/>
    <s v="OK"/>
  </r>
  <r>
    <d v="2025-08-02T00:00:00"/>
    <x v="7"/>
    <n v="-1.19"/>
    <x v="2"/>
    <s v="BETALING VIA DEBIT MASTERCARD        04-08 02-08-2025 OM 11.54 UUR CARREFOUR MARKE BE8510 MARKE MET APPLE PAY 5127 88XX XXXX 8113 VIRTUEEL KAARTNUMMER CONTACTLOZE BETALING: 5354 00XX XXXX 8030 KAARTHOUDER: BOMBAERT BRAM"/>
    <s v="Uitgave"/>
    <n v="-1.19"/>
    <x v="2"/>
    <s v="OK"/>
  </r>
  <r>
    <d v="2025-08-02T00:00:00"/>
    <x v="7"/>
    <n v="-4.59"/>
    <x v="42"/>
    <s v="BETALING VIA DEBIT MASTERCARD        04-08 02-08-2025 OM 15.50 UUR HEMA EV409 KORTRIJK BE8520 KORTRIJK MET APPLE PAY 5127 88XX XXXX 8113 VIRTUEEL KAARTNUMMER CONTACTLOZE BETALING: 5354 00XX XXXX 8030 KAARTHOUDER: BOMBAERT BRAM"/>
    <s v="Uitgave"/>
    <n v="-4.59"/>
    <x v="1"/>
    <s v="OK"/>
  </r>
  <r>
    <d v="2025-08-02T00:00:00"/>
    <x v="7"/>
    <n v="-58.92"/>
    <x v="2"/>
    <s v="BETALING VIA DEBIT MASTERCARD        04-08 02-08-2025 OM 11.41 UUR LIDL 803 KORTRIJK 2 BE8500 KORTRIJK MET APPLE PAY 5127 88XX XXXX 8113 VIRTUEEL KAARTNUMMER CONTACTLOZE BETALING: 5354 00XX XXXX 8030 KAARTHOUDER: BOMBAERT BRAM"/>
    <s v="Uitgave"/>
    <n v="-58.92"/>
    <x v="2"/>
    <s v="OK"/>
  </r>
  <r>
    <d v="2025-08-02T00:00:00"/>
    <x v="7"/>
    <n v="-12.53"/>
    <x v="16"/>
    <s v="BETALING VIA DEBIT MASTERCARD        04-08 02-08-2025 OM 15.34 UUR MEDI-MARKET KORTRIJK BE8500 KORTRIJK MET APPLE PAY 5127 88XX XXXX 8113 VIRTUEEL KAARTNUMMER CONTACTLOZE BETALING: 5354 00XX XXXX 8030 KAARTHOUDER: BOMBAERT BRAM"/>
    <s v="Uitgave"/>
    <n v="-12.53"/>
    <x v="2"/>
    <s v="OK"/>
  </r>
  <r>
    <d v="2025-08-02T00:00:00"/>
    <x v="7"/>
    <n v="-14.7"/>
    <x v="8"/>
    <s v="BETALING VIA DEBIT MASTERCARD        04-08 02-08-2025 OM 20.16 UUR KINEPOLIS KORTRIJK BE8500 KORTRIJK MET APPLE PAY 5127 88XX XXXX 8113 VIRTUEEL KAARTNUMMER CONTACTLOZE BETALING: 5354 00XX XXXX 8030 KAARTHOUDER: BOMBAERT BRAM"/>
    <s v="Uitgave"/>
    <n v="-14.7"/>
    <x v="1"/>
    <s v="OK"/>
  </r>
  <r>
    <d v="2025-08-02T00:00:00"/>
    <x v="7"/>
    <n v="-2"/>
    <x v="8"/>
    <s v="BETALING VIA BANCONTACT              04-08 02-08-2025 OM 18.55 UUR KINEPOLIS MULTI BE8500 KORTRIJK MET KBC-DEBETKAART 5127 88XX XXXX 8113 KAARTHOUDER: BOMBAERT BRAM"/>
    <s v="Uitgave"/>
    <n v="-2"/>
    <x v="1"/>
    <s v="OK"/>
  </r>
  <r>
    <d v="2025-08-02T00:00:00"/>
    <x v="7"/>
    <n v="-23.4"/>
    <x v="8"/>
    <s v="BETALING VIA BANCONTACT              04-08 02-08-2025 OM 17.50 UUR CORPORATE BENEFITS BEN BE3500 HASSELT MET KBC-DEBETKAART 5127 88XX XXXX 8113 KAARTHOUDER: BOMBAERT BRAM INFO VAN DE HANDELAAR: 73KIP46 E-BENELUX-25-833718"/>
    <s v="Uitgave"/>
    <n v="-23.4"/>
    <x v="1"/>
    <s v="OK"/>
  </r>
  <r>
    <d v="2025-08-03T00:00:00"/>
    <x v="7"/>
    <n v="-13.95"/>
    <x v="2"/>
    <s v="BETALING VIA DEBIT MASTERCARD        04-08 03-08-2025 OM 11.01 UUR CARREFOUR MARKE BE8510 MARKE MET KBC-DEBETKAART 5127 88XX XXXX 8113 KAARTHOUDER: BOMBAERT BRAM"/>
    <s v="Uitgave"/>
    <n v="-13.95"/>
    <x v="2"/>
    <s v="OK"/>
  </r>
  <r>
    <d v="2025-08-04T00:00:00"/>
    <x v="7"/>
    <n v="-19.05"/>
    <x v="10"/>
    <s v="BETALING VIA DEBIT MASTERCARD        05-08 04-08-2025 OM 13.22 UUR VOGEL &amp; VIJVERCENTRUM BE8531 HULSTE MET APPLE PAY 5127 88XX XXXX 8113 VIRTUEEL KAARTNUMMER CONTACTLOZE BETALING: 5354 00XX XXXX 8030 KAARTHOUDER: BOMBAERT BRAM"/>
    <s v="Uitgave"/>
    <n v="-19.05"/>
    <x v="1"/>
    <s v="OK"/>
  </r>
  <r>
    <d v="2025-08-04T00:00:00"/>
    <x v="7"/>
    <n v="-10"/>
    <x v="10"/>
    <s v="BETALING VIA DEBIT MASTERCARD        05-08 04-08-2025 OM 14.14 UUR TOM&amp;CO KORTRIJK BE8500 KORTRIJK MET APPLE PAY 5127 88XX XXXX 8113 VIRTUEEL KAARTNUMMER CONTACTLOZE BETALING: 5354 00XX XXXX 7841 KAARTHOUDER: BOMBAERT BRAM"/>
    <s v="Uitgave"/>
    <n v="-10"/>
    <x v="1"/>
    <s v="OK"/>
  </r>
  <r>
    <d v="2025-08-04T00:00:00"/>
    <x v="7"/>
    <n v="-3.67"/>
    <x v="2"/>
    <s v="BETALING VIA DEBIT MASTERCARD        05-08 04-08-2025 OM 10.12 UUR LIDL 803 KORTRIJK 2 BE8500 KORTRIJK MET APPLE PAY 5127 88XX XXXX 8113 VIRTUEEL KAARTNUMMER CONTACTLOZE BETALING: 5354 00XX XXXX 8030 KAARTHOUDER: BOMBAERT BRAM"/>
    <s v="Uitgave"/>
    <n v="-3.67"/>
    <x v="2"/>
    <s v="OK"/>
  </r>
  <r>
    <d v="2025-08-04T00:00:00"/>
    <x v="7"/>
    <n v="-11.39"/>
    <x v="2"/>
    <s v="BETALING VIA DEBIT MASTERCARD        05-08 04-08-2025 OM 10.25 UUR CARREFOUR MARKE BE8510 MARKE MET APPLE PAY 5127 88XX XXXX 8113 VIRTUEEL KAARTNUMMER CONTACTLOZE BETALING: 5354 00XX XXXX 8030 KAARTHOUDER: BOMBAERT BRAM"/>
    <s v="Uitgave"/>
    <n v="-11.39"/>
    <x v="2"/>
    <s v="OK"/>
  </r>
  <r>
    <d v="2025-08-04T00:00:00"/>
    <x v="7"/>
    <n v="-182.8"/>
    <x v="10"/>
    <s v="BETALING VIA DEBIT MASTERCARD        05-08 04-08-2025 OM 14.04 UUR CCV*DIERENARTSENPRAKTI BE8500 KORTRIJK MET APPLE PAY 5127 88XX XXXX 8113 VIRTUEEL KAARTNUMMER CONTACTLOZE BETALING: 5354 00XX XXXX 8030 KAARTHOUDER: BOMBAERT BRAM"/>
    <s v="Uitgave"/>
    <n v="-182.8"/>
    <x v="1"/>
    <s v="OK"/>
  </r>
  <r>
    <d v="2025-08-04T00:00:00"/>
    <x v="7"/>
    <n v="-172.5"/>
    <x v="16"/>
    <s v="OVERSCHRIJVING NAAR                  04-08 BE23 9731 1727 8791 BANKIER BEGUNSTIGDE: ARSPBE22 NATACHA LEMAN KINE BOMBAERT B MET KBC MOBILE"/>
    <s v="Uitgave"/>
    <n v="-172.5"/>
    <x v="2"/>
    <s v="OK"/>
  </r>
  <r>
    <d v="2025-08-04T00:00:00"/>
    <x v="7"/>
    <n v="92.1"/>
    <x v="16"/>
    <s v="OVERSCHRIJVING VAN                   04-08 BE42 8782 7051 0154 BANKIER OPDRACHTGEVER: BNAGBEBBXXX SOLIDARIS W.-VLAANDEREN /C/ 40278250801/RAADPL OP 210525/LEMAN NATACHA    /25 0731821895008 REFERENTIE: 48"/>
    <s v="Inkomst"/>
    <n v="92.1"/>
    <x v="2"/>
    <s v="OK"/>
  </r>
  <r>
    <d v="2025-08-04T00:00:00"/>
    <x v="7"/>
    <n v="-22.95"/>
    <x v="12"/>
    <s v="BETALING VIA BANCONTACT              04-08 04-08-2025 OM 16.33 UUR BOL.COM NL3528 BJ UTRECHT MET KBC-DEBETKAART 5127 88XX XXXX 8113 KAARTHOUDER: BOMBAERT BRAM"/>
    <s v="Uitgave"/>
    <n v="-22.95"/>
    <x v="1"/>
    <s v="OK"/>
  </r>
  <r>
    <d v="2025-08-04T00:00:00"/>
    <x v="7"/>
    <n v="-197.86"/>
    <x v="12"/>
    <s v="BETALING VIA BANCONTACT              04-08 04-08-2025 OM 14.22 UUR ZALANDO PAYMENTS GMBH DE10243 BERLIN MET KBC-DEBETKAART 6703 42XX XXXX X901 0 KAARTHOUDER: ROTTY CHRISTOFF"/>
    <s v="Uitgave"/>
    <n v="-197.86"/>
    <x v="1"/>
    <s v="OK"/>
  </r>
  <r>
    <d v="2025-08-04T00:00:00"/>
    <x v="7"/>
    <n v="-19.8"/>
    <x v="9"/>
    <s v="BETALING VIA MAESTRO                 04-08 03-08-2025 OM 16.48 UUR CCV*GRYMONPREZ STEVE BE DADIZELE MET APPLE PAY 6703 42XX XXXX X901 0 VIRTUEEL KAARTNUMMER CONTACTLOZE BETALING: 6790 28XX XXXX X658 7 KAARTHOUDER: ROTTY CHRISTOFF"/>
    <s v="Uitgave"/>
    <n v="-19.8"/>
    <x v="1"/>
    <s v="OK"/>
  </r>
  <r>
    <d v="2025-08-04T00:00:00"/>
    <x v="7"/>
    <n v="-0.6"/>
    <x v="17"/>
    <s v="BETALING VIA MAESTRO                 04-08 02-08-2025 OM 15.39 UUR MATHOT MICHELINE BE OPWIJK MET APPLE PAY 6703 42XX XXXX X901 0 VIRTUEEL KAARTNUMMER CONTACTLOZE BETALING: 6790 28XX XXXX X658 7 KAARTHOUDER: ROTTY CHRISTOFF"/>
    <s v="Uitgave"/>
    <n v="-0.6"/>
    <x v="1"/>
    <s v="OK"/>
  </r>
  <r>
    <d v="2025-08-04T00:00:00"/>
    <x v="7"/>
    <n v="-1.1000000000000001"/>
    <x v="11"/>
    <s v="BETALING VIA MAESTRO                 04-08 01-08-2025 OM 09.07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08-04T00:00:00"/>
    <x v="7"/>
    <n v="-1.5"/>
    <x v="11"/>
    <s v="BETALING VIA MAESTRO                 04-08 01-08-2025 OM 16.29 UUR VALINSOPAY NL NL WIJK EN AALBU MET APPLE PAY 6703 42XX XXXX X901 0 VIRTUEEL KAARTNUMMER CONTACTLOZE BETALING: 6790 28XX XXXX X005 7 KAARTHOUDER: ROTTY CHRISTOFF"/>
    <s v="Uitgave"/>
    <n v="-1.5"/>
    <x v="1"/>
    <s v="OK"/>
  </r>
  <r>
    <d v="2025-08-04T00:00:00"/>
    <x v="7"/>
    <n v="-1.5"/>
    <x v="11"/>
    <s v="BETALING VIA MAESTRO                 04-08 01-08-2025 OM 14.04 UUR VALINSOPAY NL NL WIJK EN AALBU MET APPLE PAY 6703 42XX XXXX X901 0 VIRTUEEL KAARTNUMMER CONTACTLOZE BETALING: 6790 28XX XXXX X658 7 KAARTHOUDER: ROTTY CHRISTOFF"/>
    <s v="Uitgave"/>
    <n v="-1.5"/>
    <x v="1"/>
    <s v="OK"/>
  </r>
  <r>
    <d v="2025-08-04T00:00:00"/>
    <x v="7"/>
    <n v="-20.71"/>
    <x v="20"/>
    <s v="EUROPESE DOMICILIERING               04-08 SCHULDEISER     : ACV-CSC REF. SCHULDEISER: 0825 BIJDRAGEN 082025-082025 MANDAATREFERTE  : N00814013 MEDEDELING      : SCOR                   BBA                   081760860769"/>
    <s v="Uitgave"/>
    <n v="-20.71"/>
    <x v="2"/>
    <s v="OK"/>
  </r>
  <r>
    <d v="2025-08-04T00:00:00"/>
    <x v="7"/>
    <n v="-12"/>
    <x v="62"/>
    <s v="EUROPESE DOMICILIERING               04-08 SCHULDEISER     : MEDIAHUIS NV - NB REF. SCHULDEISER: J9841209 MANDAATREFERTE  : 101000942759 MEDEDELING      : ABONR. 5862848 : 04/08/25 - 03/09/2 5"/>
    <s v="Uitgave"/>
    <n v="-12"/>
    <x v="1"/>
    <s v="OK"/>
  </r>
  <r>
    <d v="2025-08-05T00:00:00"/>
    <x v="7"/>
    <n v="-240.78"/>
    <x v="16"/>
    <s v="BETALING VIA DEBIT MASTERCARD        06-08 05-08-2025 OM 15.49 UUR APOTHEEK ARIE FREDERIK BE8510 MARKE MET APPLE PAY 5127 88XX XXXX 8113 VIRTUEEL KAARTNUMMER CONTACTLOZE BETALING: 5354 00XX XXXX 8030 KAARTHOUDER: BOMBAERT BRAM"/>
    <s v="Uitgave"/>
    <n v="-240.78"/>
    <x v="2"/>
    <s v="OK"/>
  </r>
  <r>
    <d v="2025-08-05T00:00:00"/>
    <x v="7"/>
    <n v="-34.99"/>
    <x v="17"/>
    <s v="BETALING VIA BANCONTACT              05-08 05-08-2025 OM 11.09 UUR BOL.COM NL3528 BJ UTRECHT MET KBC-DEBETKAART 5127 88XX XXXX 8113 KAARTHOUDER: BOMBAERT BRAM"/>
    <s v="Uitgave"/>
    <n v="-34.99"/>
    <x v="1"/>
    <s v="OK"/>
  </r>
  <r>
    <d v="2025-08-05T00:00:00"/>
    <x v="7"/>
    <n v="-18.07"/>
    <x v="4"/>
    <s v="EUROPESE DOMICILIERING               05-08 SCHULDEISER     : CHARGEMAP SAS REF. SCHULDEISER: STR16NASNCISP0S7Y1SZQRANTPBHZAEDCH MANDAATREFERTE  : YGAYU1XCULZ4UQUA MEDEDELING      : CHARGEMAP"/>
    <s v="Uitgave"/>
    <n v="-18.07"/>
    <x v="2"/>
    <s v="OK"/>
  </r>
  <r>
    <d v="2025-08-05T00:00:00"/>
    <x v="7"/>
    <n v="-27.5"/>
    <x v="14"/>
    <s v="INSTANTOVERSCHRIJVING NAAR           05-08 BE95 7360 7034 3858 BANKIER BEGUNSTIGDE: KREDBEBBXXX SOLUTIONS FOR YOU OM 07.18 UUR MET KBC MOBILE"/>
    <s v="Uitgave"/>
    <n v="-27.5"/>
    <x v="1"/>
    <s v="OK"/>
  </r>
  <r>
    <d v="2025-08-06T00:00:00"/>
    <x v="7"/>
    <n v="-7.38"/>
    <x v="2"/>
    <s v="BETALING VIA DEBIT MASTERCARD        08-08 06-08-2025 OM 18.26 UUR CARREFOUR MARKE BE8510 MARKE MET APPLE PAY 5127 88XX XXXX 8113 VIRTUEEL KAARTNUMMER CONTACTLOZE BETALING: 5354 00XX XXXX 8030 KAARTHOUDER: BOMBAERT BRAM"/>
    <s v="Uitgave"/>
    <n v="-7.38"/>
    <x v="2"/>
    <s v="OK"/>
  </r>
  <r>
    <d v="2025-08-06T00:00:00"/>
    <x v="7"/>
    <n v="-41.6"/>
    <x v="16"/>
    <s v="BETALING VIA DEBIT MASTERCARD        07-08 06-08-2025 OM 16.19 UUR MEDI-MARKET KORTRIJK BE8500 KORTRIJK MET APPLE PAY 5127 88XX XXXX 8113 VIRTUEEL KAARTNUMMER CONTACTLOZE BETALING: 5354 00XX XXXX 8030 KAARTHOUDER: BOMBAERT BRAM"/>
    <s v="Uitgave"/>
    <n v="-41.6"/>
    <x v="2"/>
    <s v="OK"/>
  </r>
  <r>
    <d v="2025-08-06T00:00:00"/>
    <x v="7"/>
    <n v="-1.95"/>
    <x v="2"/>
    <s v="BETALING VIA DEBIT MASTERCARD        07-08 06-08-2025 OM 18.00 UUR LIDL 803 KORTRIJK 2 BE8500 KORTRIJK MET APPLE PAY 5127 88XX XXXX 8113 VIRTUEEL KAARTNUMMER CONTACTLOZE BETALING: 5354 00XX XXXX 8030 KAARTHOUDER: BOMBAERT BRAM"/>
    <s v="Uitgave"/>
    <n v="-1.95"/>
    <x v="2"/>
    <s v="OK"/>
  </r>
  <r>
    <d v="2025-08-06T00:00:00"/>
    <x v="7"/>
    <n v="-24.95"/>
    <x v="12"/>
    <s v="BETALING VIA BANCONTACT              06-08 06-08-2025 OM 15.12 UUR BOL.COM NL3528 BJ UTRECHT MET KBC-DEBETKAART 5127 88XX XXXX 8113 KAARTHOUDER: BOMBAERT BRAM"/>
    <s v="Uitgave"/>
    <n v="-24.95"/>
    <x v="1"/>
    <s v="OK"/>
  </r>
  <r>
    <d v="2025-08-06T00:00:00"/>
    <x v="7"/>
    <n v="-39.119999999999997"/>
    <x v="16"/>
    <s v="EUROPESE DOMICILIERING               06-08 SCHULDEISER     : SOLIDARIS WEST-VLAANDEREN REF. SCHULDEISER: 507549947583 MANDAATREFERTE  : SDD30984112213972202203030070 MEDEDELING      : 507549947583 - DENTAPLAN TOT 301120 25/5591566"/>
    <s v="Uitgave"/>
    <n v="-39.119999999999997"/>
    <x v="2"/>
    <s v="OK"/>
  </r>
  <r>
    <d v="2025-08-06T00:00:00"/>
    <x v="7"/>
    <n v="-125.81"/>
    <x v="55"/>
    <s v="TERUGBETALING                        06-08 LENING OP AFBETALING VOLGENS AFLOSSINGSPLAN REFERENTIE 420-6466664-69"/>
    <s v="Uitgave"/>
    <n v="-125.81"/>
    <x v="2"/>
    <s v="OK"/>
  </r>
  <r>
    <d v="2025-08-07T00:00:00"/>
    <x v="7"/>
    <n v="-82"/>
    <x v="1"/>
    <s v="INSTANTOVERSCHRIJVING NAAR           07-08 BE19 4468 6772 0112 BANKIER BEGUNSTIGDE: KREDBEBBXXX MONIQUE VAN ESCH OM 20.31 UUR MET KBC MOBILE"/>
    <s v="Uitgave"/>
    <n v="-82"/>
    <x v="1"/>
    <s v="OK"/>
  </r>
  <r>
    <d v="2025-08-07T00:00:00"/>
    <x v="7"/>
    <n v="-6.5"/>
    <x v="8"/>
    <s v="BETALING VIA BANCONTACT              07-08 07-08-2025 OM 15.30 UUR PLANTENTUIN MEISE BE1860 MEISE MET KBC-DEBETKAART 6703 42XX XXXX X901 0 KAARTHOUDER: ROTTY CHRISTOFF INFO VAN DE HANDELAAR: 8110590 BY MULTISAFEPAY"/>
    <s v="Uitgave"/>
    <n v="-6.5"/>
    <x v="1"/>
    <s v="OK"/>
  </r>
  <r>
    <d v="2025-08-07T00:00:00"/>
    <x v="7"/>
    <n v="27"/>
    <x v="8"/>
    <s v="INSTANTOVERSCHRIJVING VAN            07-08 BE19 4468 6772 0112 BANKIER OPDRACHTGEVER: KREDBEBBXXX BOMBAERT-VAN ESCH J &amp; M OM 13.54 UUR"/>
    <s v="Inkomst"/>
    <n v="27"/>
    <x v="1"/>
    <s v="OK"/>
  </r>
  <r>
    <d v="2025-08-07T00:00:00"/>
    <x v="7"/>
    <n v="-42"/>
    <x v="8"/>
    <s v="BETALING VIA BANCONTACT              07-08 07-08-2025 OM 13.34 UUR AGENTSCHAP PLANTENTUIN BE1860 MEISE MET KBC-DEBETKAART 5127 88XX XXXX 8113 KAARTHOUDER: BOMBAERT BRAM"/>
    <s v="Uitgave"/>
    <n v="-42"/>
    <x v="1"/>
    <s v="OK"/>
  </r>
  <r>
    <d v="2025-08-07T00:00:00"/>
    <x v="7"/>
    <n v="-22.95"/>
    <x v="12"/>
    <s v="BETALING VIA BANCONTACT              07-08 07-08-2025 OM 11.15 UUR BOL.COM NL3528 BJ UTRECHT MET KBC-DEBETKAART 5127 88XX XXXX 8113 KAARTHOUDER: BOMBAERT BRAM"/>
    <s v="Uitgave"/>
    <n v="-22.95"/>
    <x v="1"/>
    <s v="OK"/>
  </r>
  <r>
    <d v="2025-08-07T00:00:00"/>
    <x v="7"/>
    <n v="-5.87"/>
    <x v="4"/>
    <s v="BETALING VIA MAESTRO                 07-08 06-08-2025 OM 07.43 UUR OVO CHARGE ANYWHERE GB BRISTOL MET APPLE PAY 6703 42XX XXXX X901 0 VIRTUEEL KAARTNUMMER CONTACTLOZE BETALING: 6790 28XX XXXX X658 7 KAARTHOUDER: ROTTY CHRISTOFF"/>
    <s v="Uitgave"/>
    <n v="-5.87"/>
    <x v="2"/>
    <s v="OK"/>
  </r>
  <r>
    <d v="2025-08-07T00:00:00"/>
    <x v="7"/>
    <n v="-5"/>
    <x v="4"/>
    <s v="BETALING VIA MAESTRO                 07-08 06-08-2025 OM 07.43 UUR OVO CHARGE ANYWHERE GB BRISTOL MET APPLE PAY 6703 42XX XXXX X901 0 VIRTUEEL KAARTNUMMER CONTACTLOZE BETALING: 6790 28XX XXXX X658 7 KAARTHOUDER: ROTTY CHRISTOFF"/>
    <s v="Uitgave"/>
    <n v="-5"/>
    <x v="2"/>
    <s v="OK"/>
  </r>
  <r>
    <d v="2025-08-07T00:00:00"/>
    <x v="7"/>
    <n v="-11.94"/>
    <x v="53"/>
    <s v="BETALING VIA MAESTRO                 07-08 06-08-2025 OM 16.12 UUR ACTION 2002 BE KUURNE MET APPLE PAY 6703 42XX XXXX X901 0 VIRTUEEL KAARTNUMMER CONTACTLOZE BETALING: 6790 28XX XXXX X005 7 KAARTHOUDER: ROTTY CHRISTOFF"/>
    <s v="Uitgave"/>
    <n v="-11.94"/>
    <x v="1"/>
    <s v="OK"/>
  </r>
  <r>
    <d v="2025-08-07T00:00:00"/>
    <x v="7"/>
    <n v="-810.65"/>
    <x v="19"/>
    <s v="EUROPESE DOMICILIERING               07-08 SCHULDEISER     : ONESTO KREDIETMAATSCHAPPIJ REF. SCHULDEISER: CASHFLOW-60000247 MANDAATREFERTE  : BE96SDA077001313774 MEDEDELING      : DOSSIER 077001313774 - 01082025"/>
    <s v="Uitgave"/>
    <n v="-810.65"/>
    <x v="2"/>
    <s v="OK"/>
  </r>
  <r>
    <d v="2025-08-08T00:00:00"/>
    <x v="7"/>
    <n v="-24.16"/>
    <x v="2"/>
    <s v="BETALING VIA DEBIT MASTERCARD        11-08 08-08-2025 OM 19.39 UUR LIDL 861 WEVELGEM BE8560 WEVELGEM MET APPLE PAY 5127 88XX XXXX 8113 VIRTUEEL KAARTNUMMER CONTACTLOZE BETALING: 5354 00XX XXXX 8030 KAARTHOUDER: BOMBAERT BRAM"/>
    <s v="Uitgave"/>
    <n v="-24.16"/>
    <x v="2"/>
    <s v="OK"/>
  </r>
  <r>
    <d v="2025-08-08T00:00:00"/>
    <x v="7"/>
    <n v="-11"/>
    <x v="64"/>
    <s v="BETALING VIA DEBIT MASTERCARD        11-08 08-08-2025 OM 18.05 UUR GEMEENTE WEVELGEM BE8560 WEVELGEM MET APPLE PAY 5127 88XX XXXX 8113 VIRTUEEL KAARTNUMMER CONTACTLOZE BETALING: 5354 00XX XXXX 8030 KAARTHOUDER: BOMBAERT BRAM"/>
    <s v="Uitgave"/>
    <n v="-11"/>
    <x v="1"/>
    <s v="OK"/>
  </r>
  <r>
    <d v="2025-08-08T00:00:00"/>
    <x v="7"/>
    <n v="-23.1"/>
    <x v="9"/>
    <s v="OVERSCHRIJVING NAAR                  08-08 BE79 3632 2576 6833 BANKIER BEGUNSTIGDE: CARAMELLO PAYCONIQ 56BB47716FC8B352920F107B CARAMELLO MET PAYCONIQ IN KBC MOBILE"/>
    <s v="Uitgave"/>
    <n v="-23.1"/>
    <x v="1"/>
    <s v="OK"/>
  </r>
  <r>
    <d v="2025-08-08T00:00:00"/>
    <x v="7"/>
    <n v="-38.5"/>
    <x v="8"/>
    <s v="BETALING VIA MAESTRO                 08-08 07-08-2025 OM 14.35 UUR CCV*AGENTSCHAP PLANTEN BE MEISE MET APPLE PAY 6703 42XX XXXX X901 0 VIRTUEEL KAARTNUMMER CONTACTLOZE BETALING: 6790 28XX XXXX X658 7 KAARTHOUDER: ROTTY CHRISTOFF"/>
    <s v="Uitgave"/>
    <n v="-38.5"/>
    <x v="1"/>
    <s v="OK"/>
  </r>
  <r>
    <d v="2025-08-08T00:00:00"/>
    <x v="7"/>
    <n v="-2.25"/>
    <x v="4"/>
    <s v="BETALING VIA MAESTRO                 08-08 07-08-2025 OM 06.01 UUR OVO CHARGE ANYWH GB BRISTOL MET KBC-DEBETKAART 6703 42XX XXXX X901 0 KAARTHOUDER: ROTTY CHRISTOFF"/>
    <s v="Uitgave"/>
    <n v="-2.25"/>
    <x v="2"/>
    <s v="OK"/>
  </r>
  <r>
    <d v="2025-08-08T00:00:00"/>
    <x v="7"/>
    <n v="-12.01"/>
    <x v="21"/>
    <s v="EUROPESE DOMICILIERING               08-08 SCHULDEISER     : EUROMEX NV REF. SCHULDEISER: BALN-BE-EMX-P-D4JQXAQEUT4JCQ MANDAATREFERTE  : 30507E MEDEDELING      : SCOR                   BBA                   250882071104"/>
    <s v="Uitgave"/>
    <n v="-12.01"/>
    <x v="2"/>
    <s v="OK"/>
  </r>
  <r>
    <d v="2025-08-09T00:00:00"/>
    <x v="7"/>
    <n v="-12.97"/>
    <x v="12"/>
    <s v="BETALING VIA DEBIT MASTERCARD        11-08 09-08-2025 OM 15.27 UUR S019 ZEB WAREGEM BE8793 SINT-ELOOIS-V MET APPLE PAY 5127 88XX XXXX 8113 VIRTUEEL KAARTNUMMER CONTACTLOZE BETALING: 5354 00XX XXXX 8030 KAARTHOUDER: BOMBAERT BRAM"/>
    <s v="Uitgave"/>
    <n v="-12.97"/>
    <x v="1"/>
    <s v="OK"/>
  </r>
  <r>
    <d v="2025-08-09T00:00:00"/>
    <x v="7"/>
    <n v="-14.95"/>
    <x v="2"/>
    <s v="BETALING VIA DEBIT MASTERCARD        11-08 09-08-2025 OM 13.52 UUR SPAR KORTRIJK BE8500 KORTRIJK MET APPLE PAY 5127 88XX XXXX 8113 VIRTUEEL KAARTNUMMER CONTACTLOZE BETALING: 5354 00XX XXXX 8030 KAARTHOUDER: BOMBAERT BRAM"/>
    <s v="Uitgave"/>
    <n v="-14.95"/>
    <x v="2"/>
    <s v="OK"/>
  </r>
  <r>
    <d v="2025-08-09T00:00:00"/>
    <x v="7"/>
    <n v="-1.99"/>
    <x v="2"/>
    <s v="BETALING VIA DEBIT MASTERCARD        11-08 09-08-2025 OM 12.09 UUR LIDL 803 KORTRIJK 2 BE8500 KORTRIJK MET APPLE PAY 5127 88XX XXXX 8113 VIRTUEEL KAARTNUMMER CONTACTLOZE BETALING: 5354 00XX XXXX 8030 KAARTHOUDER: BOMBAERT BRAM"/>
    <s v="Uitgave"/>
    <n v="-1.99"/>
    <x v="2"/>
    <s v="OK"/>
  </r>
  <r>
    <d v="2025-08-09T00:00:00"/>
    <x v="7"/>
    <n v="-2.34"/>
    <x v="42"/>
    <s v="BETALING VIA DEBIT MASTERCARD        11-08 09-08-2025 OM 16.03 UUR HEMA EV2168 WETTEREN BEB-9230 WETTEREN MET APPLE PAY 5127 88XX XXXX 8113 VIRTUEEL KAARTNUMMER CONTACTLOZE BETALING: 5354 00XX XXXX 8030 KAARTHOUDER: BOMBAERT BRAM"/>
    <s v="Uitgave"/>
    <n v="-2.34"/>
    <x v="1"/>
    <s v="OK"/>
  </r>
  <r>
    <d v="2025-08-10T00:00:00"/>
    <x v="7"/>
    <n v="-200"/>
    <x v="64"/>
    <s v="BETALING VIA DEBIT MASTERCARD        11-08 10-08-2025 OM 14.03 UUR GEMEENTE WEVELGEM BE8560 WEVELGEM MET APPLE PAY 5127 88XX XXXX 8113 VIRTUEEL KAARTNUMMER CONTACTLOZE BETALING: 5354 00XX XXXX 8030 KAARTHOUDER: BOMBAERT BRAM"/>
    <s v="Uitgave"/>
    <n v="-200"/>
    <x v="1"/>
    <s v="OK"/>
  </r>
  <r>
    <d v="2025-08-10T00:00:00"/>
    <x v="7"/>
    <n v="-5.5"/>
    <x v="9"/>
    <s v="BETALING VIA BANCONTACT              11-08 10-08-2025 OM 16.16 UUR HOEVE DE KERPEL BE8501 BISSEGEM MET KBC-DEBETKAART 6703 42XX XXXX X901 0 KAARTHOUDER: ROTTY CHRISTOFF"/>
    <s v="Uitgave"/>
    <n v="-5.5"/>
    <x v="1"/>
    <s v="OK"/>
  </r>
  <r>
    <d v="2025-08-10T00:00:00"/>
    <x v="7"/>
    <n v="-6"/>
    <x v="9"/>
    <s v="BETALING VIA BANCONTACT              11-08 10-08-2025 OM 15.52 UUR HOEVE DE KERPEL BE8501 BISSEGEM MET KBC-DEBETKAART 6703 42XX XXXX X901 0 KAARTHOUDER: ROTTY CHRISTOFF"/>
    <s v="Uitgave"/>
    <n v="-6"/>
    <x v="1"/>
    <s v="OK"/>
  </r>
  <r>
    <d v="2025-08-10T00:00:00"/>
    <x v="7"/>
    <n v="-56"/>
    <x v="64"/>
    <s v="BETALING VIA BANCONTACT              11-08 10-08-2025 OM 10.34 UUR EYESWIM NL4931 DH GEERTRUIDENBE MET KBC-DEBETKAART 5127 88XX XXXX 8113 KAARTHOUDER: BOMBAERT BRAM INFO VAN DE HANDELAAR: 73OPV0A ORDER 12321"/>
    <s v="Uitgave"/>
    <n v="-56"/>
    <x v="1"/>
    <s v="OK"/>
  </r>
  <r>
    <d v="2025-08-10T00:00:00"/>
    <x v="7"/>
    <n v="-2"/>
    <x v="50"/>
    <s v="BETALING VIA BANCONTACT              11-08 10-08-2025 OM 11.31 UUR DECATHLON BELGIUM BE1140 EVERE MET KBC-DEBETKAART 5127 88XX XXXX 8113 KAARTHOUDER: BOMBAERT BRAM"/>
    <s v="Uitgave"/>
    <n v="-2"/>
    <x v="1"/>
    <s v="OK"/>
  </r>
  <r>
    <d v="2025-08-11T00:00:00"/>
    <x v="7"/>
    <n v="-6.68"/>
    <x v="2"/>
    <s v="BETALING VIA DEBIT MASTERCARD        13-08 11-08-2025 OM 12.17 UUR LIDL 803 KORTRIJK 2 BE8500 KORTRIJK MET APPLE PAY 5127 88XX XXXX 8113 VIRTUEEL KAARTNUMMER CONTACTLOZE BETALING: 5354 00XX XXXX 7841 KAARTHOUDER: BOMBAERT BRAM"/>
    <s v="Uitgave"/>
    <n v="-6.68"/>
    <x v="2"/>
    <s v="OK"/>
  </r>
  <r>
    <d v="2025-08-11T00:00:00"/>
    <x v="7"/>
    <n v="-26.5"/>
    <x v="44"/>
    <s v="BETALING VIA BANCONTACT              11-08 11-08-2025 OM 14.31 UUR DESCAPLANT BE8500 KORTRIJK MET KBC-DEBETKAART 5127 88XX XXXX 8113 KAARTHOUDER: BOMBAERT BRAM"/>
    <s v="Uitgave"/>
    <n v="-26.5"/>
    <x v="1"/>
    <s v="OK"/>
  </r>
  <r>
    <d v="2025-08-11T00:00:00"/>
    <x v="7"/>
    <n v="-4.42"/>
    <x v="4"/>
    <s v="BETALING VIA MAESTRO                 11-08 09-08-2025 OM 04.50 UUR OVO CHARGE ANYWHERE GB BRISTOL MET APPLE PAY 6703 42XX XXXX X901 0 VIRTUEEL KAARTNUMMER CONTACTLOZE BETALING: 6790 28XX XXXX X658 7 KAARTHOUDER: ROTTY CHRISTOFF"/>
    <s v="Uitgave"/>
    <n v="-4.42"/>
    <x v="2"/>
    <s v="OK"/>
  </r>
  <r>
    <d v="2025-08-11T00:00:00"/>
    <x v="7"/>
    <n v="-5"/>
    <x v="4"/>
    <s v="BETALING VIA MAESTRO                 11-08 09-08-2025 OM 04.50 UUR OVO CHARGE ANYWHERE GB BRISTOL MET APPLE PAY 6703 42XX XXXX X901 0 VIRTUEEL KAARTNUMMER CONTACTLOZE BETALING: 6790 28XX XXXX X658 7 KAARTHOUDER: ROTTY CHRISTOFF"/>
    <s v="Uitgave"/>
    <n v="-5"/>
    <x v="2"/>
    <s v="OK"/>
  </r>
  <r>
    <d v="2025-08-11T00:00:00"/>
    <x v="7"/>
    <n v="-38.159999999999997"/>
    <x v="4"/>
    <s v="EUROPESE DOMICILIERING               11-08 SCHULDEISER     : DATS 24  NV REF. SCHULDEISER: 030604907577 REF: 2476545 MANDAATREFERTE  : DAKL-000000538161-5-1 MEDEDELING      : 2476545 DATS24 00737137"/>
    <s v="Uitgave"/>
    <n v="-38.159999999999997"/>
    <x v="2"/>
    <s v="OK"/>
  </r>
  <r>
    <d v="2025-08-12T00:00:00"/>
    <x v="7"/>
    <n v="98.93"/>
    <x v="12"/>
    <s v="OVERSCHRIJVING VAN                   12-08 NL92 ADYB 2017 4009 98 BANKIER OPDRACHTGEVER: ADYBNL2AXXX ZALANDO PAYMENTS GMBH TX122615090XT REFUND FOR ZALANDO PAYMENTS GMBH REF:DE 18B3C7-DAAD-3265-9E65-A3EE1A7BAE53 REFERENTIE: TX122615090XT"/>
    <s v="Inkomst"/>
    <n v="98.93"/>
    <x v="1"/>
    <s v="OK"/>
  </r>
  <r>
    <d v="2025-08-12T00:00:00"/>
    <x v="7"/>
    <n v="32.950000000000003"/>
    <x v="12"/>
    <s v="OVERSCHRIJVING VAN                   12-08 NL92 ADYB 2017 4009 98 BANKIER OPDRACHTGEVER: ADYBNL2AXXX ZALANDO PAYMENTS GMBH TX122590490XT REFUND FOR ZALANDO PAYMENTS GMBH REF:DE 18B3C7-DAAD-3265-9E65-A3EE1A7BAE53 REFERENTIE: TX122590490XT"/>
    <s v="Inkomst"/>
    <n v="32.950000000000003"/>
    <x v="1"/>
    <s v="OK"/>
  </r>
  <r>
    <d v="2025-08-12T00:00:00"/>
    <x v="7"/>
    <n v="-1.5"/>
    <x v="11"/>
    <s v="BETALING VIA MAESTRO                 12-08 11-08-2025 OM 13.51 UUR VALINSOPAY NL NL WIJK EN AALBU MET APPLE PAY 6703 42XX XXXX X901 0 VIRTUEEL KAARTNUMMER CONTACTLOZE BETALING: 6790 28XX XXXX X658 7 KAARTHOUDER: ROTTY CHRISTOFF"/>
    <s v="Uitgave"/>
    <n v="-1.5"/>
    <x v="1"/>
    <s v="OK"/>
  </r>
  <r>
    <d v="2025-08-12T00:00:00"/>
    <x v="7"/>
    <n v="-1.5"/>
    <x v="11"/>
    <s v="BETALING VIA MAESTRO                 12-08 11-08-2025 OM 16.19 UUR VALINSOPAY NL NL WIJK EN AALBU MET APPLE PAY 6703 42XX XXXX X901 0 VIRTUEEL KAARTNUMMER CONTACTLOZE BETALING: 6790 28XX XXXX X658 7 KAARTHOUDER: ROTTY CHRISTOFF"/>
    <s v="Uitgave"/>
    <n v="-1.5"/>
    <x v="1"/>
    <s v="OK"/>
  </r>
  <r>
    <d v="2025-08-12T00:00:00"/>
    <x v="7"/>
    <n v="-1.5"/>
    <x v="11"/>
    <s v="BETALING VIA MAESTRO                 12-08 11-08-2025 OM 12.32 UUR VALINSOPAY NL NL WIJK EN AALBU MET APPLE PAY 6703 42XX XXXX X901 0 VIRTUEEL KAARTNUMMER CONTACTLOZE BETALING: 6790 28XX XXXX X658 7 KAARTHOUDER: ROTTY CHRISTOFF"/>
    <s v="Uitgave"/>
    <n v="-1.5"/>
    <x v="1"/>
    <s v="OK"/>
  </r>
  <r>
    <d v="2025-08-12T00:00:00"/>
    <x v="7"/>
    <n v="-6"/>
    <x v="4"/>
    <s v="BETALING VIA MAESTRO                 12-08 11-08-2025 OM 11.21 UUR OVO CHARGE ANYWHERE GB BRISTOL MET APPLE PAY 6703 42XX XXXX X901 0 VIRTUEEL KAARTNUMMER CONTACTLOZE BETALING: 6790 28XX XXXX X658 7 KAARTHOUDER: ROTTY CHRISTOFF"/>
    <s v="Uitgave"/>
    <n v="-6"/>
    <x v="2"/>
    <s v="OK"/>
  </r>
  <r>
    <d v="2025-08-12T00:00:00"/>
    <x v="7"/>
    <n v="-2.12"/>
    <x v="4"/>
    <s v="BETALING VIA MAESTRO                 12-08 11-08-2025 OM 04.20 UUR OVO CHARGE ANYWHERE GB BRISTOL MET APPLE PAY 6703 42XX XXXX X901 0 VIRTUEEL KAARTNUMMER CONTACTLOZE BETALING: 6790 28XX XXXX X658 7 KAARTHOUDER: ROTTY CHRISTOFF"/>
    <s v="Uitgave"/>
    <n v="-2.12"/>
    <x v="2"/>
    <s v="OK"/>
  </r>
  <r>
    <d v="2025-08-12T00:00:00"/>
    <x v="7"/>
    <n v="-5"/>
    <x v="4"/>
    <s v="BETALING VIA MAESTRO                 12-08 11-08-2025 OM 04.20 UUR OVO CHARGE ANYWHERE GB BRISTOL MET APPLE PAY 6703 42XX XXXX X901 0 VIRTUEEL KAARTNUMMER CONTACTLOZE BETALING: 6790 28XX XXXX X658 7 KAARTHOUDER: ROTTY CHRISTOFF"/>
    <s v="Uitgave"/>
    <n v="-5"/>
    <x v="2"/>
    <s v="OK"/>
  </r>
  <r>
    <d v="2025-08-13T00:00:00"/>
    <x v="7"/>
    <n v="-30"/>
    <x v="7"/>
    <s v="BETALING VIA BANCONTACT              14-08 13-08-2025 OM 20.09 UUR FRANK P2P MOBILE MET KBC-DEBETKAART 5127 88XX XXXX 8113 KAARTHOUDER: BOMBAERT BRAM"/>
    <s v="Uitgave"/>
    <n v="-30"/>
    <x v="1"/>
    <s v="OK"/>
  </r>
  <r>
    <d v="2025-08-13T00:00:00"/>
    <x v="7"/>
    <n v="-1.5"/>
    <x v="11"/>
    <s v="BETALING VIA MAESTRO                 13-08 12-08-2025 OM 10.52 UUR VALINSOPAY NL NL WIJK EN AALBU MET APPLE PAY 6703 42XX XXXX X901 0 VIRTUEEL KAARTNUMMER CONTACTLOZE BETALING: 6790 28XX XXXX X658 7 KAARTHOUDER: ROTTY CHRISTOFF"/>
    <s v="Uitgave"/>
    <n v="-1.5"/>
    <x v="1"/>
    <s v="OK"/>
  </r>
  <r>
    <d v="2025-08-13T00:00:00"/>
    <x v="7"/>
    <n v="-5.8"/>
    <x v="2"/>
    <s v="OVERSCHRIJVING NAAR                  13-08 BE86 9733 9742 0350 BANKIER BEGUNSTIGDE: DOMINIQUE DE CLERCQ PAYCONIQ 2C3E301B11C6D50EF19342AD DOMINIQUE DE CLERCQ  CHRISTOFF ROTTY MET PAYCONIQ IN KBC MOBILE"/>
    <s v="Uitgave"/>
    <n v="-5.8"/>
    <x v="2"/>
    <s v="OK"/>
  </r>
  <r>
    <d v="2025-08-13T00:00:00"/>
    <x v="7"/>
    <n v="-4.68"/>
    <x v="2"/>
    <s v="BETALING VIA MAESTRO                 13-08 11-08-2025 OM 15.45 UUR COLRUYT LEDEBERG BE GENT MET APPLE PAY 6703 42XX XXXX X901 0 VIRTUEEL KAARTNUMMER CONTACTLOZE BETALING: 6790 28XX XXXX X658 7 KAARTHOUDER: ROTTY CHRISTOFF"/>
    <s v="Uitgave"/>
    <n v="-4.68"/>
    <x v="2"/>
    <s v="OK"/>
  </r>
  <r>
    <d v="2025-08-14T00:00:00"/>
    <x v="7"/>
    <n v="-26.15"/>
    <x v="7"/>
    <s v="BETALING VIA DEBIT MASTERCARD        18-08 14-08-2025 OM 11.39 UUR TINY'S HOBBY BE8500 KORTRIJK MET APPLE PAY 5127 88XX XXXX 8113 VIRTUEEL KAARTNUMMER CONTACTLOZE BETALING: 5354 00XX XXXX 8030 KAARTHOUDER: BOMBAERT BRAM"/>
    <s v="Uitgave"/>
    <n v="-26.15"/>
    <x v="1"/>
    <s v="OK"/>
  </r>
  <r>
    <d v="2025-08-14T00:00:00"/>
    <x v="7"/>
    <n v="-9"/>
    <x v="26"/>
    <s v="BETALING VIA DEBIT MASTERCARD        18-08 14-08-2025 OM 12.03 UUR BRICO PLAN-IT 4210 BE8500 KORTRIJK MET APPLE PAY 5127 88XX XXXX 8113 VIRTUEEL KAARTNUMMER CONTACTLOZE BETALING: 5354 00XX XXXX 8030 KAARTHOUDER: BOMBAERT BRAM"/>
    <s v="Uitgave"/>
    <n v="-9"/>
    <x v="1"/>
    <s v="OK"/>
  </r>
  <r>
    <d v="2025-08-14T00:00:00"/>
    <x v="7"/>
    <n v="-1.55"/>
    <x v="2"/>
    <s v="BETALING VIA DEBIT MASTERCARD        18-08 14-08-2025 OM 12.14 UUR LIDL 803 KORTRIJK 2 BE8500 KORTRIJK MET APPLE PAY 5127 88XX XXXX 8113 VIRTUEEL KAARTNUMMER CONTACTLOZE BETALING: 5354 00XX XXXX 8030 KAARTHOUDER: BOMBAERT BRAM"/>
    <s v="Uitgave"/>
    <n v="-1.55"/>
    <x v="2"/>
    <s v="OK"/>
  </r>
  <r>
    <d v="2025-08-14T00:00:00"/>
    <x v="7"/>
    <n v="-1.5"/>
    <x v="11"/>
    <s v="BETALING VIA MAESTRO                 14-08 13-08-2025 OM 14.52 UUR VALINSOPAY NL NL WIJK EN AALBU MET APPLE PAY 6703 42XX XXXX X901 0 VIRTUEEL KAARTNUMMER CONTACTLOZE BETALING: 6790 28XX XXXX X658 7 KAARTHOUDER: ROTTY CHRISTOFF"/>
    <s v="Uitgave"/>
    <n v="-1.5"/>
    <x v="1"/>
    <s v="OK"/>
  </r>
  <r>
    <d v="2025-08-14T00:00:00"/>
    <x v="7"/>
    <n v="-5.24"/>
    <x v="2"/>
    <s v="BETALING VIA DEBIT MASTERCARD        18-08 14-08-2025 OM 14.51 UUR CARREFOUR MARKE BE8510 MARKE MET APPLE PAY 5127 88XX XXXX 8113 VIRTUEEL KAARTNUMMER CONTACTLOZE BETALING: 5354 00XX XXXX 8030 KAARTHOUDER: BOMBAERT BRAM"/>
    <s v="Uitgave"/>
    <n v="-5.24"/>
    <x v="2"/>
    <s v="OK"/>
  </r>
  <r>
    <d v="2025-08-15T00:00:00"/>
    <x v="7"/>
    <n v="-10.63"/>
    <x v="2"/>
    <s v="BETALING VIA DEBIT MASTERCARD        18-08 15-08-2025 OM 12.20 UUR CARREFOUR MARKE BE8510 MARKE MET APPLE PAY 5127 88XX XXXX 8113 VIRTUEEL KAARTNUMMER CONTACTLOZE BETALING: 5354 00XX XXXX 8030 KAARTHOUDER: BOMBAERT BRAM"/>
    <s v="Uitgave"/>
    <n v="-10.63"/>
    <x v="2"/>
    <s v="OK"/>
  </r>
  <r>
    <d v="2025-08-15T00:00:00"/>
    <x v="7"/>
    <n v="35.99"/>
    <x v="12"/>
    <s v="OVERSCHRIJVING VAN                   15-08 NL92 ADYB 2017 4009 98 BANKIER OPDRACHTGEVER: ADYBNL2AXXX ZALANDO PAYMENTS GMBH TX123975190XT REFUND FOR ZALANDO PAYMENTS GMBH REF:DE 18B3C7-DAAD-3265-9E65-A3EE1A7BAE53 REFERENTIE: TX123975190XT"/>
    <s v="Inkomst"/>
    <n v="35.99"/>
    <x v="1"/>
    <s v="OK"/>
  </r>
  <r>
    <d v="2025-08-16T00:00:00"/>
    <x v="7"/>
    <n v="-16.28"/>
    <x v="2"/>
    <s v="BETALING VIA DEBIT MASTERCARD        18-08 16-08-2025 OM 18.26 UUR CARREFOUR MARKE BE8510 MARKE MET APPLE PAY 5127 88XX XXXX 8113 VIRTUEEL KAARTNUMMER CONTACTLOZE BETALING: 5354 00XX XXXX 8030 KAARTHOUDER: BOMBAERT BRAM"/>
    <s v="Uitgave"/>
    <n v="-16.28"/>
    <x v="2"/>
    <s v="OK"/>
  </r>
  <r>
    <d v="2025-08-16T00:00:00"/>
    <x v="7"/>
    <n v="-19.260000000000002"/>
    <x v="2"/>
    <s v="BETALING VIA DEBIT MASTERCARD        18-08 16-08-2025 OM 13.08 UUR LIDL 861 WEVELGEM BE8560 WEVELGEM MET APPLE PAY 5127 88XX XXXX 8113 VIRTUEEL KAARTNUMMER CONTACTLOZE BETALING: 5354 00XX XXXX 8030 KAARTHOUDER: BOMBAERT BRAM"/>
    <s v="Uitgave"/>
    <n v="-19.260000000000002"/>
    <x v="2"/>
    <s v="OK"/>
  </r>
  <r>
    <d v="2025-08-17T00:00:00"/>
    <x v="7"/>
    <n v="-6.44"/>
    <x v="2"/>
    <s v="BETALING VIA DEBIT MASTERCARD        18-08 17-08-2025 OM 11.51 UUR CARREFOUR MARKE BE8510 MARKE MET APPLE PAY 5127 88XX XXXX 8113 VIRTUEEL KAARTNUMMER CONTACTLOZE BETALING: 5354 00XX XXXX 8030 KAARTHOUDER: BOMBAERT BRAM"/>
    <s v="Uitgave"/>
    <n v="-6.44"/>
    <x v="2"/>
    <s v="OK"/>
  </r>
  <r>
    <d v="2025-08-17T00:00:00"/>
    <x v="7"/>
    <n v="-8.4600000000000009"/>
    <x v="14"/>
    <s v="BETALING VIA BANCONTACT              18-08 17-08-2025 OM 17.58 UUR MIJN.HOST NL1066JR AMSTERDAM MET KBC-DEBETKAART 6703 42XX XXXX X901 0 KAARTHOUDER: ROTTY CHRISTOFF INFO VAN DE HANDELAAR: 73SJ9CV MIJN.HOST FACTUURNR. 2"/>
    <s v="Uitgave"/>
    <n v="-8.4600000000000009"/>
    <x v="1"/>
    <s v="OK"/>
  </r>
  <r>
    <d v="2025-08-17T00:00:00"/>
    <x v="7"/>
    <n v="-16"/>
    <x v="9"/>
    <s v="BETALING VIA BANCONTACT              18-08 17-08-2025 OM 16.39 UUR LAGO_KORTRIJK_WEIDE BE8500 KORTRIJK MET KBC-DEBETKAART 5127 88XX XXXX 8113 KAARTHOUDER: BOMBAERT BRAM"/>
    <s v="Uitgave"/>
    <n v="-16"/>
    <x v="1"/>
    <s v="OK"/>
  </r>
  <r>
    <d v="2025-08-18T00:00:00"/>
    <x v="7"/>
    <n v="-9.99"/>
    <x v="29"/>
    <s v="BETALING VIA DEBIT MASTERCARD        19-08 18-08-2025 OM 07.51 UUR COOLBLUE N.V. BE2600 BERCHEM MET APPLE PAY 5127 88XX XXXX 8113 VIRTUEEL KAARTNUMMER CONTACTLOZE BETALING: 5354 00XX XXXX 7841 KAARTHOUDER: BOMBAERT BRAM"/>
    <s v="Uitgave"/>
    <n v="-9.99"/>
    <x v="1"/>
    <s v="OK"/>
  </r>
  <r>
    <d v="2025-08-18T00:00:00"/>
    <x v="7"/>
    <n v="-38"/>
    <x v="12"/>
    <s v="INSTANTOVERSCHRIJVING NAAR           18-08 BE87 7390 1755 6694 BANKIER BEGUNSTIGDE: KREDBEBBXXX SIEN TORFS WERO BOMBAERT BRAM OM 17.54 MET WERO"/>
    <s v="Uitgave"/>
    <n v="-38"/>
    <x v="1"/>
    <s v="OK"/>
  </r>
  <r>
    <d v="2025-08-18T00:00:00"/>
    <x v="7"/>
    <n v="-35.9"/>
    <x v="9"/>
    <s v="BETALING VIA MAESTRO                 18-08 16-08-2025 OM 12.44 UUR SPORTBAR WEVELGEM BE WEVELGEM MET APPLE PAY 6703 42XX XXXX X901 0 VIRTUEEL KAARTNUMMER CONTACTLOZE BETALING: 6790 28XX XXXX X658 7 KAARTHOUDER: ROTTY CHRISTOFF"/>
    <s v="Uitgave"/>
    <n v="-35.9"/>
    <x v="1"/>
    <s v="OK"/>
  </r>
  <r>
    <d v="2025-08-18T00:00:00"/>
    <x v="7"/>
    <n v="-44"/>
    <x v="12"/>
    <s v="BETALING VIA MAESTRO                 18-08 16-08-2025 OM 10.56 UUR SPORT LAUWERS BE LAUWE MET APPLE PAY 6703 42XX XXXX X901 0 VIRTUEEL KAARTNUMMER CONTACTLOZE BETALING: 6790 28XX XXXX X658 7 KAARTHOUDER: ROTTY CHRISTOFF"/>
    <s v="Uitgave"/>
    <n v="-44"/>
    <x v="1"/>
    <s v="OK"/>
  </r>
  <r>
    <d v="2025-08-18T00:00:00"/>
    <x v="7"/>
    <n v="-2.7"/>
    <x v="4"/>
    <s v="BETALING VIA MAESTRO                 18-08 16-08-2025 OM 05.48 UUR OVO CHARGE ANYWH GB BRISTOL MET KBC-DEBETKAART 6703 42XX XXXX X901 0 KAARTHOUDER: ROTTY CHRISTOFF"/>
    <s v="Uitgave"/>
    <n v="-2.7"/>
    <x v="2"/>
    <s v="OK"/>
  </r>
  <r>
    <d v="2025-08-18T00:00:00"/>
    <x v="7"/>
    <n v="-1.5"/>
    <x v="11"/>
    <s v="BETALING VIA MAESTRO                 18-08 14-08-2025 OM 14.38 UUR VALINSOPAY NL NL WIJK EN AALBU MET APPLE PAY 6703 42XX XXXX X901 0 VIRTUEEL KAARTNUMMER CONTACTLOZE BETALING: 6790 28XX XXXX X658 7 KAARTHOUDER: ROTTY CHRISTOFF"/>
    <s v="Uitgave"/>
    <n v="-1.5"/>
    <x v="1"/>
    <s v="OK"/>
  </r>
  <r>
    <d v="2025-08-18T00:00:00"/>
    <x v="7"/>
    <n v="-5"/>
    <x v="30"/>
    <s v="EUROPESE DOMICILIERING               18-08 SCHULDEISER     : DIGI COMMUNICATIONS BELGIUM NV REF. SCHULDEISER: 000009716467-749802 MANDAATREFERTE  : 1D574ED99E164823 MEDEDELING      : DIGI FACTUUR - AUGUSTUS 2025"/>
    <s v="Uitgave"/>
    <n v="-5"/>
    <x v="2"/>
    <s v="OK"/>
  </r>
  <r>
    <d v="2025-08-18T00:00:00"/>
    <x v="7"/>
    <n v="-81.66"/>
    <x v="27"/>
    <s v="EUROPESE DOMICILIERING               18-08 SCHULDEISER     : BALOISE BELGIUM NV REF. SCHULDEISER: 0000000000000024401547140 MANDAATREFERTE  : 202025682289 MEDEDELING      : POL.1A02635 VERV.10/08/25 9837"/>
    <s v="Uitgave"/>
    <n v="-81.66"/>
    <x v="2"/>
    <s v="OK"/>
  </r>
  <r>
    <d v="2025-08-18T00:00:00"/>
    <x v="7"/>
    <n v="-33.549999999999997"/>
    <x v="31"/>
    <s v="EUROPESE DOMICILIERING               18-08 SCHULDEISER     : CARDIF -ASSURANCE VIE REF. SCHULDEISER: RF61250545525888238918404 MANDAATREFERTE  : CARDIF-8742994/01 MEDEDELING      : SCOR                   ISO                   RF61250545525888238918404"/>
    <s v="Uitgave"/>
    <n v="-33.549999999999997"/>
    <x v="2"/>
    <s v="OK"/>
  </r>
  <r>
    <d v="2025-08-18T00:00:00"/>
    <x v="7"/>
    <n v="-90"/>
    <x v="27"/>
    <s v="EUROPESE DOMICILIERING               18-08 SCHULDEISER     : BALOISE BELGIUM NV REF. SCHULDEISER: 0000000000000024404809168 MANDAATREFERTE  : 202025687747 MEDEDELING      : POL.1B57806 VERV.10/08/25 9837"/>
    <s v="Uitgave"/>
    <n v="-90"/>
    <x v="2"/>
    <s v="OK"/>
  </r>
  <r>
    <d v="2025-08-19T00:00:00"/>
    <x v="7"/>
    <n v="-7.96"/>
    <x v="2"/>
    <s v="BETALING VIA DEBIT MASTERCARD        20-08 19-08-2025 OM 15.07 UUR SPAR KORTRIJK BE8500 KORTRIJK MET APPLE PAY 5127 88XX XXXX 8113 VIRTUEEL KAARTNUMMER CONTACTLOZE BETALING: 5354 00XX XXXX 7841 KAARTHOUDER: BOMBAERT BRAM"/>
    <s v="Uitgave"/>
    <n v="-7.96"/>
    <x v="2"/>
    <s v="OK"/>
  </r>
  <r>
    <d v="2025-08-19T00:00:00"/>
    <x v="7"/>
    <n v="-24.3"/>
    <x v="2"/>
    <s v="BETALING VIA DEBIT MASTERCARD        20-08 19-08-2025 OM 15.24 UUR LIDL 803 KORTRIJK 2 BE8500 KORTRIJK MET APPLE PAY 5127 88XX XXXX 8113 VIRTUEEL KAARTNUMMER CONTACTLOZE BETALING: 5354 00XX XXXX 7841 KAARTHOUDER: BOMBAERT BRAM"/>
    <s v="Uitgave"/>
    <n v="-24.3"/>
    <x v="2"/>
    <s v="OK"/>
  </r>
  <r>
    <d v="2025-08-19T00:00:00"/>
    <x v="7"/>
    <n v="10"/>
    <x v="16"/>
    <s v="OVERSCHRIJVING VAN                   19-08 BE42 8782 7051 0154 BANKIER OPDRACHTGEVER: BNAGBEBBXXX SOLIDARIS WVL 2025140331313 1619945 SPORT REFERENTIE: 411"/>
    <s v="Inkomst"/>
    <n v="10"/>
    <x v="2"/>
    <s v="OK"/>
  </r>
  <r>
    <d v="2025-08-19T00:00:00"/>
    <x v="7"/>
    <n v="10"/>
    <x v="16"/>
    <s v="OVERSCHRIJVING VAN                   19-08 BE42 8782 7051 0154 BANKIER OPDRACHTGEVER: BNAGBEBBXXX SOLIDARIS WVL 2025140331309 5591566 SPORT REFERENTIE: 415"/>
    <s v="Inkomst"/>
    <n v="10"/>
    <x v="2"/>
    <s v="OK"/>
  </r>
  <r>
    <d v="2025-08-19T00:00:00"/>
    <x v="7"/>
    <n v="-1.5"/>
    <x v="11"/>
    <s v="BETALING VIA MAESTRO                 19-08 18-08-2025 OM 13.39 UUR VALINSOPAY NL NL WIJK EN AALBU MET APPLE PAY 6703 42XX XXXX X901 0 VIRTUEEL KAARTNUMMER CONTACTLOZE BETALING: 6790 28XX XXXX X658 7 KAARTHOUDER: ROTTY CHRISTOFF"/>
    <s v="Uitgave"/>
    <n v="-1.5"/>
    <x v="1"/>
    <s v="OK"/>
  </r>
  <r>
    <d v="2025-08-20T00:00:00"/>
    <x v="7"/>
    <n v="-19.28"/>
    <x v="2"/>
    <s v="BETALING VIA DEBIT MASTERCARD        21-08 20-08-2025 OM 12.40 UUR CARREFOUR MARKE BE8510 MARKE MET APPLE PAY 5127 88XX XXXX 8113 VIRTUEEL KAARTNUMMER CONTACTLOZE BETALING: 5354 00XX XXXX 7841 KAARTHOUDER: BOMBAERT BRAM"/>
    <s v="Uitgave"/>
    <n v="-19.28"/>
    <x v="2"/>
    <s v="OK"/>
  </r>
  <r>
    <d v="2025-08-20T00:00:00"/>
    <x v="7"/>
    <n v="-5"/>
    <x v="51"/>
    <s v="BETALING VIA BANCONTACT              21-08 20-08-2025 OM 21.35 UUR ORANGE BRUXELLES BE1140 BRUSSEL MET KBC-DEBETKAART 6703 42XX XXXX X901 0 KAARTHOUDER: ROTTY CHRISTOFF"/>
    <s v="Uitgave"/>
    <n v="-5"/>
    <x v="2"/>
    <s v="OK"/>
  </r>
  <r>
    <d v="2025-08-20T00:00:00"/>
    <x v="7"/>
    <n v="-1.5"/>
    <x v="11"/>
    <s v="BETALING VIA MAESTRO                 20-08 19-08-2025 OM 14.32 UUR VALINSOPAY NL NL WIJK EN AALBU MET APPLE PAY 6703 42XX XXXX X901 0 VIRTUEEL KAARTNUMMER CONTACTLOZE BETALING: 6790 28XX XXXX X658 7 KAARTHOUDER: ROTTY CHRISTOFF"/>
    <s v="Uitgave"/>
    <n v="-1.5"/>
    <x v="1"/>
    <s v="OK"/>
  </r>
  <r>
    <d v="2025-08-21T00:00:00"/>
    <x v="7"/>
    <n v="-46.86"/>
    <x v="2"/>
    <s v="BETALING VIA MAESTRO                 21-08 20-08-2025 OM 16.38 UUR COLRUYT LEDEBERG BE GENT MET APPLE PAY 6703 42XX XXXX X901 0 VIRTUEEL KAARTNUMMER CONTACTLOZE BETALING: 6790 28XX XXXX X658 7 KAARTHOUDER: ROTTY CHRISTOFF"/>
    <s v="Uitgave"/>
    <n v="-46.86"/>
    <x v="2"/>
    <s v="OK"/>
  </r>
  <r>
    <d v="2025-08-21T00:00:00"/>
    <x v="7"/>
    <n v="-1.5"/>
    <x v="11"/>
    <s v="BETALING VIA MAESTRO                 21-08 20-08-2025 OM 14.12 UUR VALINSOPAY NL NL WIJK EN AALBU MET APPLE PAY 6703 42XX XXXX X901 0 VIRTUEEL KAARTNUMMER CONTACTLOZE BETALING: 6790 28XX XXXX X005 7 KAARTHOUDER: ROTTY CHRISTOFF"/>
    <s v="Uitgave"/>
    <n v="-1.5"/>
    <x v="1"/>
    <s v="OK"/>
  </r>
  <r>
    <d v="2025-08-21T00:00:00"/>
    <x v="7"/>
    <n v="-14"/>
    <x v="17"/>
    <s v="BETALING VIA BANCONTACT              21-08 21-08-2025 OM 12.16 UUR LUCIE P2P MOBILE MET KBC-DEBETKAART 6703 42XX XXXX X901 0 KAARTHOUDER: ROTTY CHRISTOFF"/>
    <s v="Uitgave"/>
    <n v="-14"/>
    <x v="1"/>
    <s v="OK"/>
  </r>
  <r>
    <d v="2025-08-21T00:00:00"/>
    <x v="7"/>
    <n v="-50"/>
    <x v="17"/>
    <s v="INSTANTOVERSCHRIJVING NAAR           21-08 BE98 8906 3431 8393 BANKIER BEGUNSTIGDE: VDSPBE91XXX DE KORF POSTPAKKET 25/8 OM 09.21 UUR MET KBC MOBILE"/>
    <s v="Uitgave"/>
    <n v="-50"/>
    <x v="1"/>
    <s v="OK"/>
  </r>
  <r>
    <d v="2025-08-22T00:00:00"/>
    <x v="7"/>
    <n v="-14"/>
    <x v="2"/>
    <s v="BETALING VIA DEBIT MASTERCARD        25-08 22-08-2025 OM 17.02 UUR LIDL 803 KORTRIJK 2 BE8500 KORTRIJK MET APPLE PAY 5127 88XX XXXX 8113 VIRTUEEL KAARTNUMMER CONTACTLOZE BETALING: 5354 00XX XXXX 8030 KAARTHOUDER: BOMBAERT BRAM"/>
    <s v="Uitgave"/>
    <n v="-14"/>
    <x v="2"/>
    <s v="OK"/>
  </r>
  <r>
    <d v="2025-08-22T00:00:00"/>
    <x v="7"/>
    <n v="-4.75"/>
    <x v="2"/>
    <s v="BETALING VIA DEBIT MASTERCARD        25-08 22-08-2025 OM 16.35 UUR CARREFOUR MARKE BE8510 MARKE MET APPLE PAY 5127 88XX XXXX 8113 VIRTUEEL KAARTNUMMER CONTACTLOZE BETALING: 5354 00XX XXXX 7841 KAARTHOUDER: BOMBAERT BRAM"/>
    <s v="Uitgave"/>
    <n v="-4.75"/>
    <x v="2"/>
    <s v="OK"/>
  </r>
  <r>
    <d v="2025-08-22T00:00:00"/>
    <x v="7"/>
    <n v="-25"/>
    <x v="7"/>
    <s v="INSTANTOVERSCHRIJVING NAAR           22-08 BE57 7360 6908 0535 BANKIER BEGUNSTIGDE: KREDBEBBXXX VVWL VVWL 2025 - BOMBAERT BRAM OM 16.15 UUR MET KBC MOBILE"/>
    <s v="Uitgave"/>
    <n v="-25"/>
    <x v="1"/>
    <s v="OK"/>
  </r>
  <r>
    <d v="2025-08-22T00:00:00"/>
    <x v="7"/>
    <n v="-53.29"/>
    <x v="33"/>
    <s v="EUROPESE DOMICILIERING               22-08 SCHULDEISER     : AXA REF. SCHULDEISER: 20250815010751833100021283 MANDAATREFERTE  : 010817143526001 MEDEDELING      : 0108171435261042025-08-222025080000 0010817143526"/>
    <s v="Uitgave"/>
    <n v="-53.29"/>
    <x v="2"/>
    <s v="OK"/>
  </r>
  <r>
    <d v="2025-08-23T00:00:00"/>
    <x v="7"/>
    <n v="-25.99"/>
    <x v="12"/>
    <s v="BETALING VIA DEBIT MASTERCARD        25-08 23-08-2025 OM 13.57 UUR JULES 1130 BE8500 KORTRIJK MET APPLE PAY 5127 88XX XXXX 8113 VIRTUEEL KAARTNUMMER CONTACTLOZE BETALING: 5354 00XX XXXX 8030 KAARTHOUDER: BOMBAERT BRAM"/>
    <s v="Uitgave"/>
    <n v="-25.99"/>
    <x v="1"/>
    <s v="OK"/>
  </r>
  <r>
    <d v="2025-08-23T00:00:00"/>
    <x v="7"/>
    <n v="-6.39"/>
    <x v="16"/>
    <s v="BETALING VIA DEBIT MASTERCARD        25-08 23-08-2025 OM 14.03 UUR MEDI-MARKET KORTRIJK BE8500 KORTRIJK MET APPLE PAY 5127 88XX XXXX 8113 VIRTUEEL KAARTNUMMER CONTACTLOZE BETALING: 5354 00XX XXXX 8030 KAARTHOUDER: BOMBAERT BRAM"/>
    <s v="Uitgave"/>
    <n v="-6.39"/>
    <x v="2"/>
    <s v="OK"/>
  </r>
  <r>
    <d v="2025-08-23T00:00:00"/>
    <x v="7"/>
    <n v="-5.66"/>
    <x v="2"/>
    <s v="BETALING VIA DEBIT MASTERCARD        25-08 23-08-2025 OM 14.26 UUR LIDL 803 KORTRIJK 2 BE8500 KORTRIJK MET APPLE PAY 5127 88XX XXXX 8113 VIRTUEEL KAARTNUMMER CONTACTLOZE BETALING: 5354 00XX XXXX 8030 KAARTHOUDER: BOMBAERT BRAM"/>
    <s v="Uitgave"/>
    <n v="-5.66"/>
    <x v="2"/>
    <s v="OK"/>
  </r>
  <r>
    <d v="2025-08-23T00:00:00"/>
    <x v="7"/>
    <n v="-154.75"/>
    <x v="9"/>
    <s v="INSTANTOVERSCHRIJVING NAAR           23-08 BE87 7380 4370 5794 BANKIER BEGUNSTIGDE: KREDBEBBXXX MONICA DHONDT WERO ROTTY CHRISTOFF OM 21.42 MET WERO"/>
    <s v="Uitgave"/>
    <n v="-154.75"/>
    <x v="1"/>
    <s v="OK"/>
  </r>
  <r>
    <d v="2025-08-25T00:00:00"/>
    <x v="7"/>
    <n v="-1.95"/>
    <x v="2"/>
    <s v="BETALING VIA MAESTRO                 25-08 24-08-2025 OM 13.01 UUR CARREFOUR MARKE BE MARKE MET APPLE PAY 6703 42XX XXXX X901 0 VIRTUEEL KAARTNUMMER CONTACTLOZE BETALING: 6790 28XX XXXX X658 7 KAARTHOUDER: ROTTY CHRISTOFF"/>
    <s v="Uitgave"/>
    <n v="-1.95"/>
    <x v="2"/>
    <s v="OK"/>
  </r>
  <r>
    <d v="2025-08-25T00:00:00"/>
    <x v="7"/>
    <n v="-10.16"/>
    <x v="4"/>
    <s v="BETALING VIA MAESTRO                 25-08 24-08-2025 OM 05.50 UUR OVO CHARGE ANYWHERE GB BRISTOL MET APPLE PAY 6703 42XX XXXX X901 0 VIRTUEEL KAARTNUMMER CONTACTLOZE BETALING: 6790 28XX XXXX X658 7 KAARTHOUDER: ROTTY CHRISTOFF"/>
    <s v="Uitgave"/>
    <n v="-10.16"/>
    <x v="2"/>
    <s v="OK"/>
  </r>
  <r>
    <d v="2025-08-25T00:00:00"/>
    <x v="7"/>
    <n v="-5"/>
    <x v="4"/>
    <s v="BETALING VIA MAESTRO                 25-08 24-08-2025 OM 05.50 UUR OVO CHARGE ANYWHERE GB BRISTOL MET APPLE PAY 6703 42XX XXXX X901 0 VIRTUEEL KAARTNUMMER CONTACTLOZE BETALING: 6790 28XX XXXX X658 7 KAARTHOUDER: ROTTY CHRISTOFF"/>
    <s v="Uitgave"/>
    <n v="-5"/>
    <x v="2"/>
    <s v="OK"/>
  </r>
  <r>
    <d v="2025-08-25T00:00:00"/>
    <x v="7"/>
    <n v="-1.35"/>
    <x v="4"/>
    <s v="BETALING VIA MAESTRO                 25-08 23-08-2025 OM 08.47 UUR OVO CHARGE ANYWH GB BRISTOL MET KBC-DEBETKAART 6703 42XX XXXX X901 0 KAARTHOUDER: ROTTY CHRISTOFF"/>
    <s v="Uitgave"/>
    <n v="-1.35"/>
    <x v="2"/>
    <s v="OK"/>
  </r>
  <r>
    <d v="2025-08-25T00:00:00"/>
    <x v="7"/>
    <n v="-4.2300000000000004"/>
    <x v="4"/>
    <s v="BETALING VIA MAESTRO                 25-08 23-08-2025 OM 03.55 UUR OVO CHARGE ANYWH GB BRISTOL MET KBC-DEBETKAART 6703 42XX XXXX X901 0 KAARTHOUDER: ROTTY CHRISTOFF"/>
    <s v="Uitgave"/>
    <n v="-4.2300000000000004"/>
    <x v="2"/>
    <s v="OK"/>
  </r>
  <r>
    <d v="2025-08-25T00:00:00"/>
    <x v="7"/>
    <n v="-1.1000000000000001"/>
    <x v="11"/>
    <s v="BETALING VIA MAESTRO                 25-08 21-08-2025 OM 09.59 UUR VALINSOPAY NL NL WIJK EN AALBU MET APPLE PAY 6703 42XX XXXX X901 0 VIRTUEEL KAARTNUMMER CONTACTLOZE BETALING: 6790 28XX XXXX X005 7 KAARTHOUDER: ROTTY CHRISTOFF"/>
    <s v="Uitgave"/>
    <n v="-1.1000000000000001"/>
    <x v="1"/>
    <s v="OK"/>
  </r>
  <r>
    <d v="2025-08-25T00:00:00"/>
    <x v="7"/>
    <n v="-8.5500000000000007"/>
    <x v="2"/>
    <s v="BETALING VIA DEBIT MASTERCARD        27-08 25-08-2025 OM 16.42 UUR CARREFOUR MARKE BE8510 MARKE MET APPLE PAY 5127 88XX XXXX 8113 VIRTUEEL KAARTNUMMER CONTACTLOZE BETALING: 5354 00XX XXXX 7841 KAARTHOUDER: BOMBAERT BRAM"/>
    <s v="Uitgave"/>
    <n v="-8.5500000000000007"/>
    <x v="2"/>
    <s v="OK"/>
  </r>
  <r>
    <d v="2025-08-25T00:00:00"/>
    <x v="7"/>
    <n v="-55"/>
    <x v="10"/>
    <s v="BETALING VIA DEBIT MASTERCARD        26-08 25-08-2025 OM 18.08 UUR CCV*DIERENARTSENPRAKTI BE8500 KORTRIJK MET APPLE PAY 5127 88XX XXXX 8113 VIRTUEEL KAARTNUMMER CONTACTLOZE BETALING: 5354 00XX XXXX 7841 KAARTHOUDER: BOMBAERT BRAM"/>
    <s v="Uitgave"/>
    <n v="-55"/>
    <x v="1"/>
    <s v="OK"/>
  </r>
  <r>
    <d v="2025-08-26T00:00:00"/>
    <x v="7"/>
    <n v="-21.36"/>
    <x v="2"/>
    <s v="BETALING VIA DEBIT MASTERCARD        27-08 26-08-2025 OM 18.15 UUR LIDL 803 KORTRIJK 2 BE8500 KORTRIJK MET APPLE PAY 5127 88XX XXXX 8113 VIRTUEEL KAARTNUMMER CONTACTLOZE BETALING: 5354 00XX XXXX 8030 KAARTHOUDER: BOMBAERT BRAM"/>
    <s v="Uitgave"/>
    <n v="-21.36"/>
    <x v="2"/>
    <s v="OK"/>
  </r>
  <r>
    <d v="2025-08-26T00:00:00"/>
    <x v="7"/>
    <n v="-10.44"/>
    <x v="2"/>
    <s v="BETALING VIA DEBIT MASTERCARD        27-08 26-08-2025 OM 17.04 UUR CARREFOUR MARKE BE8510 MARKE MET APPLE PAY 5127 88XX XXXX 8113 VIRTUEEL KAARTNUMMER CONTACTLOZE BETALING: 5354 00XX XXXX 7841 KAARTHOUDER: BOMBAERT BRAM"/>
    <s v="Uitgave"/>
    <n v="-10.44"/>
    <x v="2"/>
    <s v="OK"/>
  </r>
  <r>
    <d v="2025-08-26T00:00:00"/>
    <x v="7"/>
    <n v="-26.99"/>
    <x v="14"/>
    <s v="BETALING VIA DEBIT MASTERCARD        27-08 26-08-2025 OM 18.07 UUR MICROSOFT*STORE IE2 MSBILL.INFO MET KBC-DEBETKAART 5127 88XX XXXX 8113 KAARTHOUDER: BOMBAERT BRAM"/>
    <s v="Uitgave"/>
    <n v="-26.99"/>
    <x v="1"/>
    <s v="OK"/>
  </r>
  <r>
    <d v="2025-08-26T00:00:00"/>
    <x v="7"/>
    <n v="-6.45"/>
    <x v="16"/>
    <s v="BETALING VIA BANCONTACT              26-08 26-08-2025 OM 08.39 UUR APOTHEEK VANNESTE TOM BE8510 KORTRIJK MET KBC-DEBETKAART 5127 88XX XXXX 8113 KAARTHOUDER: BOMBAERT BRAM"/>
    <s v="Uitgave"/>
    <n v="-6.45"/>
    <x v="2"/>
    <s v="OK"/>
  </r>
  <r>
    <d v="2025-08-26T00:00:00"/>
    <x v="7"/>
    <n v="-113.49"/>
    <x v="33"/>
    <s v="EUROPESE DOMICILIERING               26-08 SCHULDEISER     : AXA REF. SCHULDEISER: 20250820010855219321009901 MANDAATREFERTE  : 010624258692001 MEDEDELING      : 0106242586921042025-08-262025080000 0010624258692"/>
    <s v="Uitgave"/>
    <n v="-113.49"/>
    <x v="2"/>
    <s v="OK"/>
  </r>
  <r>
    <d v="2025-08-27T00:00:00"/>
    <x v="7"/>
    <n v="-5.85"/>
    <x v="53"/>
    <s v="BETALING VIA DEBIT MASTERCARD        28-08 27-08-2025 OM 13.12 UUR ACTION 2009 BE8560 WEVELGEM MET APPLE PAY 5127 88XX XXXX 8113 VIRTUEEL KAARTNUMMER CONTACTLOZE BETALING: 5354 00XX XXXX 7841 KAARTHOUDER: BOMBAERT BRAM"/>
    <s v="Uitgave"/>
    <n v="-5.85"/>
    <x v="1"/>
    <s v="OK"/>
  </r>
  <r>
    <d v="2025-08-27T00:00:00"/>
    <x v="7"/>
    <n v="20"/>
    <x v="14"/>
    <s v="INSTANTOVERSCHRIJVING VAN            27-08 BE94 6528 3245 6914 BANKIER OPDRACHTGEVER: BBRUBEBBXXX DE H EDDY GERRES REFERENTIE: 78C1E3C536C84241BCF3C90207F78375 OM 20.10 UUR"/>
    <s v="Inkomst"/>
    <n v="20"/>
    <x v="1"/>
    <s v="OK"/>
  </r>
  <r>
    <d v="2025-08-28T00:00:00"/>
    <x v="7"/>
    <n v="-10.63"/>
    <x v="9"/>
    <s v="BETALING VIA BANCONTACT              28-08 28-08-2025 OM 16.13 UUR DISTRICHOC BELGIUM SPR BE1000 BRUXELLES MET KBC-DEBETKAART 6703 42XX XXXX X901 0 KAARTHOUDER: ROTTY CHRISTOFF"/>
    <s v="Uitgave"/>
    <n v="-10.63"/>
    <x v="1"/>
    <s v="OK"/>
  </r>
  <r>
    <d v="2025-08-28T00:00:00"/>
    <x v="7"/>
    <n v="-4.7"/>
    <x v="2"/>
    <s v="BETALING VIA MAESTRO                 28-08 27-08-2025 OM 10.58 UUR Q8 108131 GENTBRUGGE V BE GENTBRUGGE MET APPLE PAY 6703 42XX XXXX X901 0 VIRTUEEL KAARTNUMMER CONTACTLOZE BETALING: 6790 28XX XXXX X658 7 KAARTHOUDER: ROTTY CHRISTOFF"/>
    <s v="Uitgave"/>
    <n v="-4.7"/>
    <x v="2"/>
    <s v="OK"/>
  </r>
  <r>
    <d v="2025-08-28T00:00:00"/>
    <x v="7"/>
    <n v="-30.4"/>
    <x v="32"/>
    <s v="BETALING VIA BANCONTACT              28-08 28-08-2025 OM 12.13 UUR SNCBPPSEWEBPROD BE1060 BRUSSEL MET KBC-DEBETKAART 6703 42XX XXXX X901 0 KAARTHOUDER: ROTTY CHRISTOFF"/>
    <s v="Uitgave"/>
    <n v="-30.4"/>
    <x v="1"/>
    <s v="OK"/>
  </r>
  <r>
    <d v="2025-08-28T00:00:00"/>
    <x v="7"/>
    <n v="-24"/>
    <x v="63"/>
    <s v="BETALING VIA BANCONTACT              28-08 28-08-2025 OM 10.36 UUR LIEN P2P MOBILE MET KBC-DEBETKAART 5127 88XX XXXX 8113 KAARTHOUDER: BOMBAERT BRAM"/>
    <s v="Uitgave"/>
    <n v="-24"/>
    <x v="1"/>
    <s v="OK"/>
  </r>
  <r>
    <d v="2025-08-28T00:00:00"/>
    <x v="7"/>
    <n v="-4"/>
    <x v="16"/>
    <s v="BETALING VIA MAESTRO                 28-08 27-08-2025 OM 18.27 UUR SUMUP  *DR  MERIJN DEG BE KORTRIJK MET APPLE PAY 6703 42XX XXXX X901 0 VIRTUEEL KAARTNUMMER CONTACTLOZE BETALING: 6790 28XX XXXX X658 7 KAARTHOUDER: ROTTY CHRISTOFF"/>
    <s v="Uitgave"/>
    <n v="-4"/>
    <x v="2"/>
    <s v="OK"/>
  </r>
  <r>
    <d v="2025-08-28T00:00:00"/>
    <x v="7"/>
    <n v="-17.399999999999999"/>
    <x v="9"/>
    <s v="BETALING VIA DEBIT MASTERCARD        29-08 28-08-2025 OM 17.25 UUR BRUSSELS GRILL GRAND P BE1000 BRUXELLES MET APPLE PAY 5127 88XX XXXX 8113 VIRTUEEL KAARTNUMMER CONTACTLOZE BETALING: 5354 00XX XXXX 8030 KAARTHOUDER: BOMBAERT BRAM"/>
    <s v="Uitgave"/>
    <n v="-17.399999999999999"/>
    <x v="1"/>
    <s v="OK"/>
  </r>
  <r>
    <d v="2025-08-29T00:00:00"/>
    <x v="7"/>
    <n v="-18.14"/>
    <x v="2"/>
    <s v="BETALING VIA DEBIT MASTERCARD        01-09 29-08-2025 OM 16.57 UUR LIDL 803 KORTRIJK 2 BE8500 KORTRIJK MET APPLE PAY 5127 88XX XXXX 8113 VIRTUEEL KAARTNUMMER CONTACTLOZE BETALING: 5354 00XX XXXX 8030 KAARTHOUDER: BOMBAERT BRAM"/>
    <s v="Uitgave"/>
    <n v="-18.14"/>
    <x v="2"/>
    <s v="OK"/>
  </r>
  <r>
    <d v="2025-08-29T00:00:00"/>
    <x v="7"/>
    <n v="-34.520000000000003"/>
    <x v="2"/>
    <s v="BETALING VIA DEBIT MASTERCARD        01-09 29-08-2025 OM 13.21 UUR LIDL 803 KORTRIJK 2 BE8500 KORTRIJK MET APPLE PAY 5127 88XX XXXX 8113 VIRTUEEL KAARTNUMMER CONTACTLOZE BETALING: 5354 00XX XXXX 8030 KAARTHOUDER: BOMBAERT BRAM"/>
    <s v="Uitgave"/>
    <n v="-34.520000000000003"/>
    <x v="2"/>
    <s v="OK"/>
  </r>
  <r>
    <d v="2025-08-29T00:00:00"/>
    <x v="7"/>
    <n v="-1.5"/>
    <x v="40"/>
    <s v="BIJDRAGE 01-08-2025 - 31-08-2025     29-08 KBC-PLUSREKENING"/>
    <s v="Uitgave"/>
    <n v="-1.5"/>
    <x v="2"/>
    <s v="OK"/>
  </r>
  <r>
    <d v="2025-08-29T00:00:00"/>
    <x v="7"/>
    <n v="-299"/>
    <x v="7"/>
    <s v="INSTANTOVERSCHRIJVING NAAR           29-08 BE57 7380 3752 0935 BANKIER BEGUNSTIGDE: KREDBEBBXXX VIVES 110098345284 OM 14.12 UUR MET KBC MOBILE"/>
    <s v="Uitgave"/>
    <n v="-299"/>
    <x v="1"/>
    <s v="OK"/>
  </r>
  <r>
    <d v="2025-08-29T00:00:00"/>
    <x v="7"/>
    <n v="-10.37"/>
    <x v="6"/>
    <s v="EUROPESE DOMICILIERING               29-08 SCHULDEISER     : LUMINUS SA REF. SCHULDEISER: 002253199889 MANDAATREFERTE  : 0087006660811 MEDEDELING      : LUMINUS AFREKENING 5808085220"/>
    <s v="Uitgave"/>
    <n v="-10.37"/>
    <x v="2"/>
    <s v="OK"/>
  </r>
  <r>
    <d v="2025-08-30T00:00:00"/>
    <x v="7"/>
    <n v="-586.12"/>
    <x v="36"/>
    <s v="BETALING LEASING                     30-08 0001/0001/BE/2502610513"/>
    <s v="Uitgave"/>
    <n v="-586.12"/>
    <x v="2"/>
    <s v="OK"/>
  </r>
  <r>
    <d v="2025-08-30T00:00:00"/>
    <x v="7"/>
    <n v="-79.989999999999995"/>
    <x v="12"/>
    <s v="BETALING VIA DEBIT MASTERCARD        01-09 30-08-2025 OM 16.01 UUR JACK &amp; JONES KORTRIJK BE8500 KORTRIJK MET APPLE PAY 5127 88XX XXXX 8113 VIRTUEEL KAARTNUMMER CONTACTLOZE BETALING: 5354 00XX XXXX 8030 KAARTHOUDER: BOMBAERT BRAM"/>
    <s v="Uitgave"/>
    <n v="-79.989999999999995"/>
    <x v="1"/>
    <s v="OK"/>
  </r>
  <r>
    <d v="2025-08-30T00:00:00"/>
    <x v="7"/>
    <n v="-7.12"/>
    <x v="2"/>
    <s v="BETALING VIA DEBIT MASTERCARD        01-09 30-08-2025 OM 11.52 UUR LIDL 803 KORTRIJK 2 BE8500 KORTRIJK MET APPLE PAY 5127 88XX XXXX 8113 VIRTUEEL KAARTNUMMER CONTACTLOZE BETALING: 5354 00XX XXXX 8030 KAARTHOUDER: BOMBAERT BRAM"/>
    <s v="Uitgave"/>
    <n v="-7.12"/>
    <x v="2"/>
    <s v="OK"/>
  </r>
  <r>
    <d v="2025-08-30T00:00:00"/>
    <x v="7"/>
    <n v="-18.5"/>
    <x v="10"/>
    <s v="BETALING VIA DEBIT MASTERCARD        01-09 30-08-2025 OM 11.13 UUR AU POISSON D'OR BE07700 MOUSCRON MET KBC-DEBETKAART 5127 88XX XXXX 8113 KAARTHOUDER: BOMBAERT BRAM"/>
    <s v="Uitgave"/>
    <n v="-18.5"/>
    <x v="1"/>
    <s v="OK"/>
  </r>
  <r>
    <d v="2025-08-30T00:00:00"/>
    <x v="7"/>
    <n v="-13"/>
    <x v="10"/>
    <s v="BETALING VIA DEBIT MASTERCARD        01-09 30-08-2025 OM 11.19 UUR AU POISSON D'OR BE07700 MOUSCRON MET KBC-DEBETKAART 5127 88XX XXXX 8113 KAARTHOUDER: BOMBAERT BRAM"/>
    <s v="Uitgave"/>
    <n v="-13"/>
    <x v="1"/>
    <s v="OK"/>
  </r>
  <r>
    <d v="2025-08-30T00:00:00"/>
    <x v="7"/>
    <n v="-72"/>
    <x v="9"/>
    <s v="INSTANTOVERSCHRIJVING NAAR           30-08 BE19 4468 6772 0112 BANKIER BEGUNSTIGDE: KREDBEBBXXX MONIQUE VAN ESCH OM 20.42 UUR MET KBC MOBILE"/>
    <s v="Uitgave"/>
    <n v="-72"/>
    <x v="1"/>
    <s v="OK"/>
  </r>
  <r>
    <d v="2025-08-30T00:00:00"/>
    <x v="7"/>
    <n v="-25"/>
    <x v="13"/>
    <s v="BETALING VIA BANCONTACT              01-09 30-08-2025 OM 08.42 UUR VERLINDE LAUREN BE8510 MARKE MET KBC-DEBETKAART 5127 88XX XXXX 8113 KAARTHOUDER: BOMBAERT BRAM"/>
    <s v="Uitgave"/>
    <n v="-25"/>
    <x v="2"/>
    <s v="OK"/>
  </r>
  <r>
    <d v="2025-09-01T00:00:00"/>
    <x v="8"/>
    <n v="20"/>
    <x v="0"/>
    <s v="OVERSCHRIJVING VAN                   29-08 BE57 3751 1109 9435 BANKIER OPDRACHTGEVER: BBRUBEBB OV HULPREKENING /A/E003421 - 19303221177-118257-311 BETALING-08/2025- -- REFERENTIE: 250801-003421-/A/E003421"/>
    <s v="Inkomst"/>
    <n v="20"/>
    <x v="0"/>
    <s v="OK"/>
  </r>
  <r>
    <d v="2025-08-30T00:00:00"/>
    <x v="7"/>
    <n v="-1.1499999999999999"/>
    <x v="2"/>
    <s v="BETALING VIA DEBIT MASTERCARD        02-09 30-08-2025 OM 08.56 UUR CARREFOUR MARKE BE8510 MARKE MET KBC-DEBETKAART 5127 88XX XXXX 8113 KAARTHOUDER: BOMBAERT BRAM"/>
    <s v="Uitgave"/>
    <n v="-1.1499999999999999"/>
    <x v="2"/>
    <s v="OK"/>
  </r>
  <r>
    <d v="2025-08-31T00:00:00"/>
    <x v="7"/>
    <n v="-10.93"/>
    <x v="2"/>
    <s v="BETALING VIA DEBIT MASTERCARD        02-09 31-08-2025 OM 13.09 UUR CARREFOUR MARKE BE8510 MARKE MET APPLE PAY 5127 88XX XXXX 8113 VIRTUEEL KAARTNUMMER CONTACTLOZE BETALING: 5354 00XX XXXX 7841 KAARTHOUDER: BOMBAERT BRAM"/>
    <s v="Uitgave"/>
    <n v="-10.93"/>
    <x v="2"/>
    <s v="OK"/>
  </r>
  <r>
    <d v="2025-08-31T00:00:00"/>
    <x v="7"/>
    <n v="-20.95"/>
    <x v="22"/>
    <s v="BETALING VIA DEBIT MASTERCARD        02-09 31-08-2025 OM 16.15 UUR EURO SHOP KORTRIJK BE8800 ROESELARE MET APPLE PAY 5127 88XX XXXX 8113 VIRTUEEL KAARTNUMMER CONTACTLOZE BETALING: 5354 00XX XXXX 7841 KAARTHOUDER: BOMBAERT BRAM"/>
    <s v="Uitgave"/>
    <n v="-20.95"/>
    <x v="1"/>
    <s v="OK"/>
  </r>
  <r>
    <d v="2025-09-01T00:00:00"/>
    <x v="8"/>
    <n v="2668.83"/>
    <x v="0"/>
    <s v="OVERSCHRIJVING VAN                   29-08 BE64 3751 1173 1652 BANKIER OPDRACHTGEVER: BBRUBEBB VVM DE LIJN ALGEMENE REK /A/ 29076 LOON VVM 08/2025"/>
    <s v="Inkomst"/>
    <n v="2668.83"/>
    <x v="0"/>
    <s v="OK"/>
  </r>
  <r>
    <d v="2025-09-01T00:00:00"/>
    <x v="8"/>
    <n v="2849.25"/>
    <x v="0"/>
    <s v="OVERSCHRIJVING VAN                   29-08 BE57 3751 1109 9435 BANKIER OPDRACHTGEVER: BBRUBEBB OV HULPREKENING /A/E001793 - 19303221177-118257-311 UITGESTELDE BEZOL DIGING AUGUSTUS--- REFERENTIE: 250802-001793-/A/E001793"/>
    <s v="Inkomst"/>
    <n v="2849.25"/>
    <x v="0"/>
    <s v="OK"/>
  </r>
  <r>
    <d v="2025-09-01T00:00:00"/>
    <x v="8"/>
    <n v="-4.1399999999999997"/>
    <x v="2"/>
    <s v="BETALING VIA DEBIT MASTERCARD        03-09 01-09-2025 OM 14.49 UUR CARREFOUR MARKE BE8510 MARKE MET APPLE PAY 5127 88XX XXXX 8113 VIRTUEEL KAARTNUMMER CONTACTLOZE BETALING: 5354 00XX XXXX 8030 KAARTHOUDER: BOMBAERT BRAM"/>
    <s v="Uitgave"/>
    <n v="-4.1399999999999997"/>
    <x v="2"/>
    <s v="OK"/>
  </r>
  <r>
    <d v="2025-09-01T00:00:00"/>
    <x v="8"/>
    <n v="-40.19"/>
    <x v="12"/>
    <s v="BETALING VIA DEBIT MASTERCARD        03-09 01-09-2025 OM 14.03 UUR JULES 1130 BE8500 KORTRIJK MET APPLE PAY 5127 88XX XXXX 8113 VIRTUEEL KAARTNUMMER CONTACTLOZE BETALING: 5354 00XX XXXX 8030 KAARTHOUDER: BOMBAERT BRAM"/>
    <s v="Uitgave"/>
    <n v="-40.19"/>
    <x v="1"/>
    <s v="OK"/>
  </r>
  <r>
    <d v="2025-09-01T00:00:00"/>
    <x v="8"/>
    <n v="-5.99"/>
    <x v="16"/>
    <s v="BETALING VIA DEBIT MASTERCARD        03-09 01-09-2025 OM 14.08 UUR MEDI-MARKET KORTRIJK BE8500 KORTRIJK MET APPLE PAY 5127 88XX XXXX 8113 VIRTUEEL KAARTNUMMER CONTACTLOZE BETALING: 5354 00XX XXXX 8030 KAARTHOUDER: BOMBAERT BRAM"/>
    <s v="Te Bepalen"/>
    <n v="5.99"/>
    <x v="2"/>
    <s v="FOUT"/>
  </r>
  <r>
    <d v="2025-09-01T00:00:00"/>
    <x v="8"/>
    <n v="-12.02"/>
    <x v="2"/>
    <s v="BETALING VIA DEBIT MASTERCARD        03-09 01-09-2025 OM 14.37 UUR LIDL 803 KORTRIJK 2 BE8500 KORTRIJK MET APPLE PAY 5127 88XX XXXX 8113 VIRTUEEL KAARTNUMMER CONTACTLOZE BETALING: 5354 00XX XXXX 8030 KAARTHOUDER: BOMBAERT BRAM"/>
    <s v="Uitgave"/>
    <n v="-12.02"/>
    <x v="2"/>
    <s v="OK"/>
  </r>
  <r>
    <d v="2025-09-01T00:00:00"/>
    <x v="8"/>
    <n v="-4"/>
    <x v="16"/>
    <s v="OVERSCHRIJVING NAAR                  01-09 BE79 3632 2576 6833 BANKIER BEGUNSTIGDE: DOKTER FLORIN DENNIS PAYCONIQ 3207C34FEF2AB1055BAB406E DOKTER FLORIN DENNI S MET PAYCONIQ IN KBC MOBILE"/>
    <s v="Te Bepalen"/>
    <n v="4"/>
    <x v="2"/>
    <s v="FOUT"/>
  </r>
  <r>
    <d v="2025-09-01T00:00:00"/>
    <x v="8"/>
    <n v="-8.4600000000000009"/>
    <x v="14"/>
    <s v="BETALING VIA BANCONTACT              01-09 01-09-2025 OM 13.57 UUR MIJN.HOST NL1066JR AMSTERDAM MET KBC-DEBETKAART 6703 42XX XXXX X901 0 KAARTHOUDER: ROTTY CHRISTOFF INFO VAN DE HANDELAAR: 74116CA MIJN.HOST ORDERNR. 000"/>
    <s v="Te Bepalen"/>
    <n v="8.4600000000000009"/>
    <x v="1"/>
    <s v="FOUT"/>
  </r>
  <r>
    <d v="2025-09-01T00:00:00"/>
    <x v="8"/>
    <n v="-43"/>
    <x v="9"/>
    <s v="BETALING VIA MAESTRO                 01-09 31-08-2025 OM 12.54 UUR SPORTBAR WEVELGEM BE WEVELGEM MET APPLE PAY 6703 42XX XXXX X901 0 VIRTUEEL KAARTNUMMER CONTACTLOZE BETALING: 6790 28XX XXXX X658 7 KAARTHOUDER: ROTTY CHRISTOFF"/>
    <s v="Te Bepalen"/>
    <n v="43"/>
    <x v="1"/>
    <s v="FOUT"/>
  </r>
  <r>
    <d v="2025-09-01T00:00:00"/>
    <x v="8"/>
    <n v="-5"/>
    <x v="4"/>
    <s v="BETALING VIA MAESTRO                 01-09 31-08-2025 OM 03.50 UUR OVO CHARGE ANYWHERE GB BRISTOL MET APPLE PAY 6703 42XX XXXX X901 0 VIRTUEEL KAARTNUMMER CONTACTLOZE BETALING: 6790 28XX XXXX X658 7 KAARTHOUDER: ROTTY CHRISTOFF"/>
    <s v="Uitgave"/>
    <n v="-5"/>
    <x v="2"/>
    <s v="OK"/>
  </r>
  <r>
    <d v="2025-09-01T00:00:00"/>
    <x v="8"/>
    <n v="-2.56"/>
    <x v="4"/>
    <s v="BETALING VIA MAESTRO                 01-09 30-08-2025 OM 08.35 UUR OVO CHARGE ANYWHERE GB BRISTOL MET APPLE PAY 6703 42XX XXXX X901 0 VIRTUEEL KAARTNUMMER CONTACTLOZE BETALING: 6790 28XX XXXX X658 7 KAARTHOUDER: ROTTY CHRISTOFF"/>
    <s v="Uitgave"/>
    <n v="-2.56"/>
    <x v="2"/>
    <s v="OK"/>
  </r>
  <r>
    <d v="2025-09-01T00:00:00"/>
    <x v="8"/>
    <n v="-5"/>
    <x v="4"/>
    <s v="BETALING VIA MAESTRO                 01-09 30-08-2025 OM 08.35 UUR OVO CHARGE ANYWHERE GB BRISTOL MET APPLE PAY 6703 42XX XXXX X901 0 VIRTUEEL KAARTNUMMER CONTACTLOZE BETALING: 6790 28XX XXXX X658 7 KAARTHOUDER: ROTTY CHRISTOFF"/>
    <s v="Uitgave"/>
    <n v="-5"/>
    <x v="2"/>
    <s v="OK"/>
  </r>
  <r>
    <d v="2025-09-01T00:00:00"/>
    <x v="8"/>
    <n v="-6.81"/>
    <x v="4"/>
    <s v="BETALING VIA MAESTRO                 01-09 31-08-2025 OM 03.51 UUR OVO CHARGE ANYWHERE GB BRISTOL MET APPLE PAY 6703 42XX XXXX X901 0 VIRTUEEL KAARTNUMMER CONTACTLOZE BETALING: 6790 28XX XXXX X658 7 KAARTHOUDER: ROTTY CHRISTOFF"/>
    <s v="Uitgave"/>
    <n v="-6.81"/>
    <x v="2"/>
    <s v="OK"/>
  </r>
  <r>
    <d v="2025-09-01T00:00:00"/>
    <x v="8"/>
    <n v="-49.25"/>
    <x v="37"/>
    <s v="EUROPESE DOMICILIERING               01-09 SCHULDEISER     : TELENET BV REF. SCHULDEISER: 115343185310928060926 MANDAATREFERTE  : 001285135 MEDEDELING      : ACCOUNT: 115343185 REF : 3109280609 26"/>
    <s v="Uitgave"/>
    <n v="-49.25"/>
    <x v="2"/>
    <s v="OK"/>
  </r>
  <r>
    <d v="2025-09-01T00:00:00"/>
    <x v="8"/>
    <n v="-37.9"/>
    <x v="3"/>
    <s v="EUROPESE DOMICILIERING               01-09 SCHULDEISER     : DKV BELGIUM REF. SCHULDEISER: 2025235358543901X000000000000001 MANDAATREFERTE  : 358543901/001 MEDEDELING      : EERSTE INNING VIA EUROPESE SEPA DOM ICILIERING (SDD) - REFERENTIE MANDAAT : 358543901/001"/>
    <s v="Uitgave"/>
    <n v="-37.9"/>
    <x v="2"/>
    <s v="OK"/>
  </r>
  <r>
    <d v="2025-09-01T00:00:00"/>
    <x v="8"/>
    <n v="-18"/>
    <x v="30"/>
    <s v="EUROPESE DOMICILIERING               01-09 SCHULDEISER     : ORANGE REF. SCHULDEISER: A68PMUCT MANDAATREFERTE  : 7808001 MEDEDELING      : SCOR                   BBA                   112053586513"/>
    <s v="Uitgave"/>
    <n v="-18"/>
    <x v="2"/>
    <s v="OK"/>
  </r>
  <r>
    <d v="2025-09-01T00:00:00"/>
    <x v="8"/>
    <n v="-60"/>
    <x v="6"/>
    <s v="EUROPESE DOMICILIERING               01-09 SCHULDEISER     : LUMINUS SA REF. SCHULDEISER: 002013141628 MANDAATREFERTE  : 0087006660811 MEDEDELING      : LUMINUS VOORSCHOT 5808088295"/>
    <s v="Te Bepalen"/>
    <n v="60"/>
    <x v="2"/>
    <s v="FOUT"/>
  </r>
  <r>
    <d v="2025-09-01T00:00:00"/>
    <x v="8"/>
    <n v="-45.25"/>
    <x v="3"/>
    <s v="EUROPESE DOMICILIERING               01-09 SCHULDEISER     : DKV BELGIUM REF. SCHULDEISER: 2025235345523551X000000000000001 MANDAATREFERTE  : 345523551/002 MEDEDELING      : 0925-1025 PREMIE"/>
    <s v="Uitgave"/>
    <n v="-45.25"/>
    <x v="2"/>
    <s v="OK"/>
  </r>
  <r>
    <d v="2025-09-01T00:00:00"/>
    <x v="8"/>
    <n v="-50.6"/>
    <x v="3"/>
    <s v="EUROPESE DOMICILIERING               01-09 SCHULDEISER     : KBC VERZEKERINGEN REF. SCHULDEISER: 391090576614 MANDAATREFERTE  : L00194638787V0001 EIGEN OMSCHR.   : HOSPITALISATIEVERZEKERING MEDEDELING      : POL.54467509 31/08/2025-30/09/2025 HOSPITALISATIEVERZEKERING"/>
    <s v="Uitgave"/>
    <n v="-50.6"/>
    <x v="2"/>
    <s v="OK"/>
  </r>
  <r>
    <d v="2025-09-01T00:00:00"/>
    <x v="8"/>
    <n v="-100"/>
    <x v="2"/>
    <s v="AUTOMATISCH SPAREN                   01-09 NAAR BE13 7460 4686 9539 AUTOMATISCH SPAREN"/>
    <s v="Uitgave"/>
    <n v="-100"/>
    <x v="2"/>
    <s v="OK"/>
  </r>
  <r>
    <d v="2025-09-01T00:00:00"/>
    <x v="8"/>
    <n v="-248.67"/>
    <x v="46"/>
    <s v="AUTOMATISCHE BETALING                01-09 FLEX BUDGET 420-6319589-46"/>
    <s v="Uitgave"/>
    <n v="-248.67"/>
    <x v="1"/>
    <s v="OK"/>
  </r>
  <r>
    <d v="2025-09-02T00:00:00"/>
    <x v="8"/>
    <n v="-240.78"/>
    <x v="16"/>
    <s v="BETALING VIA BANCONTACT              03-09 02-09-2025 OM 17.35 UUR APOTHEEK ARIE BE8510 MARKE MET KBC-DEBETKAART 5127 88XX XXXX 8113 KAARTHOUDER: BOMBAERT BRAM"/>
    <s v="Uitgave"/>
    <n v="-240.78"/>
    <x v="2"/>
    <s v="OK"/>
  </r>
  <r>
    <d v="2025-09-02T00:00:00"/>
    <x v="8"/>
    <n v="100"/>
    <x v="0"/>
    <s v="OVERSCHRIJVING VAN                   02-09 BE64 3751 1173 1652 BANKIER OPDRACHTGEVER: BBRUBEBB VVM DE LIJN ALGEMENE REK ATTENTIE ZIEK/OVERL 50 EURO"/>
    <s v="Inkomst"/>
    <n v="100"/>
    <x v="0"/>
    <s v="OK"/>
  </r>
  <r>
    <d v="2025-09-02T00:00:00"/>
    <x v="8"/>
    <n v="-0.9"/>
    <x v="11"/>
    <s v="BETALING VIA MAESTRO                 02-09 01-09-2025 OM 10.07 UUR VALINSOPAY NL NL WIJK EN AALBU MET APPLE PAY 6703 42XX XXXX X901 0 VIRTUEEL KAARTNUMMER CONTACTLOZE BETALING: 6790 28XX XXXX X658 7 KAARTHOUDER: ROTTY CHRISTOFF"/>
    <s v="Uitgave"/>
    <n v="-0.9"/>
    <x v="1"/>
    <s v="OK"/>
  </r>
  <r>
    <d v="2025-09-02T00:00:00"/>
    <x v="8"/>
    <n v="-96"/>
    <x v="7"/>
    <s v="INSTANTOVERSCHRIJVING NAAR           02-09 BE37 0635 9879 0028 BANKIER BEGUNSTIGDE: GKCCBEBBXXX KURT CLEMENT OM 15.38 UUR MET KBC MOBILE"/>
    <s v="Uitgave"/>
    <n v="-96"/>
    <x v="1"/>
    <s v="OK"/>
  </r>
  <r>
    <d v="2025-09-02T00:00:00"/>
    <x v="8"/>
    <n v="-24"/>
    <x v="8"/>
    <s v="INSTANTOVERSCHRIJVING NAAR           02-09 BE35 7765 9917 2737 BANKIER BEGUNSTIGDE: GKCCBEBBXXX KENNETH DE RICK WERO ROTTY CHRISTOFF OM 08.58 MET WERO"/>
    <s v="Uitgave"/>
    <n v="-24"/>
    <x v="1"/>
    <s v="OK"/>
  </r>
  <r>
    <d v="2025-09-03T00:00:00"/>
    <x v="8"/>
    <n v="-7.22"/>
    <x v="2"/>
    <s v="BETALING VIA DEBIT MASTERCARD        05-09 03-09-2025 OM 18.05 UUR LIDL 803 KORTRIJK 2 BE8500 KORTRIJK MET APPLE PAY 5127 88XX XXXX 8113 VIRTUEEL KAARTNUMMER CONTACTLOZE BETALING: 5354 00XX XXXX 8030 KAARTHOUDER: BOMBAERT BRAM"/>
    <s v="Uitgave"/>
    <n v="-7.22"/>
    <x v="2"/>
    <s v="OK"/>
  </r>
  <r>
    <d v="2025-09-03T00:00:00"/>
    <x v="8"/>
    <n v="-155"/>
    <x v="16"/>
    <s v="BETALING VIA DEBIT MASTERCARD        04-09 03-09-2025 OM 17.47 UUR CCV*MARKIES TANDARTSEN BE8510 KORTRIJK MET APPLE PAY 5127 88XX XXXX 8113 VIRTUEEL KAARTNUMMER CONTACTLOZE BETALING: 5354 00XX XXXX 8030 KAARTHOUDER: BOMBAERT BRAM"/>
    <s v="Uitgave"/>
    <n v="-155"/>
    <x v="2"/>
    <s v="OK"/>
  </r>
  <r>
    <d v="2025-09-03T00:00:00"/>
    <x v="8"/>
    <n v="-62"/>
    <x v="10"/>
    <s v="INSTANTOVERSCHRIJVING NAAR           03-09 BE07 0018 9446 5166 BANKIER BEGUNSTIGDE: GEBABEBBXXX MARGOT PARMENTIER WERO BOMBAERT BRAM OM 15.55 MET WERO"/>
    <s v="Uitgave"/>
    <n v="-62"/>
    <x v="1"/>
    <s v="OK"/>
  </r>
  <r>
    <d v="2025-09-03T00:00:00"/>
    <x v="8"/>
    <n v="-1.5"/>
    <x v="11"/>
    <s v="BETALING VIA MAESTRO                 03-09 02-09-2025 OM 14.28 UUR VALINSOPAY NL NL WIJK EN AALBU MET APPLE PAY 6703 42XX XXXX X901 0 VIRTUEEL KAARTNUMMER CONTACTLOZE BETALING: 6790 28XX XXXX X658 7 KAARTHOUDER: ROTTY CHRISTOFF"/>
    <s v="Uitgave"/>
    <n v="-1.5"/>
    <x v="1"/>
    <s v="OK"/>
  </r>
  <r>
    <d v="2025-09-03T00:00:00"/>
    <x v="8"/>
    <n v="-1.5"/>
    <x v="11"/>
    <s v="BETALING VIA MAESTRO                 03-09 02-09-2025 OM 12.00 UUR VALINSOPAY NL NL WIJK EN AALBU MET APPLE PAY 6703 42XX XXXX X901 0 VIRTUEEL KAARTNUMMER CONTACTLOZE BETALING: 6790 28XX XXXX X658 7 KAARTHOUDER: ROTTY CHRISTOFF"/>
    <s v="Uitgave"/>
    <n v="-1.5"/>
    <x v="1"/>
    <s v="OK"/>
  </r>
  <r>
    <d v="2025-09-03T00:00:00"/>
    <x v="8"/>
    <n v="-20.71"/>
    <x v="20"/>
    <s v="EUROPESE DOMICILIERING               03-09 SCHULDEISER     : ACV-CSC REF. SCHULDEISER: 0925 BIJDRAGEN 092025-092025 MANDAATREFERTE  : N00814013 MEDEDELING      : SCOR                   BBA                   081760860769"/>
    <s v="Uitgave"/>
    <n v="-20.71"/>
    <x v="2"/>
    <s v="OK"/>
  </r>
  <r>
    <d v="2025-09-04T00:00:00"/>
    <x v="8"/>
    <n v="-5.13"/>
    <x v="2"/>
    <s v="BETALING VIA DEBIT MASTERCARD        05-09 04-09-2025 OM 13.51 UUR LIDL 861 WEVELGEM BE8560 WEVELGEM MET APPLE PAY 5127 88XX XXXX 8113 VIRTUEEL KAARTNUMMER CONTACTLOZE BETALING: 5354 00XX XXXX 8030 KAARTHOUDER: BOMBAERT BRAM"/>
    <s v="Uitgave"/>
    <n v="-5.13"/>
    <x v="2"/>
    <s v="OK"/>
  </r>
  <r>
    <d v="2025-09-04T00:00:00"/>
    <x v="8"/>
    <n v="-7.94"/>
    <x v="2"/>
    <s v="BETALING VIA DEBIT MASTERCARD        05-09 04-09-2025 OM 17.05 UUR CARREFOUR MARKE BE8510 MARKE MET APPLE PAY 5127 88XX XXXX 8113 VIRTUEEL KAARTNUMMER CONTACTLOZE BETALING: 5354 00XX XXXX 7841 KAARTHOUDER: BOMBAERT BRAM"/>
    <s v="Uitgave"/>
    <n v="-7.94"/>
    <x v="2"/>
    <s v="OK"/>
  </r>
  <r>
    <d v="2025-09-04T00:00:00"/>
    <x v="8"/>
    <n v="-9.2899999999999991"/>
    <x v="2"/>
    <s v="BETALING VIA MAESTRO                 04-09 03-09-2025 OM 09.14 UUR CARREFOUR GENT V BE GENT MET APPLE PAY 6703 42XX XXXX X901 0 VIRTUEEL KAARTNUMMER CONTACTLOZE BETALING: 6790 28XX XXXX X658 7 KAARTHOUDER: ROTTY CHRISTOFF"/>
    <s v="Uitgave"/>
    <n v="-9.2899999999999991"/>
    <x v="2"/>
    <s v="OK"/>
  </r>
  <r>
    <d v="2025-09-04T00:00:00"/>
    <x v="8"/>
    <n v="87"/>
    <x v="16"/>
    <s v="OVERSCHRIJVING VAN                   04-09 BE10 1325 4851 1904 BANKIER OPDRACHTGEVER: BNAGBEBBXXX SOLIDARIS W.-VLAANDEREN /C/ (1619945)   ZORG VAN 03/09/25 TACK E 93032216582 REFERENTIE: 183"/>
    <s v="Inkomst"/>
    <n v="87"/>
    <x v="2"/>
    <s v="OK"/>
  </r>
  <r>
    <d v="2025-09-04T00:00:00"/>
    <x v="8"/>
    <n v="-82"/>
    <x v="23"/>
    <s v="BETALING VIA BANCONTACT              04-09 04-09-2025 OM 14.21 UUR BOL.COM NL3528 BJ UTRECHT MET KBC-DEBETKAART 5127 88XX XXXX 8113 KAARTHOUDER: BOMBAERT BRAM"/>
    <s v="Uitgave"/>
    <n v="-82"/>
    <x v="1"/>
    <s v="OK"/>
  </r>
  <r>
    <d v="2025-09-04T00:00:00"/>
    <x v="8"/>
    <n v="-60"/>
    <x v="35"/>
    <s v="OVERSCHRIJVING NAAR                  04-09 BE79 3632 2576 6833 BANKIER BEGUNSTIGDE: LASER LINE PAYCONIQ F620FA78F88CF9DE204FEFA3 LASER LINE MET PAYCONIQ IN KBC MOBILE"/>
    <s v="Uitgave"/>
    <n v="-60"/>
    <x v="1"/>
    <s v="OK"/>
  </r>
  <r>
    <d v="2025-09-04T00:00:00"/>
    <x v="8"/>
    <n v="-12"/>
    <x v="62"/>
    <s v="EUROPESE DOMICILIERING               04-09 SCHULDEISER     : MEDIAHUIS NV - NB REF. SCHULDEISER: K0214967 MANDAATREFERTE  : 101000942759 MEDEDELING      : ABONR. 5862848 : 04/09/25 - 03/10/2 5"/>
    <s v="Uitgave"/>
    <n v="-12"/>
    <x v="1"/>
    <s v="OK"/>
  </r>
  <r>
    <d v="2025-09-04T00:00:00"/>
    <x v="8"/>
    <n v="-33.72"/>
    <x v="4"/>
    <s v="EUROPESE DOMICILIERING               04-09 SCHULDEISER     : CHARGEMAP SAS REF. SCHULDEISER: STR16NASYOSIY7KQFQN6KRANTPPHALRW9A MANDAATREFERTE  : YGAYU1XCULZ4UQUA MEDEDELING      : CHARGEMAP"/>
    <s v="Uitgave"/>
    <n v="-33.72"/>
    <x v="2"/>
    <s v="OK"/>
  </r>
  <r>
    <d v="2025-09-05T00:00:00"/>
    <x v="8"/>
    <n v="-8.2100000000000009"/>
    <x v="16"/>
    <s v="BETALING VIA DEBIT MASTERCARD        08-09 05-09-2025 OM 18.23 UUR APOTHEEK ARIE FREDERIK BE8510 MARKE MET APPLE PAY 5127 88XX XXXX 8113 VIRTUEEL KAARTNUMMER CONTACTLOZE BETALING: 5354 00XX XXXX 8030 KAARTHOUDER: BOMBAERT BRAM"/>
    <s v="Uitgave"/>
    <n v="-8.2100000000000009"/>
    <x v="2"/>
    <s v="OK"/>
  </r>
  <r>
    <d v="2025-09-05T00:00:00"/>
    <x v="8"/>
    <n v="-10"/>
    <x v="7"/>
    <s v="BETALING VIA DEBIT MASTERCARD        08-09 05-09-2025 OM 16.50 UUR EURO-CAFETARIA BVBA BE8800 ROESELARE MET APPLE PAY 5127 88XX XXXX 8113 VIRTUEEL KAARTNUMMER CONTACTLOZE BETALING: 5354 00XX XXXX 8030 KAARTHOUDER: BOMBAERT BRAM"/>
    <s v="Uitgave"/>
    <n v="-10"/>
    <x v="1"/>
    <s v="OK"/>
  </r>
  <r>
    <d v="2025-09-05T00:00:00"/>
    <x v="8"/>
    <n v="-4"/>
    <x v="16"/>
    <s v="INSTANTOVERSCHRIJVING NAAR           05-09 BE62 7370 5288 6261 BANKIER BEGUNSTIGDE: KREDBEBBXXX MERIJN DEGRAVE WERO BOMBAERT BRAM OM 18.11 MET WERO"/>
    <s v="Uitgave"/>
    <n v="-4"/>
    <x v="2"/>
    <s v="OK"/>
  </r>
  <r>
    <d v="2025-09-05T00:00:00"/>
    <x v="8"/>
    <n v="44.8"/>
    <x v="16"/>
    <s v="OVERSCHRIJVING VAN                   05-09 BE54 3101 0027 0097 BANKIER OPDRACHTGEVER: BBRUBEBB DKV BELGIUM UITKERING DD 04.09.2025 POLIS : 358543901 REFERENTIE: 2025247358543901X000000000000001"/>
    <s v="Inkomst"/>
    <n v="44.8"/>
    <x v="2"/>
    <s v="OK"/>
  </r>
  <r>
    <d v="2025-09-05T00:00:00"/>
    <x v="8"/>
    <n v="-12.01"/>
    <x v="21"/>
    <s v="EUROPESE DOMICILIERING               05-09 SCHULDEISER     : EUROMEX NV REF. SCHULDEISER: BALN-BE-EMX-P-D9MT4TPRZUAWCR MANDAATREFERTE  : 30507E MEDEDELING      : SCOR                   BBA                   250982198544"/>
    <s v="Uitgave"/>
    <n v="-12.01"/>
    <x v="2"/>
    <s v="OK"/>
  </r>
  <r>
    <d v="2025-09-05T00:00:00"/>
    <x v="8"/>
    <n v="-96.82"/>
    <x v="4"/>
    <s v="EUROPESE DOMICILIERING               05-09 SCHULDEISER     : DATS 24  NV REF. SCHULDEISER: 030305154580 REF: 2530082 MANDAATREFERTE  : DAKL-000000538161-5-1 MEDEDELING      : 2530082 DATS24 00737137"/>
    <s v="Uitgave"/>
    <n v="-96.82"/>
    <x v="2"/>
    <s v="OK"/>
  </r>
  <r>
    <d v="2025-09-06T00:00:00"/>
    <x v="8"/>
    <n v="-2.99"/>
    <x v="48"/>
    <s v="BETALING VIA DEBIT MASTERCARD        08-09 06-09-2025 OM 16.53 UUR AVA KUURNE BE8520 KUURNE MET APPLE PAY 5127 88XX XXXX 8113 VIRTUEEL KAARTNUMMER CONTACTLOZE BETALING: 5354 00XX XXXX 8030 KAARTHOUDER: BOMBAERT BRAM"/>
    <s v="Uitgave"/>
    <n v="-2.99"/>
    <x v="1"/>
    <s v="OK"/>
  </r>
  <r>
    <d v="2025-09-06T00:00:00"/>
    <x v="8"/>
    <n v="-12.39"/>
    <x v="2"/>
    <s v="BETALING VIA DEBIT MASTERCARD        08-09 06-09-2025 OM 12.33 UUR LIDL 803 KORTRIJK 2 BE8500 KORTRIJK MET APPLE PAY 5127 88XX XXXX 8113 VIRTUEEL KAARTNUMMER CONTACTLOZE BETALING: 5354 00XX XXXX 8030 KAARTHOUDER: BOMBAERT BRAM"/>
    <s v="Uitgave"/>
    <n v="-12.39"/>
    <x v="2"/>
    <s v="OK"/>
  </r>
  <r>
    <d v="2025-09-06T00:00:00"/>
    <x v="8"/>
    <n v="-125.81"/>
    <x v="55"/>
    <s v="TERUGBETALING                        06-09 LENING OP AFBETALING VOLGENS AFLOSSINGSPLAN REFERENTIE 420-6466664-69"/>
    <s v="Uitgave"/>
    <n v="-125.81"/>
    <x v="2"/>
    <s v="OK"/>
  </r>
  <r>
    <d v="2025-09-07T00:00:00"/>
    <x v="8"/>
    <n v="-33.4"/>
    <x v="9"/>
    <s v="BETALING VIA DEBIT MASTERCARD        09-09 07-09-2025 OM 15.54 UUR NATA BE8500 KORTRIJK MET APPLE PAY 5127 88XX XXXX 8113 VIRTUEEL KAARTNUMMER CONTACTLOZE BETALING: 5354 00XX XXXX 8030 KAARTHOUDER: BOMBAERT BRAM"/>
    <s v="Uitgave"/>
    <n v="-33.4"/>
    <x v="1"/>
    <s v="OK"/>
  </r>
  <r>
    <d v="2025-09-07T00:00:00"/>
    <x v="8"/>
    <n v="-3.54"/>
    <x v="2"/>
    <s v="BETALING VIA DEBIT MASTERCARD        09-09 07-09-2025 OM 11.48 UUR CARREFOUR MARKE BE8510 MARKE MET APPLE PAY 5127 88XX XXXX 8113 VIRTUEEL KAARTNUMMER CONTACTLOZE BETALING: 5354 00XX XXXX 7841 KAARTHOUDER: BOMBAERT BRAM"/>
    <s v="Uitgave"/>
    <n v="-3.54"/>
    <x v="2"/>
    <s v="OK"/>
  </r>
  <r>
    <d v="2025-09-07T00:00:00"/>
    <x v="8"/>
    <n v="-38.56"/>
    <x v="25"/>
    <s v="BETALING VIA DEBIT MASTERCARD        09-09 07-09-2025 OM 16.08 UUR KRUIDVAT 8095 KORTRIJK BE8500 KORTRIJK MET APPLE PAY 5127 88XX XXXX 8113 VIRTUEEL KAARTNUMMER CONTACTLOZE BETALING: 5354 00XX XXXX 8030 KAARTHOUDER: BOMBAERT BRAM"/>
    <s v="Uitgave"/>
    <n v="-38.56"/>
    <x v="1"/>
    <s v="OK"/>
  </r>
  <r>
    <d v="2025-09-08T00:00:00"/>
    <x v="8"/>
    <n v="-19.600000000000001"/>
    <x v="7"/>
    <s v="BETALING VIA DEBIT MASTERCARD        09-09 08-09-2025 OM 12.21 UUR KWARTO  N.V. BE8560 WEVELGEM MET APPLE PAY 5127 88XX XXXX 8113 VIRTUEEL KAARTNUMMER CONTACTLOZE BETALING: 5354 00XX XXXX 8030 KAARTHOUDER: BOMBAERT BRAM"/>
    <s v="Uitgave"/>
    <n v="-19.600000000000001"/>
    <x v="1"/>
    <s v="OK"/>
  </r>
  <r>
    <d v="2025-09-08T00:00:00"/>
    <x v="8"/>
    <n v="-14"/>
    <x v="22"/>
    <s v="BETALING VIA DEBIT MASTERCARD        09-09 08-09-2025 OM 16.06 UUR EURO SHOP KORTRIJK BE8800 ROESELARE MET APPLE PAY 5127 88XX XXXX 8113 VIRTUEEL KAARTNUMMER CONTACTLOZE BETALING: 5354 00XX XXXX 8030 KAARTHOUDER: BOMBAERT BRAM"/>
    <s v="Uitgave"/>
    <n v="-14"/>
    <x v="1"/>
    <s v="OK"/>
  </r>
  <r>
    <d v="2025-09-08T00:00:00"/>
    <x v="8"/>
    <n v="-10.29"/>
    <x v="2"/>
    <s v="BETALING VIA DEBIT MASTERCARD        09-09 08-09-2025 OM 16.21 UUR LIDL 803 KORTRIJK 2 BE8500 KORTRIJK MET APPLE PAY 5127 88XX XXXX 8113 VIRTUEEL KAARTNUMMER CONTACTLOZE BETALING: 5354 00XX XXXX 8030 KAARTHOUDER: BOMBAERT BRAM"/>
    <s v="Uitgave"/>
    <n v="-10.29"/>
    <x v="2"/>
    <s v="OK"/>
  </r>
  <r>
    <d v="2025-09-08T00:00:00"/>
    <x v="8"/>
    <n v="-6.71"/>
    <x v="2"/>
    <s v="BETALING VIA DEBIT MASTERCARD        09-09 08-09-2025 OM 12.36 UUR LIDL 803 KORTRIJK 2 BE8500 KORTRIJK MET APPLE PAY 5127 88XX XXXX 8113 VIRTUEEL KAARTNUMMER CONTACTLOZE BETALING: 5354 00XX XXXX 8030 KAARTHOUDER: BOMBAERT BRAM"/>
    <s v="Uitgave"/>
    <n v="-6.71"/>
    <x v="2"/>
    <s v="OK"/>
  </r>
  <r>
    <d v="2025-09-08T00:00:00"/>
    <x v="8"/>
    <n v="-5.88"/>
    <x v="17"/>
    <s v="BETALING VIA DEBIT MASTERCARD        09-09 08-09-2025 OM 19.29 UUR GFM*GOFUNDME IE2 GOFUNDME.COM MET APPLE PAY 5127 88XX XXXX 8113 VIRTUEEL KAARTNUMMER CONTACTLOZE BETALING: 5354 00XX XXXX 7841 KAARTHOUDER: BOMBAERT BRAM"/>
    <s v="Uitgave"/>
    <n v="-5.88"/>
    <x v="1"/>
    <s v="OK"/>
  </r>
  <r>
    <d v="2025-09-08T00:00:00"/>
    <x v="8"/>
    <n v="-1.5"/>
    <x v="11"/>
    <s v="BETALING VIA MAESTRO                 08-09 05-09-2025 OM 12.02 UUR VALINSOPAY NL NL WIJK EN AALBU MET APPLE PAY 6703 42XX XXXX X901 0 VIRTUEEL KAARTNUMMER CONTACTLOZE BETALING: 6790 28XX XXXX X658 7 KAARTHOUDER: ROTTY CHRISTOFF"/>
    <s v="Uitgave"/>
    <n v="-1.5"/>
    <x v="1"/>
    <s v="OK"/>
  </r>
  <r>
    <d v="2025-09-08T00:00:00"/>
    <x v="8"/>
    <n v="-1.5"/>
    <x v="11"/>
    <s v="BETALING VIA MAESTRO                 08-09 05-09-2025 OM 08.43 UUR VALINSOPAY NL NL WIJK EN AALBU MET APPLE PAY 6703 42XX XXXX X901 0 VIRTUEEL KAARTNUMMER CONTACTLOZE BETALING: 6790 28XX XXXX X658 7 KAARTHOUDER: ROTTY CHRISTOFF"/>
    <s v="Uitgave"/>
    <n v="-1.5"/>
    <x v="1"/>
    <s v="OK"/>
  </r>
  <r>
    <d v="2025-09-08T00:00:00"/>
    <x v="8"/>
    <n v="-1.5"/>
    <x v="11"/>
    <s v="BETALING VIA MAESTRO                 08-09 04-09-2025 OM 13.52 UUR VALINSOPAY NL NL WIJK EN AALBU MET APPLE PAY 6703 42XX XXXX X901 0 VIRTUEEL KAARTNUMMER CONTACTLOZE BETALING: 6790 28XX XXXX X658 7 KAARTHOUDER: ROTTY CHRISTOFF"/>
    <s v="Uitgave"/>
    <n v="-1.5"/>
    <x v="1"/>
    <s v="OK"/>
  </r>
  <r>
    <d v="2025-09-08T00:00:00"/>
    <x v="8"/>
    <n v="-810.65"/>
    <x v="19"/>
    <s v="EUROPESE DOMICILIERING               08-09 SCHULDEISER     : ONESTO KREDIETMAATSCHAPPIJ REF. SCHULDEISER: CASHFLOW-60002071 MANDAATREFERTE  : BE96SDA077001313774 MEDEDELING      : DOSSIER 077001313774 - 01092025"/>
    <s v="Uitgave"/>
    <n v="-810.65"/>
    <x v="2"/>
    <s v="OK"/>
  </r>
  <r>
    <d v="2025-09-09T00:00:00"/>
    <x v="8"/>
    <n v="-1.5"/>
    <x v="11"/>
    <s v="BETALING VIA MAESTRO                 09-09 08-09-2025 OM 12.15 UUR VALINSOPAY NL NL WIJK EN AALBU MET APPLE PAY 6703 42XX XXXX X901 0 VIRTUEEL KAARTNUMMER CONTACTLOZE BETALING: 6790 28XX XXXX X658 7 KAARTHOUDER: ROTTY CHRISTOFF"/>
    <s v="Uitgave"/>
    <n v="-1.5"/>
    <x v="1"/>
    <s v="OK"/>
  </r>
  <r>
    <d v="2025-09-10T00:00:00"/>
    <x v="8"/>
    <n v="-2.82"/>
    <x v="2"/>
    <s v="BETALING VIA DEBIT MASTERCARD        11-09 10-09-2025 OM 18.27 UUR CARREFOUR MARKE BE8510 MARKE MET APPLE PAY 5127 88XX XXXX 8113 VIRTUEEL KAARTNUMMER CONTACTLOZE BETALING: 5354 00XX XXXX 8030 KAARTHOUDER: BOMBAERT BRAM"/>
    <s v="Uitgave"/>
    <n v="-2.82"/>
    <x v="2"/>
    <s v="OK"/>
  </r>
  <r>
    <d v="2025-09-10T00:00:00"/>
    <x v="8"/>
    <n v="-5.89"/>
    <x v="2"/>
    <s v="BETALING VIA DEBIT MASTERCARD        11-09 10-09-2025 OM 15.33 UUR CARREFOUR MARKE BE8510 MARKE MET APPLE PAY 5127 88XX XXXX 8113 VIRTUEEL KAARTNUMMER CONTACTLOZE BETALING: 5354 00XX XXXX 8030 KAARTHOUDER: BOMBAERT BRAM"/>
    <s v="Uitgave"/>
    <n v="-5.89"/>
    <x v="2"/>
    <s v="OK"/>
  </r>
  <r>
    <d v="2025-09-10T00:00:00"/>
    <x v="8"/>
    <n v="-8.81"/>
    <x v="2"/>
    <s v="BETALING VIA DEBIT MASTERCARD        11-09 10-09-2025 OM 15.13 UUR LIDL 803 KORTRIJK 2 BE8500 KORTRIJK MET APPLE PAY 5127 88XX XXXX 8113 VIRTUEEL KAARTNUMMER CONTACTLOZE BETALING: 5354 00XX XXXX 8030 KAARTHOUDER: BOMBAERT BRAM"/>
    <s v="Uitgave"/>
    <n v="-8.81"/>
    <x v="2"/>
    <s v="OK"/>
  </r>
  <r>
    <d v="2025-09-10T00:00:00"/>
    <x v="8"/>
    <n v="-131.71"/>
    <x v="65"/>
    <s v="BETALING VIA DEBIT MASTERCARD        11-09 10-09-2025 OM 14.31 UUR BARISEAU-MOTTRIE K BE8500 KORTRIJK MET KBC-DEBETKAART 5127 88XX XXXX 8113 KAARTHOUDER: BOMBAERT BRAM"/>
    <s v="Uitgave"/>
    <n v="-131.71"/>
    <x v="1"/>
    <s v="OK"/>
  </r>
  <r>
    <d v="2025-09-10T00:00:00"/>
    <x v="8"/>
    <n v="-9.6999999999999993"/>
    <x v="16"/>
    <s v="BETALING VIA BANCONTACT              10-09 10-09-2025 OM 14.52 UUR MEDI-MARKET KORTRIJK BE8500 KORTRIJK MET KBC-DEBETKAART 5127 88XX XXXX 8113 KAARTHOUDER: BOMBAERT BRAM"/>
    <s v="Uitgave"/>
    <n v="-9.6999999999999993"/>
    <x v="2"/>
    <s v="OK"/>
  </r>
  <r>
    <d v="2025-09-10T00:00:00"/>
    <x v="8"/>
    <n v="-1.5"/>
    <x v="11"/>
    <s v="BETALING VIA MAESTRO                 10-09 09-09-2025 OM 09.16 UUR VALINSOPAY NL NL WIJK EN AALBU MET APPLE PAY 6703 42XX XXXX X901 0 VIRTUEEL KAARTNUMMER CONTACTLOZE BETALING: 6790 28XX XXXX X658 7 KAARTHOUDER: ROTTY CHRISTOFF"/>
    <s v="Uitgave"/>
    <n v="-1.5"/>
    <x v="1"/>
    <s v="OK"/>
  </r>
  <r>
    <d v="2025-09-11T00:00:00"/>
    <x v="8"/>
    <n v="-14"/>
    <x v="22"/>
    <s v="BETALING VIA DEBIT MASTERCARD        12-09 11-09-2025 OM 15.44 UUR EURO SHOP KORTRIJK BE8800 ROESELARE MET APPLE PAY 5127 88XX XXXX 8113 VIRTUEEL KAARTNUMMER CONTACTLOZE BETALING: 5354 00XX XXXX 8030 KAARTHOUDER: BOMBAERT BRAM"/>
    <s v="Uitgave"/>
    <n v="-14"/>
    <x v="1"/>
    <s v="OK"/>
  </r>
  <r>
    <d v="2025-09-11T00:00:00"/>
    <x v="8"/>
    <n v="-0.72"/>
    <x v="2"/>
    <s v="BETALING VIA DEBIT MASTERCARD        12-09 11-09-2025 OM 17.12 UUR CARREFOUR MARKE BE8510 MARKE MET APPLE PAY 5127 88XX XXXX 8113 VIRTUEEL KAARTNUMMER CONTACTLOZE BETALING: 5354 00XX XXXX 7841 KAARTHOUDER: BOMBAERT BRAM"/>
    <s v="Uitgave"/>
    <n v="-0.72"/>
    <x v="2"/>
    <s v="OK"/>
  </r>
  <r>
    <d v="2025-09-11T00:00:00"/>
    <x v="8"/>
    <n v="-1.5"/>
    <x v="11"/>
    <s v="BETALING VIA MAESTRO                 11-09 10-09-2025 OM 12.25 UUR VALINSOPAY NL NL WIJK EN AALBU MET APPLE PAY 6703 42XX XXXX X901 0 VIRTUEEL KAARTNUMMER CONTACTLOZE BETALING: 6790 28XX XXXX X658 7 KAARTHOUDER: ROTTY CHRISTOFF"/>
    <s v="Uitgave"/>
    <n v="-1.5"/>
    <x v="1"/>
    <s v="OK"/>
  </r>
  <r>
    <d v="2025-09-11T00:00:00"/>
    <x v="8"/>
    <n v="-1.5"/>
    <x v="11"/>
    <s v="BETALING VIA MAESTRO                 11-09 10-09-2025 OM 10.17 UUR VALINSOPAY NL NL WIJK EN AALBU MET APPLE PAY 6703 42XX XXXX X901 0 VIRTUEEL KAARTNUMMER CONTACTLOZE BETALING: 6790 28XX XXXX X658 7 KAARTHOUDER: ROTTY CHRISTOFF"/>
    <s v="Uitgave"/>
    <n v="-1.5"/>
    <x v="1"/>
    <s v="OK"/>
  </r>
  <r>
    <d v="2025-09-11T00:00:00"/>
    <x v="8"/>
    <n v="-1.1000000000000001"/>
    <x v="11"/>
    <s v="BETALING VIA MAESTRO                 11-09 10-09-2025 OM 08.25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09-11T00:00:00"/>
    <x v="8"/>
    <n v="-2.46"/>
    <x v="4"/>
    <s v="BETALING VIA MAESTRO                 11-09 10-09-2025 OM 11.11 UUR OVO CHARGE ANYWH GB BRISTOL MET KBC-DEBETKAART 6703 42XX XXXX X901 0 KAARTHOUDER: ROTTY CHRISTOFF"/>
    <s v="Uitgave"/>
    <n v="-2.46"/>
    <x v="2"/>
    <s v="OK"/>
  </r>
  <r>
    <d v="2025-09-12T00:00:00"/>
    <x v="8"/>
    <n v="-21.5"/>
    <x v="66"/>
    <s v="BETALING VIA DEBIT MASTERCARD        15-09 12-09-2025 OM 16.26 UUR STD BH 405 WEVELGEM BE8560 WEVELGEM MET APPLE PAY 5127 88XX XXXX 8113 VIRTUEEL KAARTNUMMER CONTACTLOZE BETALING: 5354 00XX XXXX 8030 KAARTHOUDER: BOMBAERT BRAM"/>
    <s v="Uitgave"/>
    <n v="-21.5"/>
    <x v="1"/>
    <s v="OK"/>
  </r>
  <r>
    <d v="2025-09-12T00:00:00"/>
    <x v="8"/>
    <n v="-15"/>
    <x v="9"/>
    <s v="BETALING VIA BANCONTACT              15-09 12-09-2025 OM 22.48 UUR BART P2P MOBILE MET KBC-DEBETKAART 5127 88XX XXXX 8113 KAARTHOUDER: BOMBAERT BRAM"/>
    <s v="Uitgave"/>
    <n v="-15"/>
    <x v="1"/>
    <s v="OK"/>
  </r>
  <r>
    <d v="2025-09-12T00:00:00"/>
    <x v="8"/>
    <n v="-49"/>
    <x v="45"/>
    <s v="OVERSCHRIJVING NAAR                  12-09 BE25 0972 3100 4082 BANKIER BEGUNSTIGDE: GKCCBEBB PROVINCIE WEST-VLAANDEREN 311526048546 MET KBC-BETAALKNOP/DOCCLE"/>
    <s v="Uitgave"/>
    <n v="-49"/>
    <x v="2"/>
    <s v="OK"/>
  </r>
  <r>
    <d v="2025-09-12T00:00:00"/>
    <x v="8"/>
    <n v="-1.1000000000000001"/>
    <x v="11"/>
    <s v="BETALING VIA MAESTRO                 12-09 11-09-2025 OM 09.26 UUR VALINSOPAY NL NL WIJK EN AALBU MET APPLE PAY 6703 42XX XXXX X901 0 VIRTUEEL KAARTNUMMER CONTACTLOZE BETALING: 6790 28XX XXXX X005 7 KAARTHOUDER: ROTTY CHRISTOFF"/>
    <s v="Uitgave"/>
    <n v="-1.1000000000000001"/>
    <x v="1"/>
    <s v="OK"/>
  </r>
  <r>
    <d v="2025-09-12T00:00:00"/>
    <x v="8"/>
    <n v="-1.5"/>
    <x v="11"/>
    <s v="BETALING VIA MAESTRO                 12-09 11-09-2025 OM 13.40 UUR VALINSOPAY NL NL WIJK EN AALBU MET APPLE PAY 6703 42XX XXXX X901 0 VIRTUEEL KAARTNUMMER CONTACTLOZE BETALING: 6790 28XX XXXX X658 7 KAARTHOUDER: ROTTY CHRISTOFF"/>
    <s v="Uitgave"/>
    <n v="-1.5"/>
    <x v="1"/>
    <s v="OK"/>
  </r>
  <r>
    <d v="2025-09-12T00:00:00"/>
    <x v="8"/>
    <n v="-1.5"/>
    <x v="11"/>
    <s v="BETALING VIA MAESTRO                 12-09 11-09-2025 OM 09.54 UUR VALINSOPAY NL NL WIJK EN AALBU MET APPLE PAY 6703 42XX XXXX X901 0 VIRTUEEL KAARTNUMMER CONTACTLOZE BETALING: 6790 28XX XXXX X658 7 KAARTHOUDER: ROTTY CHRISTOFF"/>
    <s v="Uitgave"/>
    <n v="-1.5"/>
    <x v="1"/>
    <s v="OK"/>
  </r>
  <r>
    <d v="2025-09-12T00:00:00"/>
    <x v="8"/>
    <n v="-8"/>
    <x v="4"/>
    <s v="BETALING VIA MAESTRO                 12-09 11-09-2025 OM 11.20 UUR OVO CHARGE ANYWHERE GB BRISTOL MET APPLE PAY 6703 42XX XXXX X901 0 VIRTUEEL KAARTNUMMER CONTACTLOZE BETALING: 6790 28XX XXXX X658 7 KAARTHOUDER: ROTTY CHRISTOFF"/>
    <s v="Uitgave"/>
    <n v="-8"/>
    <x v="2"/>
    <s v="OK"/>
  </r>
  <r>
    <d v="2025-09-13T00:00:00"/>
    <x v="8"/>
    <n v="-6.09"/>
    <x v="2"/>
    <s v="BETALING VIA DEBIT MASTERCARD        15-09 13-09-2025 OM 16.16 UUR CARREFOUR MARKE BE8510 MARKE MET APPLE PAY 5127 88XX XXXX 8113 VIRTUEEL KAARTNUMMER CONTACTLOZE BETALING: 5354 00XX XXXX 8030 KAARTHOUDER: BOMBAERT BRAM"/>
    <s v="Uitgave"/>
    <n v="-6.09"/>
    <x v="2"/>
    <s v="OK"/>
  </r>
  <r>
    <d v="2025-09-13T00:00:00"/>
    <x v="8"/>
    <n v="-21.8"/>
    <x v="2"/>
    <s v="BETALING VIA DEBIT MASTERCARD        15-09 13-09-2025 OM 15.45 UUR LIDL 803 KORTRIJK 2 BE8500 KORTRIJK MET APPLE PAY 5127 88XX XXXX 8113 VIRTUEEL KAARTNUMMER CONTACTLOZE BETALING: 5354 00XX XXXX 8030 KAARTHOUDER: BOMBAERT BRAM"/>
    <s v="Uitgave"/>
    <n v="-21.8"/>
    <x v="2"/>
    <s v="OK"/>
  </r>
  <r>
    <d v="2025-09-14T00:00:00"/>
    <x v="8"/>
    <n v="-69"/>
    <x v="17"/>
    <s v="BETALING VIA DEBIT MASTERCARD        15-09 14-09-2025 OM 00.00 UUR APPLE.COM FR FR75008 0805-540-303 MET APPLE PAY 5127 88XX XXXX 8113 VIRTUEEL KAARTNUMMER CONTACTLOZE BETALING: 5354 00XX XXXX 7841 KAARTHOUDER: BOMBAERT BRAM"/>
    <s v="Uitgave"/>
    <n v="-69"/>
    <x v="1"/>
    <s v="OK"/>
  </r>
  <r>
    <d v="2025-09-15T00:00:00"/>
    <x v="8"/>
    <n v="-1.3"/>
    <x v="11"/>
    <s v="BETALING VIA MAESTRO                 15-09 12-09-2025 OM 16.16 UUR VALINSOPAY NL NL WIJK EN AALBU MET APPLE PAY 6703 42XX XXXX X901 0 VIRTUEEL KAARTNUMMER CONTACTLOZE BETALING: 6790 28XX XXXX X658 7 KAARTHOUDER: ROTTY CHRISTOFF"/>
    <s v="Uitgave"/>
    <n v="-1.3"/>
    <x v="1"/>
    <s v="OK"/>
  </r>
  <r>
    <d v="2025-09-15T00:00:00"/>
    <x v="8"/>
    <n v="-1.5"/>
    <x v="11"/>
    <s v="BETALING VIA MAESTRO                 15-09 12-09-2025 OM 08.32 UUR VALINSOPAY NL NL WIJK EN AALBU MET APPLE PAY 6703 42XX XXXX X901 0 VIRTUEEL KAARTNUMMER CONTACTLOZE BETALING: 6790 28XX XXXX X658 7 KAARTHOUDER: ROTTY CHRISTOFF"/>
    <s v="Uitgave"/>
    <n v="-1.5"/>
    <x v="1"/>
    <s v="OK"/>
  </r>
  <r>
    <d v="2025-09-15T00:00:00"/>
    <x v="8"/>
    <n v="-1.1000000000000001"/>
    <x v="11"/>
    <s v="BETALING VIA MAESTRO                 15-09 12-09-2025 OM 15.21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09-15T00:00:00"/>
    <x v="8"/>
    <n v="-15.88"/>
    <x v="2"/>
    <s v="BETALING VIA DEBIT MASTERCARD        16-09 15-09-2025 OM 13.43 UUR LIDL 803 KORTRIJK 2 BE8500 KORTRIJK MET APPLE PAY 5127 88XX XXXX 8113 VIRTUEEL KAARTNUMMER CONTACTLOZE BETALING: 5354 00XX XXXX 7841 KAARTHOUDER: BOMBAERT BRAM"/>
    <s v="Uitgave"/>
    <n v="-15.88"/>
    <x v="2"/>
    <s v="OK"/>
  </r>
  <r>
    <d v="2025-09-16T00:00:00"/>
    <x v="8"/>
    <n v="-7.22"/>
    <x v="2"/>
    <s v="BETALING VIA DEBIT MASTERCARD        17-09 16-09-2025 OM 16.32 UUR LIDL 803 KORTRIJK 2 BE8500 KORTRIJK MET APPLE PAY 5127 88XX XXXX 8113 VIRTUEEL KAARTNUMMER CONTACTLOZE BETALING: 5354 00XX XXXX 8030 KAARTHOUDER: BOMBAERT BRAM"/>
    <s v="Uitgave"/>
    <n v="-7.22"/>
    <x v="2"/>
    <s v="OK"/>
  </r>
  <r>
    <d v="2025-09-16T00:00:00"/>
    <x v="8"/>
    <n v="-26"/>
    <x v="16"/>
    <s v="BETALING VIA BANCONTACT              17-09 16-09-2025 OM 17.15 UUR LIEN P2P MOBILE MET KBC-DEBETKAART 5127 88XX XXXX 8113 KAARTHOUDER: BOMBAERT BRAM"/>
    <s v="Uitgave"/>
    <n v="-26"/>
    <x v="2"/>
    <s v="OK"/>
  </r>
  <r>
    <d v="2025-09-16T00:00:00"/>
    <x v="8"/>
    <n v="-95"/>
    <x v="12"/>
    <s v="BETALING VIA BANCONTACT              16-09 16-09-2025 OM 15.57 UUR CORPORATE BENEFITS BEN BE3500 HASSELT MET KBC-DEBETKAART 6703 42XX XXXX X901 0 KAARTHOUDER: ROTTY CHRISTOFF INFO VAN DE HANDELAAR: 7499G97 E-BENELUX-25-1007059"/>
    <s v="Uitgave"/>
    <n v="-95"/>
    <x v="1"/>
    <s v="OK"/>
  </r>
  <r>
    <d v="2025-09-16T00:00:00"/>
    <x v="8"/>
    <n v="-1.5"/>
    <x v="11"/>
    <s v="BETALING VIA MAESTRO                 16-09 15-09-2025 OM 12.09 UUR VALINSOPAY NL NL WIJK EN AALBU MET APPLE PAY 6703 42XX XXXX X901 0 VIRTUEEL KAARTNUMMER CONTACTLOZE BETALING: 6790 28XX XXXX X658 7 KAARTHOUDER: ROTTY CHRISTOFF"/>
    <s v="Uitgave"/>
    <n v="-1.5"/>
    <x v="1"/>
    <s v="OK"/>
  </r>
  <r>
    <d v="2025-09-16T00:00:00"/>
    <x v="8"/>
    <n v="-1.5"/>
    <x v="11"/>
    <s v="BETALING VIA MAESTRO                 16-09 15-09-2025 OM 09.45 UUR VALINSOPAY NL NL WIJK EN AALBU MET APPLE PAY 6703 42XX XXXX X901 0 VIRTUEEL KAARTNUMMER CONTACTLOZE BETALING: 6790 28XX XXXX X658 7 KAARTHOUDER: ROTTY CHRISTOFF"/>
    <s v="Uitgave"/>
    <n v="-1.5"/>
    <x v="1"/>
    <s v="OK"/>
  </r>
  <r>
    <d v="2025-09-16T00:00:00"/>
    <x v="8"/>
    <n v="-90"/>
    <x v="27"/>
    <s v="EUROPESE DOMICILIERING               16-09 SCHULDEISER     : BALOISE BELGIUM NV REF. SCHULDEISER: 0000000000000024459998128 MANDAATREFERTE  : 202025687747 MEDEDELING      : POL.1B57806 VERV.10/09/25 9841"/>
    <s v="Uitgave"/>
    <n v="-90"/>
    <x v="2"/>
    <s v="OK"/>
  </r>
  <r>
    <d v="2025-09-16T00:00:00"/>
    <x v="8"/>
    <n v="-81.66"/>
    <x v="27"/>
    <s v="EUROPESE DOMICILIERING               16-09 SCHULDEISER     : BALOISE BELGIUM NV REF. SCHULDEISER: 0000000000000024456579280 MANDAATREFERTE  : 202025682289 MEDEDELING      : POL.1A02635 VERV.10/09/25 9841"/>
    <s v="Uitgave"/>
    <n v="-81.66"/>
    <x v="2"/>
    <s v="OK"/>
  </r>
  <r>
    <d v="2025-09-16T00:00:00"/>
    <x v="8"/>
    <n v="-5"/>
    <x v="30"/>
    <s v="EUROPESE DOMICILIERING               16-09 SCHULDEISER     : DIGI COMMUNICATIONS BELGIUM NV REF. SCHULDEISER: 000009716467-774849 MANDAATREFERTE  : 1D574ED99E164823 MEDEDELING      : DIGI FACTUUR - SEPTEMBER 2025"/>
    <s v="Uitgave"/>
    <n v="-5"/>
    <x v="2"/>
    <s v="OK"/>
  </r>
  <r>
    <d v="2025-09-17T00:00:00"/>
    <x v="8"/>
    <n v="-2.99"/>
    <x v="2"/>
    <s v="BETALING VIA DEBIT MASTERCARD        19-09 17-09-2025 OM 12.50 UUR CARREFOUR MARKE BE8510 MARKE MET APPLE PAY 5127 88XX XXXX 8113 VIRTUEEL KAARTNUMMER CONTACTLOZE BETALING: 5354 00XX XXXX 7841 KAARTHOUDER: BOMBAERT BRAM"/>
    <s v="Uitgave"/>
    <n v="-2.99"/>
    <x v="2"/>
    <s v="OK"/>
  </r>
  <r>
    <d v="2025-09-17T00:00:00"/>
    <x v="8"/>
    <n v="-5.68"/>
    <x v="2"/>
    <s v="BETALING VIA DEBIT MASTERCARD        19-09 17-09-2025 OM 12.33 UUR LIDL 861 WEVELGEM BE8560 WEVELGEM MET APPLE PAY 5127 88XX XXXX 8113 VIRTUEEL KAARTNUMMER CONTACTLOZE BETALING: 5354 00XX XXXX 8030 KAARTHOUDER: BOMBAERT BRAM"/>
    <s v="Uitgave"/>
    <n v="-5.68"/>
    <x v="2"/>
    <s v="OK"/>
  </r>
  <r>
    <d v="2025-09-17T00:00:00"/>
    <x v="8"/>
    <n v="-6"/>
    <x v="50"/>
    <s v="BETALING VIA MAESTRO                 17-09 16-09-2025 OM 17.01 UUR DECATHLON 384 KORTRIJK BE KORTRIJK MET APPLE PAY 6703 42XX XXXX X901 0 VIRTUEEL KAARTNUMMER CONTACTLOZE BETALING: 6790 28XX XXXX X658 7 KAARTHOUDER: ROTTY CHRISTOFF"/>
    <s v="Uitgave"/>
    <n v="-6"/>
    <x v="1"/>
    <s v="OK"/>
  </r>
  <r>
    <d v="2025-09-17T00:00:00"/>
    <x v="8"/>
    <n v="-1.5"/>
    <x v="11"/>
    <s v="BETALING VIA MAESTRO                 17-09 16-09-2025 OM 13.45 UUR VALINSOPAY NL NL WIJK EN AALBU MET APPLE PAY 6703 42XX XXXX X901 0 VIRTUEEL KAARTNUMMER CONTACTLOZE BETALING: 6790 28XX XXXX X658 7 KAARTHOUDER: ROTTY CHRISTOFF"/>
    <s v="Uitgave"/>
    <n v="-1.5"/>
    <x v="1"/>
    <s v="OK"/>
  </r>
  <r>
    <d v="2025-09-17T00:00:00"/>
    <x v="8"/>
    <n v="-1.5"/>
    <x v="11"/>
    <s v="BETALING VIA MAESTRO                 17-09 16-09-2025 OM 11.08 UUR VALINSOPAY NL NL WIJK EN AALBU MET APPLE PAY 6703 42XX XXXX X901 0 VIRTUEEL KAARTNUMMER CONTACTLOZE BETALING: 6790 28XX XXXX X658 7 KAARTHOUDER: ROTTY CHRISTOFF"/>
    <s v="Uitgave"/>
    <n v="-1.5"/>
    <x v="1"/>
    <s v="OK"/>
  </r>
  <r>
    <d v="2025-09-17T00:00:00"/>
    <x v="8"/>
    <n v="207.96"/>
    <x v="16"/>
    <s v="OVERSCHRIJVING VAN                   17-09 BE42 8782 7051 0154 BANKIER OPDRACHTGEVER: BNAGBEBBXXX SOLIDARIS W.-VLAANDEREN /C/ 40258250916/RAADPL OP 140125/COTTENIER HOBIE  /25 0916823472006 REFERENTIE: 334"/>
    <s v="Inkomst"/>
    <n v="207.96"/>
    <x v="2"/>
    <s v="OK"/>
  </r>
  <r>
    <d v="2025-09-17T00:00:00"/>
    <x v="8"/>
    <n v="-2.31"/>
    <x v="4"/>
    <s v="BETALING VIA MAESTRO                 17-09 16-09-2025 OM 11.45 UUR OVO CHARGE ANYWH GB BRISTOL MET KBC-DEBETKAART 6703 42XX XXXX X901 0 KAARTHOUDER: ROTTY CHRISTOFF"/>
    <s v="Uitgave"/>
    <n v="-2.31"/>
    <x v="2"/>
    <s v="OK"/>
  </r>
  <r>
    <d v="2025-09-18T00:00:00"/>
    <x v="8"/>
    <n v="-8.2799999999999994"/>
    <x v="2"/>
    <s v="BETALING VIA DEBIT MASTERCARD        19-09 18-09-2025 OM 16.55 UUR CARREFOUR MARKE BE8510 MARKE MET APPLE PAY 5127 88XX XXXX 8113 VIRTUEEL KAARTNUMMER CONTACTLOZE BETALING: 5354 00XX XXXX 8030 KAARTHOUDER: BOMBAERT BRAM"/>
    <s v="Uitgave"/>
    <n v="-8.2799999999999994"/>
    <x v="2"/>
    <s v="OK"/>
  </r>
  <r>
    <d v="2025-09-18T00:00:00"/>
    <x v="8"/>
    <n v="-30.35"/>
    <x v="2"/>
    <s v="BETALING VIA DEBIT MASTERCARD        19-09 18-09-2025 OM 16.45 UUR LIDL 803 KORTRIJK 2 BE8500 KORTRIJK MET APPLE PAY 5127 88XX XXXX 8113 VIRTUEEL KAARTNUMMER CONTACTLOZE BETALING: 5354 00XX XXXX 8030 KAARTHOUDER: BOMBAERT BRAM"/>
    <s v="Uitgave"/>
    <n v="-30.35"/>
    <x v="2"/>
    <s v="OK"/>
  </r>
  <r>
    <d v="2025-09-18T00:00:00"/>
    <x v="8"/>
    <n v="-1.5"/>
    <x v="11"/>
    <s v="BETALING VIA MAESTRO                 18-09 17-09-2025 OM 12.11 UUR VALINSOPAY NL NL WIJK EN AALBU MET APPLE PAY 6703 42XX XXXX X901 0 VIRTUEEL KAARTNUMMER CONTACTLOZE BETALING: 6790 28XX XXXX X658 7 KAARTHOUDER: ROTTY CHRISTOFF"/>
    <s v="Uitgave"/>
    <n v="-1.5"/>
    <x v="1"/>
    <s v="OK"/>
  </r>
  <r>
    <d v="2025-09-18T00:00:00"/>
    <x v="8"/>
    <n v="-1.5"/>
    <x v="11"/>
    <s v="BETALING VIA MAESTRO                 18-09 17-09-2025 OM 15.03 UUR VALINSOPAY NL NL WIJK EN AALBU MET APPLE PAY 6703 42XX XXXX X901 0 VIRTUEEL KAARTNUMMER CONTACTLOZE BETALING: 6790 28XX XXXX X658 7 KAARTHOUDER: ROTTY CHRISTOFF"/>
    <s v="Uitgave"/>
    <n v="-1.5"/>
    <x v="1"/>
    <s v="OK"/>
  </r>
  <r>
    <d v="2025-09-19T00:00:00"/>
    <x v="8"/>
    <n v="-63"/>
    <x v="9"/>
    <s v="BETALING VIA DEBIT MASTERCARD        22-09 19-09-2025 OM 19.36 UUR MUZE BE8500 KORTRIJK MET APPLE PAY 5127 88XX XXXX 8113 VIRTUEEL KAARTNUMMER CONTACTLOZE BETALING: 5354 00XX XXXX 8030 KAARTHOUDER: BOMBAERT BRAM"/>
    <s v="Uitgave"/>
    <n v="-63"/>
    <x v="1"/>
    <s v="OK"/>
  </r>
  <r>
    <d v="2025-09-19T00:00:00"/>
    <x v="8"/>
    <n v="-317.5"/>
    <x v="16"/>
    <s v="OVERSCHRIJVING NAAR                  19-09 BE29 1036 0003 1964 BANKIER BEGUNSTIGDE: NICABEBBXXX COTTENIER KINE ROTTY C MET KBC MOBILE"/>
    <s v="Uitgave"/>
    <n v="-317.5"/>
    <x v="2"/>
    <s v="OK"/>
  </r>
  <r>
    <d v="2025-09-19T00:00:00"/>
    <x v="8"/>
    <n v="-5"/>
    <x v="51"/>
    <s v="BETALING VIA BANCONTACT              19-09 19-09-2025 OM 13.47 UUR ORANGE BRUXELLES BE1140 BRUSSEL MET KBC-DEBETKAART 6703 42XX XXXX X901 0 KAARTHOUDER: ROTTY CHRISTOFF"/>
    <s v="Uitgave"/>
    <n v="-5"/>
    <x v="2"/>
    <s v="OK"/>
  </r>
  <r>
    <d v="2025-09-19T00:00:00"/>
    <x v="8"/>
    <n v="-1.5"/>
    <x v="11"/>
    <s v="BETALING VIA MAESTRO                 19-09 18-09-2025 OM 15.12 UUR VALINSOPAY NL NL WIJK EN AALBU MET APPLE PAY 6703 42XX XXXX X901 0 VIRTUEEL KAARTNUMMER CONTACTLOZE BETALING: 6790 28XX XXXX X658 7 KAARTHOUDER: ROTTY CHRISTOFF"/>
    <s v="Uitgave"/>
    <n v="-1.5"/>
    <x v="1"/>
    <s v="OK"/>
  </r>
  <r>
    <d v="2025-09-20T00:00:00"/>
    <x v="8"/>
    <n v="-7"/>
    <x v="2"/>
    <s v="BETALING VIA DEBIT MASTERCARD        22-09 20-09-2025 OM 15.27 UUR STARBUCKS FR59800 LILLE MET APPLE PAY 5127 88XX XXXX 8113 VIRTUEEL KAARTNUMMER CONTACTLOZE BETALING: 5354 00XX XXXX 8030 KAARTHOUDER: BOMBAERT BRAM"/>
    <s v="Uitgave"/>
    <n v="-7"/>
    <x v="2"/>
    <s v="OK"/>
  </r>
  <r>
    <d v="2025-09-20T00:00:00"/>
    <x v="8"/>
    <n v="-39.33"/>
    <x v="2"/>
    <s v="BETALING VIA DEBIT MASTERCARD        22-09 20-09-2025 OM 12.20 UUR LIDL 803 KORTRIJK 2 BE8500 KORTRIJK MET APPLE PAY 5127 88XX XXXX 8113 VIRTUEEL KAARTNUMMER CONTACTLOZE BETALING: 5354 00XX XXXX 8030 KAARTHOUDER: BOMBAERT BRAM"/>
    <s v="Uitgave"/>
    <n v="-39.33"/>
    <x v="2"/>
    <s v="OK"/>
  </r>
  <r>
    <d v="2025-09-20T00:00:00"/>
    <x v="8"/>
    <n v="-10.87"/>
    <x v="17"/>
    <s v="BETALING VIA DEBIT MASTERCARD        22-09 20-09-2025 OM 11.41 UUR FLORALUX DADIZELE BE8890 DADIZELE MET APPLE PAY 5127 88XX XXXX 8113 VIRTUEEL KAARTNUMMER CONTACTLOZE BETALING: 5354 00XX XXXX 8030 KAARTHOUDER: BOMBAERT BRAM"/>
    <s v="Uitgave"/>
    <n v="-10.87"/>
    <x v="1"/>
    <s v="OK"/>
  </r>
  <r>
    <d v="2025-09-20T00:00:00"/>
    <x v="8"/>
    <n v="-10.26"/>
    <x v="7"/>
    <s v="BETALING VIA BANCONTACT              22-09 20-09-2025 OM 10.34 UUR KWARTO  N.V. BE9000 GENT MET KBC-DEBETKAART 5127 88XX XXXX 8113 KAARTHOUDER: BOMBAERT BRAM"/>
    <s v="Uitgave"/>
    <n v="-10.26"/>
    <x v="1"/>
    <s v="OK"/>
  </r>
  <r>
    <d v="2025-09-21T00:00:00"/>
    <x v="8"/>
    <n v="-7.25"/>
    <x v="22"/>
    <s v="BETALING VIA DEBIT MASTERCARD        22-09 21-09-2025 OM 11.21 UUR EURO SHOP KORTRIJK BE8800 ROESELARE MET APPLE PAY 5127 88XX XXXX 8113 VIRTUEEL KAARTNUMMER CONTACTLOZE BETALING: 5354 00XX XXXX 8030 KAARTHOUDER: BOMBAERT BRAM"/>
    <s v="Uitgave"/>
    <n v="-7.25"/>
    <x v="1"/>
    <s v="OK"/>
  </r>
  <r>
    <d v="2025-09-21T00:00:00"/>
    <x v="8"/>
    <n v="-3.53"/>
    <x v="2"/>
    <s v="BETALING VIA DEBIT MASTERCARD        22-09 21-09-2025 OM 17.34 UUR CARREFOUR MARKE BE8510 MARKE MET KBC-DEBETKAART 5127 88XX XXXX 8113 KAARTHOUDER: BOMBAERT BRAM"/>
    <s v="Uitgave"/>
    <n v="-3.53"/>
    <x v="2"/>
    <s v="OK"/>
  </r>
  <r>
    <d v="2025-09-21T00:00:00"/>
    <x v="8"/>
    <n v="-6.05"/>
    <x v="2"/>
    <s v="BETALING VIA DEBIT MASTERCARD        22-09 21-09-2025 OM 10.54 UUR CARREFOUR MARKE BE8510 MARKE MET KBC-DEBETKAART 5127 88XX XXXX 8113 KAARTHOUDER: BOMBAERT BRAM"/>
    <s v="Uitgave"/>
    <n v="-6.05"/>
    <x v="2"/>
    <s v="OK"/>
  </r>
  <r>
    <d v="2025-09-22T00:00:00"/>
    <x v="8"/>
    <n v="-0.61"/>
    <x v="2"/>
    <s v="BETALING VIA DEBIT MASTERCARD        23-09 22-09-2025 OM 17.22 UUR CARREFOUR MARKE BE8510 MARKE MET KBC-DEBETKAART 5127 88XX XXXX 8113 KAARTHOUDER: BOMBAERT BRAM"/>
    <s v="Uitgave"/>
    <n v="-0.61"/>
    <x v="2"/>
    <s v="OK"/>
  </r>
  <r>
    <d v="2025-09-22T00:00:00"/>
    <x v="8"/>
    <n v="-62.65"/>
    <x v="2"/>
    <s v="BETALING VIA DEBIT MASTERCARD        23-09 22-09-2025 OM 14.05 UUR LIDL 803 KORTRIJK 2 BE8500 KORTRIJK MET APPLE PAY 5127 88XX XXXX 8113 VIRTUEEL KAARTNUMMER CONTACTLOZE BETALING: 5354 00XX XXXX 8030 KAARTHOUDER: BOMBAERT BRAM"/>
    <s v="Uitgave"/>
    <n v="-62.65"/>
    <x v="2"/>
    <s v="OK"/>
  </r>
  <r>
    <d v="2025-09-22T00:00:00"/>
    <x v="8"/>
    <n v="-1.66"/>
    <x v="4"/>
    <s v="BETALING VIA MAESTRO                 22-09 22-09-2025 OM 00.43 UUR OVO CHARGE ANYWHERE GB BRISTOL MET APPLE PAY 6703 42XX XXXX X901 0 VIRTUEEL KAARTNUMMER CONTACTLOZE BETALING: 6790 28XX XXXX X658 7 KAARTHOUDER: ROTTY CHRISTOFF"/>
    <s v="Uitgave"/>
    <n v="-1.66"/>
    <x v="2"/>
    <s v="OK"/>
  </r>
  <r>
    <d v="2025-09-22T00:00:00"/>
    <x v="8"/>
    <n v="-5"/>
    <x v="4"/>
    <s v="BETALING VIA MAESTRO                 22-09 22-09-2025 OM 00.43 UUR OVO CHARGE ANYWHERE GB BRISTOL MET APPLE PAY 6703 42XX XXXX X901 0 VIRTUEEL KAARTNUMMER CONTACTLOZE BETALING: 6790 28XX XXXX X658 7 KAARTHOUDER: ROTTY CHRISTOFF"/>
    <s v="Uitgave"/>
    <n v="-5"/>
    <x v="2"/>
    <s v="OK"/>
  </r>
  <r>
    <d v="2025-09-22T00:00:00"/>
    <x v="8"/>
    <n v="-2.9"/>
    <x v="5"/>
    <s v="BETALING VIA MAESTRO                 22-09 20-09-2025 OM 16.29 UUR EFFIA FR LILLE MET APPLE PAY 6703 42XX XXXX X901 0 VIRTUEEL KAARTNUMMER CONTACTLOZE BETALING: 6790 28XX XXXX X658 7 KAARTHOUDER: ROTTY CHRISTOFF"/>
    <s v="Uitgave"/>
    <n v="-2.9"/>
    <x v="1"/>
    <s v="OK"/>
  </r>
  <r>
    <d v="2025-09-22T00:00:00"/>
    <x v="8"/>
    <n v="-1.5"/>
    <x v="11"/>
    <s v="BETALING VIA MAESTRO                 22-09 19-09-2025 OM 09.59 UUR VALINSOPAY NL NL WIJK EN AALBU MET APPLE PAY 6703 42XX XXXX X901 0 VIRTUEEL KAARTNUMMER CONTACTLOZE BETALING: 6790 28XX XXXX X658 7 KAARTHOUDER: ROTTY CHRISTOFF"/>
    <s v="Uitgave"/>
    <n v="-1.5"/>
    <x v="1"/>
    <s v="OK"/>
  </r>
  <r>
    <d v="2025-09-22T00:00:00"/>
    <x v="8"/>
    <n v="-1.5"/>
    <x v="11"/>
    <s v="BETALING VIA MAESTRO                 22-09 19-09-2025 OM 11.31 UUR VALINSOPAY NL NL WIJK EN AALBU MET APPLE PAY 6703 42XX XXXX X901 0 VIRTUEEL KAARTNUMMER CONTACTLOZE BETALING: 6790 28XX XXXX X658 7 KAARTHOUDER: ROTTY CHRISTOFF"/>
    <s v="Uitgave"/>
    <n v="-1.5"/>
    <x v="1"/>
    <s v="OK"/>
  </r>
  <r>
    <d v="2025-09-22T00:00:00"/>
    <x v="8"/>
    <n v="-1.5"/>
    <x v="11"/>
    <s v="BETALING VIA MAESTRO                 22-09 19-09-2025 OM 14.55 UUR VALINSOPAY NL NL WIJK EN AALBU MET APPLE PAY 6703 42XX XXXX X901 0 VIRTUEEL KAARTNUMMER CONTACTLOZE BETALING: 6790 28XX XXXX X658 7 KAARTHOUDER: ROTTY CHRISTOFF"/>
    <s v="Uitgave"/>
    <n v="-1.5"/>
    <x v="1"/>
    <s v="OK"/>
  </r>
  <r>
    <d v="2025-09-22T00:00:00"/>
    <x v="8"/>
    <n v="-1.22"/>
    <x v="4"/>
    <s v="BETALING VIA MAESTRO                 22-09 20-09-2025 OM 03.06 UUR OVO CHARGE ANYWHERE GB BRISTOL MET APPLE PAY 6703 42XX XXXX X901 0 VIRTUEEL KAARTNUMMER CONTACTLOZE BETALING: 6790 28XX XXXX X658 7 KAARTHOUDER: ROTTY CHRISTOFF"/>
    <s v="Uitgave"/>
    <n v="-1.22"/>
    <x v="2"/>
    <s v="OK"/>
  </r>
  <r>
    <d v="2025-09-22T00:00:00"/>
    <x v="8"/>
    <n v="-5"/>
    <x v="4"/>
    <s v="BETALING VIA MAESTRO                 22-09 20-09-2025 OM 03.06 UUR OVO CHARGE ANYWHERE GB BRISTOL MET APPLE PAY 6703 42XX XXXX X901 0 VIRTUEEL KAARTNUMMER CONTACTLOZE BETALING: 6790 28XX XXXX X658 7 KAARTHOUDER: ROTTY CHRISTOFF"/>
    <s v="Uitgave"/>
    <n v="-5"/>
    <x v="2"/>
    <s v="OK"/>
  </r>
  <r>
    <d v="2025-09-22T00:00:00"/>
    <x v="8"/>
    <n v="-53.29"/>
    <x v="33"/>
    <s v="EUROPESE DOMICILIERING               22-09 SCHULDEISER     : AXA REF. SCHULDEISER: 20250916010859105373008544 MANDAATREFERTE  : 010817143526001 MEDEDELING      : 0108171435261042025-09-222025090000 0010817143526"/>
    <s v="Uitgave"/>
    <n v="-53.29"/>
    <x v="2"/>
    <s v="OK"/>
  </r>
  <r>
    <d v="2025-09-22T00:00:00"/>
    <x v="8"/>
    <n v="-33.549999999999997"/>
    <x v="31"/>
    <s v="EUROPESE DOMICILIERING               22-09 SCHULDEISER     : CARDIF -ASSURANCE VIE REF. SCHULDEISER: RF11250546863438241718437 MANDAATREFERTE  : CARDIF-8742994/01 MEDEDELING      : SCOR                   ISO                   RF11250546863438241718437"/>
    <s v="Uitgave"/>
    <n v="-33.549999999999997"/>
    <x v="2"/>
    <s v="OK"/>
  </r>
  <r>
    <d v="2025-09-23T00:00:00"/>
    <x v="8"/>
    <n v="-12.77"/>
    <x v="2"/>
    <s v="BETALING VIA DEBIT MASTERCARD        24-09 23-09-2025 OM 17.47 UUR JUMBO LAUWE BE8930 MENEN MET APPLE PAY 5127 88XX XXXX 8113 VIRTUEEL KAARTNUMMER CONTACTLOZE BETALING: 5354 00XX XXXX 8030 KAARTHOUDER: BOMBAERT BRAM"/>
    <s v="Uitgave"/>
    <n v="-12.77"/>
    <x v="2"/>
    <s v="OK"/>
  </r>
  <r>
    <d v="2025-09-23T00:00:00"/>
    <x v="8"/>
    <n v="-296.89999999999998"/>
    <x v="17"/>
    <s v="INSTANTOVERSCHRIJVING NAAR           23-09 BE14 4658 1635 7183 BANKIER BEGUNSTIGDE: KREDBEBBXXX D.C.S. BV 562500035941 OM 20.23 UUR MET KBC MOBILE"/>
    <s v="Uitgave"/>
    <n v="-296.89999999999998"/>
    <x v="1"/>
    <s v="OK"/>
  </r>
  <r>
    <d v="2025-09-23T00:00:00"/>
    <x v="8"/>
    <n v="-1.5"/>
    <x v="11"/>
    <s v="BETALING VIA MAESTRO                 23-09 22-09-2025 OM 10.02 UUR VALINSOPAY NL NL WIJK EN AALBU MET APPLE PAY 6703 42XX XXXX X901 0 VIRTUEEL KAARTNUMMER CONTACTLOZE BETALING: 6790 28XX XXXX X658 7 KAARTHOUDER: ROTTY CHRISTOFF"/>
    <s v="Uitgave"/>
    <n v="-1.5"/>
    <x v="1"/>
    <s v="OK"/>
  </r>
  <r>
    <d v="2025-09-23T00:00:00"/>
    <x v="8"/>
    <n v="-26.83"/>
    <x v="2"/>
    <s v="BETALING VIA MAESTRO                 23-09 22-09-2025 OM 12.26 UUR COLRUYT LEDEBERG BE GENT MET APPLE PAY 6703 42XX XXXX X901 0 VIRTUEEL KAARTNUMMER CONTACTLOZE BETALING: 6790 28XX XXXX X658 7 KAARTHOUDER: ROTTY CHRISTOFF"/>
    <s v="Uitgave"/>
    <n v="-26.83"/>
    <x v="2"/>
    <s v="OK"/>
  </r>
  <r>
    <d v="2025-09-24T00:00:00"/>
    <x v="8"/>
    <n v="-29.86"/>
    <x v="2"/>
    <s v="BETALING VIA DEBIT MASTERCARD        25-09 24-09-2025 OM 15.23 UUR LIDL 803 KORTRIJK 2 BE8500 KORTRIJK MET APPLE PAY 5127 88XX XXXX 8113 VIRTUEEL KAARTNUMMER CONTACTLOZE BETALING: 5354 00XX XXXX 8030 KAARTHOUDER: BOMBAERT BRAM"/>
    <s v="Uitgave"/>
    <n v="-29.86"/>
    <x v="2"/>
    <s v="OK"/>
  </r>
  <r>
    <d v="2025-09-24T00:00:00"/>
    <x v="8"/>
    <n v="-38"/>
    <x v="12"/>
    <s v="OVERSCHRIJVING NAAR                  24-09 BE79 3632 2576 6833 BANKIER BEGUNSTIGDE: CURASIEN GESPECIALISEERDE VOETVERZO PAYCONIQ 67C2F63092D106ED6EC3E091 CURASIEN GESPECIALI SEER SIENTORFS MET PAYCONIQ IN KBC MOBILE"/>
    <s v="Uitgave"/>
    <n v="-38"/>
    <x v="1"/>
    <s v="OK"/>
  </r>
  <r>
    <d v="2025-09-24T00:00:00"/>
    <x v="8"/>
    <n v="250"/>
    <x v="17"/>
    <s v="MOBIELE BETALING                     24-09 DATUM: 23-09-2025 OM 14.09"/>
    <s v="Inkomst"/>
    <n v="250"/>
    <x v="1"/>
    <s v="OK"/>
  </r>
  <r>
    <d v="2025-09-25T00:00:00"/>
    <x v="8"/>
    <n v="-17.809999999999999"/>
    <x v="2"/>
    <s v="BETALING VIA DEBIT MASTERCARD        29-09 25-09-2025 OM 12.46 UUR ALDI 26 MARKE BE8510 MARKE MET APPLE PAY 5127 88XX XXXX 8113 VIRTUEEL KAARTNUMMER CONTACTLOZE BETALING: 5354 00XX XXXX 8030 KAARTHOUDER: BOMBAERT BRAM"/>
    <s v="Uitgave"/>
    <n v="-17.809999999999999"/>
    <x v="2"/>
    <s v="OK"/>
  </r>
  <r>
    <d v="2025-09-25T00:00:00"/>
    <x v="8"/>
    <n v="-8.06"/>
    <x v="2"/>
    <s v="BETALING VIA DEBIT MASTERCARD        26-09 25-09-2025 OM 12.30 UUR LIDL 803 KORTRIJK 2 BE8500 KORTRIJK MET APPLE PAY 5127 88XX XXXX 8113 VIRTUEEL KAARTNUMMER CONTACTLOZE BETALING: 5354 00XX XXXX 8030 KAARTHOUDER: BOMBAERT BRAM"/>
    <s v="Uitgave"/>
    <n v="-8.06"/>
    <x v="2"/>
    <s v="OK"/>
  </r>
  <r>
    <d v="2025-09-25T00:00:00"/>
    <x v="8"/>
    <n v="-3.99"/>
    <x v="2"/>
    <s v="BETALING VIA DEBIT MASTERCARD        26-09 25-09-2025 OM 13.19 UUR CARREFOUR MARKE BE8510 MARKE MET APPLE PAY 5127 88XX XXXX 8113 VIRTUEEL KAARTNUMMER CONTACTLOZE BETALING: 5354 00XX XXXX 7841 KAARTHOUDER: BOMBAERT BRAM"/>
    <s v="Uitgave"/>
    <n v="-3.99"/>
    <x v="2"/>
    <s v="OK"/>
  </r>
  <r>
    <d v="2025-09-25T00:00:00"/>
    <x v="8"/>
    <n v="-29.99"/>
    <x v="29"/>
    <s v="BETALING VIA DEBIT MASTERCARD        26-09 25-09-2025 OM 16.15 UUR COOLBLUE N.V. BE2600 BERCHEM MET APPLE PAY 5127 88XX XXXX 8113 VIRTUEEL KAARTNUMMER CONTACTLOZE BETALING: 5354 00XX XXXX 7841 KAARTHOUDER: BOMBAERT BRAM"/>
    <s v="Uitgave"/>
    <n v="-29.99"/>
    <x v="1"/>
    <s v="OK"/>
  </r>
  <r>
    <d v="2025-09-26T00:00:00"/>
    <x v="8"/>
    <n v="-2.59"/>
    <x v="2"/>
    <s v="BETALING VIA DEBIT MASTERCARD        29-09 26-09-2025 OM 13.35 UUR OKAY WEVELGEM 4258 BE8560 WEVELGEM MET APPLE PAY 5127 88XX XXXX 8113 VIRTUEEL KAARTNUMMER CONTACTLOZE BETALING: 5354 00XX XXXX 8030 KAARTHOUDER: BOMBAERT BRAM"/>
    <s v="Uitgave"/>
    <n v="-2.59"/>
    <x v="2"/>
    <s v="OK"/>
  </r>
  <r>
    <d v="2025-09-26T00:00:00"/>
    <x v="8"/>
    <n v="-5.27"/>
    <x v="2"/>
    <s v="BETALING VIA DEBIT MASTERCARD        29-09 26-09-2025 OM 16.33 UUR CARREFOUR MARKE BE8510 MARKE MET APPLE PAY 5127 88XX XXXX 8113 VIRTUEEL KAARTNUMMER CONTACTLOZE BETALING: 5354 00XX XXXX 8030 KAARTHOUDER: BOMBAERT BRAM"/>
    <s v="Uitgave"/>
    <n v="-5.27"/>
    <x v="2"/>
    <s v="OK"/>
  </r>
  <r>
    <d v="2025-09-26T00:00:00"/>
    <x v="8"/>
    <n v="-20"/>
    <x v="7"/>
    <s v="INSTANTOVERSCHRIJVING NAAR           26-09 BE52 7370 6382 2609 BANKIER BEGUNSTIGDE: KREDBEBBXXX ATTENTIEFONDS SPWE OM 17.15 UUR MET KBC MOBILE"/>
    <s v="Uitgave"/>
    <n v="-20"/>
    <x v="1"/>
    <s v="OK"/>
  </r>
  <r>
    <d v="2025-09-26T00:00:00"/>
    <x v="8"/>
    <n v="-8.8000000000000007"/>
    <x v="2"/>
    <s v="OVERSCHRIJVING NAAR                  26-09 BE86 9733 9742 0350 BANKIER BEGUNSTIGDE: DOMINIQUE DE CLERCQ PAYCONIQ B60190127E0AE5E99E8A828A DOMINIQUE DE CLERCQ  CHRISTOFF ROTTY MET PAYCONIQ IN KBC MOBILE"/>
    <s v="Uitgave"/>
    <n v="-8.8000000000000007"/>
    <x v="2"/>
    <s v="OK"/>
  </r>
  <r>
    <d v="2025-09-26T00:00:00"/>
    <x v="8"/>
    <n v="-1.2"/>
    <x v="11"/>
    <s v="BETALING VIA MAESTRO                 26-09 25-09-2025 OM 13.14 UUR VALINSOPAY NL NL WIJK EN AALBU MET APPLE PAY 6703 42XX XXXX X901 0 VIRTUEEL KAARTNUMMER CONTACTLOZE BETALING: 6790 28XX XXXX X658 7 KAARTHOUDER: ROTTY CHRISTOFF"/>
    <s v="Uitgave"/>
    <n v="-1.2"/>
    <x v="1"/>
    <s v="OK"/>
  </r>
  <r>
    <d v="2025-09-26T00:00:00"/>
    <x v="8"/>
    <n v="-120.98"/>
    <x v="33"/>
    <s v="EUROPESE DOMICILIERING               26-09 SCHULDEISER     : AXA REF. SCHULDEISER: 20250920011959008298011403 MANDAATREFERTE  : 010624258692001 MEDEDELING      : 0106242586921042025-09-262025090000 0010624258692"/>
    <s v="Uitgave"/>
    <n v="-120.98"/>
    <x v="2"/>
    <s v="OK"/>
  </r>
  <r>
    <d v="2025-09-27T00:00:00"/>
    <x v="8"/>
    <n v="-150"/>
    <x v="44"/>
    <s v="GELDOPNEMING VIA BANCONTACT          29-09 27-09-2025 OM 11.30 UUR CASH RINGLAAN KORTRIJK MET KBC-DEBETKAART 5127 88XX XXXX 8113"/>
    <s v="Uitgave"/>
    <n v="-150"/>
    <x v="1"/>
    <s v="OK"/>
  </r>
  <r>
    <d v="2025-09-27T00:00:00"/>
    <x v="8"/>
    <n v="-10"/>
    <x v="12"/>
    <s v="BETALING VIA BANCONTACT              29-09 27-09-2025 OM 09.40 UUR BIJ DEBORAH BV BE8510 MARKE MET KBC-DEBETKAART 5127 88XX XXXX 8113 KAARTHOUDER: BOMBAERT BRAM"/>
    <s v="Uitgave"/>
    <n v="-10"/>
    <x v="1"/>
    <s v="OK"/>
  </r>
  <r>
    <d v="2025-09-27T00:00:00"/>
    <x v="8"/>
    <n v="-25"/>
    <x v="13"/>
    <s v="BETALING VIA BANCONTACT              29-09 27-09-2025 OM 09.32 UUR VERLINDE LAUREN BE8510 MARKE MET KBC-DEBETKAART 5127 88XX XXXX 8113 KAARTHOUDER: BOMBAERT BRAM"/>
    <s v="Uitgave"/>
    <n v="-25"/>
    <x v="2"/>
    <s v="OK"/>
  </r>
  <r>
    <d v="2025-09-29T00:00:00"/>
    <x v="8"/>
    <n v="-6.49"/>
    <x v="15"/>
    <s v="BETALING VIA DEBIT MASTERCARD        01-10 29-09-2025 OM 18.15 UUR IKEA GENT-STORE BE9051 SINT-DENIJS-W MET APPLE PAY 5127 88XX XXXX 8113 VIRTUEEL KAARTNUMMER CONTACTLOZE BETALING: 5354 00XX XXXX 8030 KAARTHOUDER: BOMBAERT BRAM"/>
    <s v="Uitgave"/>
    <n v="-6.49"/>
    <x v="1"/>
    <s v="OK"/>
  </r>
  <r>
    <d v="2025-09-29T00:00:00"/>
    <x v="8"/>
    <n v="-21.61"/>
    <x v="2"/>
    <s v="BETALING VIA DEBIT MASTERCARD        30-09 29-09-2025 OM 14.30 UUR LIDL 803 KORTRIJK 2 BE8500 KORTRIJK MET APPLE PAY 5127 88XX XXXX 8113 VIRTUEEL KAARTNUMMER CONTACTLOZE BETALING: 5354 00XX XXXX 8030 KAARTHOUDER: BOMBAERT BRAM"/>
    <s v="Uitgave"/>
    <n v="-21.61"/>
    <x v="2"/>
    <s v="OK"/>
  </r>
  <r>
    <d v="2025-09-29T00:00:00"/>
    <x v="8"/>
    <n v="-53.5"/>
    <x v="67"/>
    <s v="BETALING VIA BANCONTACT              29-09 29-09-2025 OM 10.29 UUR LUCIE P2P MOBILE MET KBC-DEBETKAART 6703 42XX XXXX X901 0 KAARTHOUDER: ROTTY CHRISTOFF"/>
    <e v="#N/A"/>
    <e v="#N/A"/>
    <x v="3"/>
    <e v="#N/A"/>
  </r>
  <r>
    <d v="2025-09-29T00:00:00"/>
    <x v="8"/>
    <n v="-18"/>
    <x v="67"/>
    <s v="EUROPESE DOMICILIERING               29-09 SCHULDEISER     : ORANGE REF. SCHULDEISER: A68QM07O MANDAATREFERTE  : 7808001 MEDEDELING      : SCOR                   BBA                   112263350427"/>
    <e v="#N/A"/>
    <e v="#N/A"/>
    <x v="3"/>
    <e v="#N/A"/>
  </r>
  <r>
    <d v="2025-09-30T00:00:00"/>
    <x v="8"/>
    <n v="-5.25"/>
    <x v="67"/>
    <s v="BIJDRAGE 01-09-2025 - 30-09-2025     30-09 KBC-PLUSREKENING"/>
    <e v="#N/A"/>
    <e v="#N/A"/>
    <x v="3"/>
    <e v="#N/A"/>
  </r>
  <r>
    <d v="2025-09-30T00:00:00"/>
    <x v="8"/>
    <n v="-50.6"/>
    <x v="3"/>
    <s v="EUROPESE DOMICILIERING               30-09 SCHULDEISER     : KBC VERZEKERINGEN REF. SCHULDEISER: 391148574934 MANDAATREFERTE  : L00194638787V0001 EIGEN OMSCHR.   : HOSPITALISATIEVERZEKERING MEDEDELING      : POL.54467509 30/09/2025-31/10/2025 HOSPITALISATIEVERZEKERING"/>
    <s v="Uitgave"/>
    <n v="-50.6"/>
    <x v="2"/>
    <s v="OK"/>
  </r>
  <r>
    <d v="2025-09-30T00:00:00"/>
    <x v="8"/>
    <n v="-61.83"/>
    <x v="37"/>
    <s v="EUROPESE DOMICILIERING               30-09 SCHULDEISER     : TELENET BV REF. SCHULDEISER: 115343185311194401203 MANDAATREFERTE  : 001285135 MEDEDELING      : ACCOUNT: 115343185 REF : 3111944012 03"/>
    <s v="Uitgave"/>
    <n v="-61.83"/>
    <x v="2"/>
    <s v="OK"/>
  </r>
  <r>
    <d v="2025-09-30T00:00:00"/>
    <x v="8"/>
    <n v="-377.41"/>
    <x v="36"/>
    <s v="BETALING LEASING                     30-09 0001/0001/BE/2502972617"/>
    <s v="Uitgave"/>
    <n v="-377.41"/>
    <x v="2"/>
    <s v="OK"/>
  </r>
  <r>
    <d v="2025-09-30T00:00:00"/>
    <x v="8"/>
    <n v="-132.5"/>
    <x v="12"/>
    <s v="BETALING VIA DEBIT MASTERCARD        02-10 30-09-2025 OM 17.40 UUR KORTRIJK KUURNE BE8500 KORTRIJK MET APPLE PAY 5127 88XX XXXX 8113 VIRTUEEL KAARTNUMMER CONTACTLOZE BETALING: 5354 00XX XXXX 8030 KAARTHOUDER: BOMBAERT BRAM"/>
    <s v="Uitgave"/>
    <n v="-132.5"/>
    <x v="1"/>
    <s v="OK"/>
  </r>
  <r>
    <d v="2025-09-30T00:00:00"/>
    <x v="8"/>
    <n v="-5.24"/>
    <x v="2"/>
    <s v="BETALING VIA DEBIT MASTERCARD        02-10 30-09-2025 OM 12.25 UUR CARREFOUR MARKE BE8510 MARKE MET APPLE PAY 5127 88XX XXXX 8113 VIRTUEEL KAARTNUMMER CONTACTLOZE BETALING: 5354 00XX XXXX 8030 KAARTHOUDER: BOMBAERT BRAM"/>
    <s v="Uitgave"/>
    <n v="-5.24"/>
    <x v="2"/>
    <s v="OK"/>
  </r>
  <r>
    <d v="2025-09-30T00:00:00"/>
    <x v="8"/>
    <n v="-13.18"/>
    <x v="2"/>
    <s v="BETALING VIA DEBIT MASTERCARD        02-10 30-09-2025 OM 14.27 UUR LIDL 803 KORTRIJK 2 BE8500 KORTRIJK MET APPLE PAY 5127 88XX XXXX 8113 VIRTUEEL KAARTNUMMER CONTACTLOZE BETALING: 5354 00XX XXXX 8030 KAARTHOUDER: BOMBAERT BRAM"/>
    <s v="Uitgave"/>
    <n v="-13.18"/>
    <x v="2"/>
    <s v="OK"/>
  </r>
  <r>
    <d v="2025-09-30T00:00:00"/>
    <x v="8"/>
    <n v="-71.180000000000007"/>
    <x v="12"/>
    <s v="BETALING VIA DEBIT MASTERCARD        02-10 30-09-2025 OM 13.50 UUR JULES M1073 BE8500 KORTRIJK MET KBC-DEBETKAART 5127 88XX XXXX 8113 KAARTHOUDER: BOMBAERT BRAM"/>
    <s v="Uitgave"/>
    <n v="-71.180000000000007"/>
    <x v="1"/>
    <s v="OK"/>
  </r>
  <r>
    <d v="2025-09-30T00:00:00"/>
    <x v="8"/>
    <n v="-112.98"/>
    <x v="12"/>
    <s v="BETALING VIA DEBIT MASTERCARD        02-10 30-09-2025 OM 17.17 UUR ONLY STORES BELGIUM BE8500 KORTRIJK MET APPLE PAY 5127 88XX XXXX 8113 VIRTUEEL KAARTNUMMER CONTACTLOZE BETALING: 5354 00XX XXXX 8030 KAARTHOUDER: BOMBAERT BRAM"/>
    <s v="Uitgave"/>
    <n v="-112.98"/>
    <x v="1"/>
    <s v="OK"/>
  </r>
  <r>
    <d v="2025-09-30T00:00:00"/>
    <x v="8"/>
    <n v="-20.059999999999999"/>
    <x v="53"/>
    <s v="BETALING VIA DEBIT MASTERCARD        02-10 30-09-2025 OM 14.04 UUR ACTION 2058 BE8500 KORTRIJK MET APPLE PAY 5127 88XX XXXX 8113 VIRTUEEL KAARTNUMMER CONTACTLOZE BETALING: 5354 00XX XXXX 8030 KAARTHOUDER: BOMBAERT BRAM"/>
    <s v="Uitgave"/>
    <n v="-20.059999999999999"/>
    <x v="1"/>
    <s v="OK"/>
  </r>
  <r>
    <d v="2025-10-01T00:00:00"/>
    <x v="9"/>
    <n v="2805.88"/>
    <x v="0"/>
    <s v="kbc"/>
    <s v="Inkomst"/>
    <n v="2805.88"/>
    <x v="0"/>
    <s v="OK"/>
  </r>
  <r>
    <d v="2025-10-01T00:00:00"/>
    <x v="9"/>
    <n v="2399.4299999999998"/>
    <x v="0"/>
    <s v="OVERSCHRIJVING VAN                   30-09 BE64 3751 1173 1652 BANKIER OPDRACHTGEVER: BBRUBEBB VVM DE LIJN ALGEMENE REK /A/ 29076 LOON VVM 09/2025"/>
    <s v="Inkomst"/>
    <n v="2399.4299999999998"/>
    <x v="0"/>
    <s v="OK"/>
  </r>
  <r>
    <d v="2025-10-01T00:00:00"/>
    <x v="9"/>
    <n v="-7.99"/>
    <x v="2"/>
    <s v="BETALING VIA DEBIT MASTERCARD        02-10 01-10-2025 OM 14.29 UUR CARREFOUR MARKE BE8510 MARKE MET KBC-DEBETKAART 5127 88XX XXXX 8113 KAARTHOUDER: BOMBAERT BRAM"/>
    <s v="Uitgave"/>
    <n v="-7.99"/>
    <x v="2"/>
    <s v="OK"/>
  </r>
  <r>
    <d v="2025-10-01T00:00:00"/>
    <x v="9"/>
    <n v="-2.09"/>
    <x v="2"/>
    <s v="BETALING VIA DEBIT MASTERCARD        02-10 01-10-2025 OM 16.46 UUR LIDL 803 KORTRIJK 2 BE8500 KORTRIJK MET APPLE PAY 5127 88XX XXXX 8113 VIRTUEEL KAARTNUMMER CONTACTLOZE BETALING: 5354 00XX XXXX 7841 KAARTHOUDER: BOMBAERT BRAM"/>
    <s v="Uitgave"/>
    <n v="-2.09"/>
    <x v="2"/>
    <s v="OK"/>
  </r>
  <r>
    <d v="2025-10-01T00:00:00"/>
    <x v="9"/>
    <n v="-7.85"/>
    <x v="2"/>
    <s v="BETALING VIA BANCONTACT              01-10 01-10-2025 OM 16.39 UUR SPAR KORTRIJK BE8500 KORTRIJK MET KBC-DEBETKAART 5127 88XX XXXX 8113 KAARTHOUDER: BOMBAERT BRAM"/>
    <s v="Uitgave"/>
    <n v="-7.85"/>
    <x v="2"/>
    <s v="OK"/>
  </r>
  <r>
    <d v="2025-10-01T00:00:00"/>
    <x v="9"/>
    <n v="-6.3"/>
    <x v="2"/>
    <s v="BETALING VIA BANCONTACT              01-10 01-10-2025 OM 09.35 UUR BERNARD P2P MOBILE MET KBC-DEBETKAART 6703 42XX XXXX X901 0 KAARTHOUDER: ROTTY CHRISTOFF"/>
    <s v="Uitgave"/>
    <n v="-6.3"/>
    <x v="2"/>
    <s v="OK"/>
  </r>
  <r>
    <d v="2025-10-01T00:00:00"/>
    <x v="9"/>
    <n v="-14.99"/>
    <x v="23"/>
    <s v="BETALING VIA BANCONTACT              01-10 01-10-2025 OM 08.58 UUR BOL.COM NL3528 BJ UTRECHT MET KBC-DEBETKAART 5127 88XX XXXX 8113 KAARTHOUDER: BOMBAERT BRAM"/>
    <s v="Uitgave"/>
    <n v="-14.99"/>
    <x v="1"/>
    <s v="OK"/>
  </r>
  <r>
    <d v="2025-10-01T00:00:00"/>
    <x v="9"/>
    <n v="-18.95"/>
    <x v="16"/>
    <s v="EUROPESE DOMICILIERING               01-10 SCHULDEISER     : DKV BELGIUM REF. SCHULDEISER: 2025263358543901X000000000000001 MANDAATREFERTE  : 358543901/001 MEDEDELING      : 1025-1125 PREMIE"/>
    <s v="Uitgave"/>
    <n v="-18.95"/>
    <x v="2"/>
    <s v="OK"/>
  </r>
  <r>
    <d v="2025-10-01T00:00:00"/>
    <x v="9"/>
    <n v="-45.25"/>
    <x v="16"/>
    <s v="EUROPESE DOMICILIERING               01-10 SCHULDEISER     : DKV BELGIUM REF. SCHULDEISER: 2025263345523551X000000000000001 MANDAATREFERTE  : 345523551/002 MEDEDELING      : 1025-1125 PREMIE"/>
    <s v="Uitgave"/>
    <n v="-45.25"/>
    <x v="2"/>
    <s v="OK"/>
  </r>
  <r>
    <d v="2025-10-01T00:00:00"/>
    <x v="9"/>
    <n v="-100"/>
    <x v="2"/>
    <s v="AUTOMATISCH SPAREN                   01-10 NAAR BE13 7460 4686 9539 AUTOMATISCH SPAREN"/>
    <s v="Uitgave"/>
    <n v="-100"/>
    <x v="2"/>
    <s v="OK"/>
  </r>
  <r>
    <d v="2025-10-01T00:00:00"/>
    <x v="9"/>
    <n v="-150.69"/>
    <x v="46"/>
    <s v="AUTOMATISCHE BETALING                01-10 FLEX BUDGET 420-6319589-46"/>
    <s v="Uitgave"/>
    <n v="-150.69"/>
    <x v="1"/>
    <s v="OK"/>
  </r>
  <r>
    <d v="2025-10-02T00:00:00"/>
    <x v="9"/>
    <n v="-14.22"/>
    <x v="2"/>
    <s v="BETALING VIA DEBIT MASTERCARD        07-10 02-10-2025 OM 16.13 UUR CARREFOUR MARKE BE8510 MARKE MET APPLE PAY 5127 88XX XXXX 8113 VIRTUEEL KAARTNUMMER CONTACTLOZE BETALING: 5354 00XX XXXX 7841 KAARTHOUDER: BOMBAERT BRAM"/>
    <s v="Uitgave"/>
    <n v="-14.22"/>
    <x v="2"/>
    <s v="OK"/>
  </r>
  <r>
    <d v="2025-10-02T00:00:00"/>
    <x v="9"/>
    <n v="-17.84"/>
    <x v="2"/>
    <s v="BETALING VIA DEBIT MASTERCARD        07-10 02-10-2025 OM 14.29 UUR LIDL 803 KORTRIJK 2 BE8500 KORTRIJK MET APPLE PAY 5127 88XX XXXX 8113 VIRTUEEL KAARTNUMMER CONTACTLOZE BETALING: 5354 00XX XXXX 8030 KAARTHOUDER: BOMBAERT BRAM"/>
    <s v="Uitgave"/>
    <n v="-17.84"/>
    <x v="2"/>
    <s v="OK"/>
  </r>
  <r>
    <d v="2025-10-02T00:00:00"/>
    <x v="9"/>
    <n v="53.5"/>
    <x v="0"/>
    <s v="OVERSCHRIJVING VAN                   02-10 BE64 3751 1173 1652 BANKIER OPDRACHTGEVER: BBRUBEBB VVM DE LIJN ALGEMENE REK ATTENTIE ZIEK/OVERL 50 EURO"/>
    <s v="Inkomst"/>
    <n v="53.5"/>
    <x v="0"/>
    <s v="OK"/>
  </r>
  <r>
    <d v="2025-10-02T00:00:00"/>
    <x v="9"/>
    <n v="-240.78"/>
    <x v="16"/>
    <s v="BETALING VIA BANCONTACT              02-10 02-10-2025 OM 14.36 UUR APOTHEEK ARIE BE8510 MARKE MET KBC-DEBETKAART 5127 88XX XXXX 8113 KAARTHOUDER: BOMBAERT BRAM"/>
    <s v="Uitgave"/>
    <n v="-240.78"/>
    <x v="2"/>
    <s v="OK"/>
  </r>
  <r>
    <d v="2025-10-02T00:00:00"/>
    <x v="9"/>
    <n v="-150"/>
    <x v="35"/>
    <s v="OVERSCHRIJVING NAAR                  02-10 BE79 3632 2576 6833 BANKIER BEGUNSTIGDE: LASER LINE PAYCONIQ 159E789AD6161275362E2B46 LASER LINE MET PAYCONIQ IN KBC MOBILE"/>
    <s v="Uitgave"/>
    <n v="-150"/>
    <x v="1"/>
    <s v="OK"/>
  </r>
  <r>
    <d v="2025-10-02T00:00:00"/>
    <x v="9"/>
    <n v="-8.9"/>
    <x v="44"/>
    <s v="BETALING VIA BANCONTACT              02-10 02-10-2025 OM 13.51 UUR PARADISIO GENT BE9000 GENT MET KBC-DEBETKAART 6703 42XX XXXX X901 0 KAARTHOUDER: ROTTY CHRISTOFF"/>
    <s v="Uitgave"/>
    <n v="-8.9"/>
    <x v="1"/>
    <s v="OK"/>
  </r>
  <r>
    <d v="2025-10-02T00:00:00"/>
    <x v="9"/>
    <n v="-1.5"/>
    <x v="11"/>
    <s v="BETALING VIA MAESTRO                 02-10 01-10-2025 OM 09.05 UUR VALINSOPAY NL NL WIJK EN AALBU MET APPLE PAY 6703 42XX XXXX X901 0 VIRTUEEL KAARTNUMMER CONTACTLOZE BETALING: 6790 28XX XXXX X658 7 KAARTHOUDER: ROTTY CHRISTOFF"/>
    <s v="Uitgave"/>
    <n v="-1.5"/>
    <x v="1"/>
    <s v="OK"/>
  </r>
  <r>
    <d v="2025-10-02T00:00:00"/>
    <x v="9"/>
    <n v="-55"/>
    <x v="6"/>
    <s v="EUROPESE DOMICILIERING               02-10 SCHULDEISER     : LUMINUS SA REF. SCHULDEISER: 002752813312 MANDAATREFERTE  : 0087006660811 MEDEDELING      : LUMINUS VOORSCHOT 4834249097"/>
    <s v="Uitgave"/>
    <n v="-55"/>
    <x v="2"/>
    <s v="OK"/>
  </r>
  <r>
    <d v="2025-10-02T00:00:00"/>
    <x v="9"/>
    <n v="-12"/>
    <x v="62"/>
    <s v="EUROPESE DOMICILIERING               02-10 SCHULDEISER     : MEDIAHUIS NV - NB REF. SCHULDEISER: K0637607 MANDAATREFERTE  : 101000942759 MEDEDELING      : ABONR. 5862848 : 04/10/25 - 03/11/2 5"/>
    <s v="Uitgave"/>
    <n v="-12"/>
    <x v="1"/>
    <s v="OK"/>
  </r>
  <r>
    <d v="2025-10-03T00:00:00"/>
    <x v="9"/>
    <n v="-24.46"/>
    <x v="2"/>
    <s v="BETALING VIA DEBIT MASTERCARD        07-10 03-10-2025 OM 16.58 UUR LIDL 803 KORTRIJK 2 BE8500 KORTRIJK MET APPLE PAY 5127 88XX XXXX 8113 VIRTUEEL KAARTNUMMER CONTACTLOZE BETALING: 5354 00XX XXXX 8030 KAARTHOUDER: BOMBAERT BRAM"/>
    <s v="Uitgave"/>
    <n v="-24.46"/>
    <x v="2"/>
    <s v="OK"/>
  </r>
  <r>
    <d v="2025-10-03T00:00:00"/>
    <x v="9"/>
    <n v="-13.67"/>
    <x v="2"/>
    <s v="BETALING VIA DEBIT MASTERCARD        07-10 03-10-2025 OM 17.22 UUR CARREFOUR MARKE BE8510 MARKE MET APPLE PAY 5127 88XX XXXX 8113 VIRTUEEL KAARTNUMMER CONTACTLOZE BETALING: 5354 00XX XXXX 8030 KAARTHOUDER: BOMBAERT BRAM"/>
    <s v="Uitgave"/>
    <n v="-13.67"/>
    <x v="2"/>
    <s v="OK"/>
  </r>
  <r>
    <d v="2025-10-03T00:00:00"/>
    <x v="9"/>
    <n v="-150.44"/>
    <x v="8"/>
    <s v="BETALING VIA BANCONTACT              06-10 03-10-2025 OM 18.23 UUR TICKETSWAP NL1012KL AMSTERDAM MET KBC-DEBETKAART 6703 42XX XXXX X901 0 KAARTHOUDER: ROTTY CHRISTOFF INFO VAN DE HANDELAAR: 74I7LET TICKETSWAP"/>
    <s v="Uitgave"/>
    <n v="-150.44"/>
    <x v="1"/>
    <s v="OK"/>
  </r>
  <r>
    <d v="2025-10-03T00:00:00"/>
    <x v="9"/>
    <n v="-60.25"/>
    <x v="16"/>
    <s v="BETALING VIA MAESTRO                 03-10 02-10-2025 OM 15.28 UUR COOP A50 BE GENT MET APPLE PAY 6703 42XX XXXX X901 0 VIRTUEEL KAARTNUMMER CONTACTLOZE BETALING: 6790 28XX XXXX X658 7 KAARTHOUDER: ROTTY CHRISTOFF"/>
    <s v="Uitgave"/>
    <n v="-60.25"/>
    <x v="2"/>
    <s v="OK"/>
  </r>
  <r>
    <d v="2025-10-03T00:00:00"/>
    <x v="9"/>
    <n v="-1.1000000000000001"/>
    <x v="11"/>
    <s v="BETALING VIA MAESTRO                 03-10 02-10-2025 OM 13.56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10-03T00:00:00"/>
    <x v="9"/>
    <n v="-4.24"/>
    <x v="4"/>
    <s v="BETALING VIA MAESTRO                 03-10 02-10-2025 OM 06.25 UUR OVO CHARGE ANYWHERE GB BRISTOL MET APPLE PAY 6703 42XX XXXX X901 0 VIRTUEEL KAARTNUMMER CONTACTLOZE BETALING: 6790 28XX XXXX X658 7 KAARTHOUDER: ROTTY CHRISTOFF"/>
    <s v="Uitgave"/>
    <n v="-4.24"/>
    <x v="2"/>
    <s v="OK"/>
  </r>
  <r>
    <d v="2025-10-03T00:00:00"/>
    <x v="9"/>
    <n v="-5"/>
    <x v="4"/>
    <s v="BETALING VIA MAESTRO                 03-10 02-10-2025 OM 06.25 UUR OVO CHARGE ANYWHERE GB BRISTOL MET APPLE PAY 6703 42XX XXXX X901 0 VIRTUEEL KAARTNUMMER CONTACTLOZE BETALING: 6790 28XX XXXX X658 7 KAARTHOUDER: ROTTY CHRISTOFF"/>
    <s v="Uitgave"/>
    <n v="-5"/>
    <x v="2"/>
    <s v="OK"/>
  </r>
  <r>
    <d v="2025-10-03T00:00:00"/>
    <x v="9"/>
    <n v="-20.71"/>
    <x v="20"/>
    <s v="EUROPESE DOMICILIERING               03-10 SCHULDEISER     : ACV-CSC REF. SCHULDEISER: 1025 BIJDRAGEN 102025-102025 MANDAATREFERTE  : N00814013 MEDEDELING      : SCOR                   BBA                   081760860769"/>
    <s v="Uitgave"/>
    <n v="-20.71"/>
    <x v="2"/>
    <s v="OK"/>
  </r>
  <r>
    <d v="2025-10-04T00:00:00"/>
    <x v="9"/>
    <n v="-8.4"/>
    <x v="8"/>
    <s v="BETALING VIA DEBIT MASTERCARD        07-10 04-10-2025 OM 19.35 UUR BEAT VENUES NV BE2170 MERKSEM MET APPLE PAY 5127 88XX XXXX 8113 VIRTUEEL KAARTNUMMER CONTACTLOZE BETALING: 5354 00XX XXXX 8030 KAARTHOUDER: BOMBAERT BRAM"/>
    <s v="Uitgave"/>
    <n v="-8.4"/>
    <x v="1"/>
    <s v="OK"/>
  </r>
  <r>
    <d v="2025-10-04T00:00:00"/>
    <x v="9"/>
    <n v="-7.25"/>
    <x v="2"/>
    <s v="BETALING VIA DEBIT MASTERCARD        07-10 04-10-2025 OM 18.05 UUR DELHAIZE WAASLAND BE9100 SINT NIKLAAS MET KBC-DEBETKAART 5127 88XX XXXX 8113 KAARTHOUDER: BOMBAERT BRAM"/>
    <s v="Uitgave"/>
    <n v="-7.25"/>
    <x v="2"/>
    <s v="OK"/>
  </r>
  <r>
    <d v="2025-10-04T00:00:00"/>
    <x v="9"/>
    <n v="-1"/>
    <x v="17"/>
    <s v="BETALING VIA DEBIT MASTERCARD        07-10 04-10-2025 OM 16.56 UUR WAASLA 0 BE2000 ANTWERPEN MET APPLE PAY 5127 88XX XXXX 8113 VIRTUEEL KAARTNUMMER CONTACTLOZE BETALING: 5354 00XX XXXX 8030 KAARTHOUDER: BOMBAERT BRAM"/>
    <s v="Uitgave"/>
    <n v="-1"/>
    <x v="1"/>
    <s v="OK"/>
  </r>
  <r>
    <d v="2025-10-04T00:00:00"/>
    <x v="9"/>
    <n v="-12.73"/>
    <x v="2"/>
    <s v="BETALING VIA DEBIT MASTERCARD        07-10 04-10-2025 OM 10.12 UUR CARREFOUR MARKE BE8510 MARKE MET APPLE PAY 5127 88XX XXXX 8113 VIRTUEEL KAARTNUMMER CONTACTLOZE BETALING: 5354 00XX XXXX 7841 KAARTHOUDER: BOMBAERT BRAM"/>
    <s v="Uitgave"/>
    <n v="-12.73"/>
    <x v="2"/>
    <s v="OK"/>
  </r>
  <r>
    <d v="2025-10-04T00:00:00"/>
    <x v="9"/>
    <n v="-1"/>
    <x v="17"/>
    <s v="BETALING VIA DEBIT MASTERCARD        07-10 04-10-2025 OM 23.08 UUR P R ANTWERPEN BE2030 ANTWERPEN MET KBC-DEBETKAART 5127 88XX XXXX 8113 KAARTHOUDER: BOMBAERT BRAM"/>
    <s v="Uitgave"/>
    <n v="-1"/>
    <x v="1"/>
    <s v="OK"/>
  </r>
  <r>
    <d v="2025-10-04T00:00:00"/>
    <x v="9"/>
    <n v="-15"/>
    <x v="17"/>
    <s v="BETALING VIA DEBIT MASTERCARD        07-10 04-10-2025 OM 19.31 UUR STUDIO 100 BE2870 038706035 MET APPLE PAY 5127 88XX XXXX 8113 VIRTUEEL KAARTNUMMER CONTACTLOZE BETALING: 5354 00XX XXXX 8030 KAARTHOUDER: BOMBAERT BRAM"/>
    <s v="Uitgave"/>
    <n v="-15"/>
    <x v="1"/>
    <s v="OK"/>
  </r>
  <r>
    <d v="2025-10-04T00:00:00"/>
    <x v="9"/>
    <n v="-10.8"/>
    <x v="9"/>
    <s v="BETALING VIA DEBIT MASTERCARD        07-10 04-10-2025 OM 15.48 UUR NOTRE BLANCHE BE9100 SINT-NIKLAAS MET APPLE PAY 5127 88XX XXXX 8113 VIRTUEEL KAARTNUMMER CONTACTLOZE BETALING: 5354 00XX XXXX 8030 KAARTHOUDER: BOMBAERT BRAM"/>
    <s v="Uitgave"/>
    <n v="-10.8"/>
    <x v="1"/>
    <s v="OK"/>
  </r>
  <r>
    <d v="2025-10-04T00:00:00"/>
    <x v="9"/>
    <n v="-76.180000000000007"/>
    <x v="12"/>
    <s v="BETALING VIA DEBIT MASTERCARD        07-10 04-10-2025 OM 15.23 UUR JULES M1163 BE9100 SINT-NIKLAAS MET APPLE PAY 5127 88XX XXXX 8113 VIRTUEEL KAARTNUMMER CONTACTLOZE BETALING: 5354 00XX XXXX 8030 KAARTHOUDER: BOMBAERT BRAM"/>
    <s v="Uitgave"/>
    <n v="-76.180000000000007"/>
    <x v="1"/>
    <s v="OK"/>
  </r>
  <r>
    <d v="2025-10-04T00:00:00"/>
    <x v="9"/>
    <n v="-26.99"/>
    <x v="10"/>
    <s v="BETALING VIA DEBIT MASTERCARD        07-10 04-10-2025 OM 02.40 UUR SP EDGARD &amp; COOPER BE8500 KORTRIJK MET APPLE PAY 5127 88XX XXXX 8113 VIRTUEEL KAARTNUMMER CONTACTLOZE BETALING: 5354 00XX XXXX 7841 KAARTHOUDER: BOMBAERT BRAM"/>
    <s v="Uitgave"/>
    <n v="-26.99"/>
    <x v="1"/>
    <s v="OK"/>
  </r>
  <r>
    <d v="2025-10-05T00:00:00"/>
    <x v="9"/>
    <n v="-6.6"/>
    <x v="2"/>
    <s v="BETALING VIA DEBIT MASTERCARD        08-10 05-10-2025 OM 09.22 UUR STARBUCKS KRUIBEKE ZUI BE9150 KRUIBEKE-NOOR MET APPLE PAY 5127 88XX XXXX 8113 VIRTUEEL KAARTNUMMER CONTACTLOZE BETALING: 5354 00XX XXXX 8030 KAARTHOUDER: BOMBAERT BRAM"/>
    <s v="Uitgave"/>
    <n v="-6.6"/>
    <x v="2"/>
    <s v="OK"/>
  </r>
  <r>
    <d v="2025-10-05T00:00:00"/>
    <x v="9"/>
    <n v="-2"/>
    <x v="5"/>
    <s v="BETALING VIA DEBIT MASTERCARD        07-10 05-10-2025 OM 12.24 UUR BERCHEM X PARKING BE2000 ANTWERPEN MET APPLE PAY 5127 88XX XXXX 8113 VIRTUEEL KAARTNUMMER CONTACTLOZE BETALING: 5354 00XX XXXX 8030 KAARTHOUDER: BOMBAERT BRAM"/>
    <s v="Uitgave"/>
    <n v="-2"/>
    <x v="1"/>
    <s v="OK"/>
  </r>
  <r>
    <d v="2025-10-06T00:00:00"/>
    <x v="9"/>
    <n v="-22.92"/>
    <x v="2"/>
    <s v="BETALING VIA DEBIT MASTERCARD        08-10 06-10-2025 OM 18.16 UUR CARREFOUR MARKE BE8510 MARKE MET KBC-DEBETKAART 5127 88XX XXXX 8113 KAARTHOUDER: BOMBAERT BRAM"/>
    <s v="Uitgave"/>
    <n v="-22.92"/>
    <x v="2"/>
    <s v="OK"/>
  </r>
  <r>
    <d v="2025-10-06T00:00:00"/>
    <x v="9"/>
    <n v="-8.6"/>
    <x v="8"/>
    <s v="BETALING VIA MAESTRO                 06-10 04-10-2025 OM 19.19 UUR BEAT VENUES NV BE MERKSEM MET APPLE PAY 6703 42XX XXXX X901 0 VIRTUEEL KAARTNUMMER CONTACTLOZE BETALING: 6790 28XX XXXX X658 7 KAARTHOUDER: ROTTY CHRISTOFF"/>
    <s v="Uitgave"/>
    <n v="-8.6"/>
    <x v="1"/>
    <s v="OK"/>
  </r>
  <r>
    <d v="2025-10-06T00:00:00"/>
    <x v="9"/>
    <n v="-1"/>
    <x v="17"/>
    <s v="BETALING VIA MAESTRO                 06-10 04-10-2025 OM 16.57 UUR WAASLA 0 BE ANTWERPEN MET APPLE PAY 6703 42XX XXXX X901 0 VIRTUEEL KAARTNUMMER CONTACTLOZE BETALING: 6790 28XX XXXX X005 7 KAARTHOUDER: ROTTY CHRISTOFF"/>
    <s v="Uitgave"/>
    <n v="-1"/>
    <x v="1"/>
    <s v="OK"/>
  </r>
  <r>
    <d v="2025-10-06T00:00:00"/>
    <x v="9"/>
    <n v="-1"/>
    <x v="17"/>
    <s v="BETALING VIA MAESTRO                 06-10 04-10-2025 OM 16.56 UUR WAASLA 0 BE ANTWERPEN MET APPLE PAY 6703 42XX XXXX X901 0 VIRTUEEL KAARTNUMMER CONTACTLOZE BETALING: 6790 28XX XXXX X005 7 KAARTHOUDER: ROTTY CHRISTOFF"/>
    <s v="Uitgave"/>
    <n v="-1"/>
    <x v="1"/>
    <s v="OK"/>
  </r>
  <r>
    <d v="2025-10-06T00:00:00"/>
    <x v="9"/>
    <n v="-6.99"/>
    <x v="16"/>
    <s v="BETALING VIA MAESTRO                 06-10 04-10-2025 OM 14.54 UUR MEDI-MARKET WAASLAND BE SINT NIKLAAS MET APPLE PAY 6703 42XX XXXX X901 0 VIRTUEEL KAARTNUMMER CONTACTLOZE BETALING: 6790 28XX XXXX X658 7 KAARTHOUDER: ROTTY CHRISTOFF"/>
    <s v="Uitgave"/>
    <n v="-6.99"/>
    <x v="2"/>
    <s v="OK"/>
  </r>
  <r>
    <d v="2025-10-06T00:00:00"/>
    <x v="9"/>
    <n v="-50"/>
    <x v="9"/>
    <s v="BETALING VIA MAESTRO                 06-10 04-10-2025 OM 17.48 UUR EL PLAZA BE SINT-NIKLAAS MET APPLE PAY 6703 42XX XXXX X901 0 VIRTUEEL KAARTNUMMER CONTACTLOZE BETALING: 6790 28XX XXXX X658 7 KAARTHOUDER: ROTTY CHRISTOFF"/>
    <s v="Uitgave"/>
    <n v="-50"/>
    <x v="1"/>
    <s v="OK"/>
  </r>
  <r>
    <d v="2025-10-06T00:00:00"/>
    <x v="9"/>
    <n v="-1.5"/>
    <x v="11"/>
    <s v="BETALING VIA MAESTRO                 06-10 03-10-2025 OM 09.49 UUR VALINSOPAY NL NL WIJK EN AALBU MET APPLE PAY 6703 42XX XXXX X901 0 VIRTUEEL KAARTNUMMER CONTACTLOZE BETALING: 6790 28XX XXXX X658 7 KAARTHOUDER: ROTTY CHRISTOFF"/>
    <s v="Uitgave"/>
    <n v="-1.5"/>
    <x v="1"/>
    <s v="OK"/>
  </r>
  <r>
    <d v="2025-10-06T00:00:00"/>
    <x v="9"/>
    <n v="-15.69"/>
    <x v="6"/>
    <s v="EUROPESE DOMICILIERING               06-10 SCHULDEISER     : LUMINUS SA REF. SCHULDEISER: 002592808337 MANDAATREFERTE  : 0087006660811 MEDEDELING      : LUMINUS AFREKENING 7074227309"/>
    <s v="Uitgave"/>
    <n v="-15.69"/>
    <x v="2"/>
    <s v="OK"/>
  </r>
  <r>
    <d v="2025-10-06T00:00:00"/>
    <x v="9"/>
    <n v="-29.33"/>
    <x v="4"/>
    <s v="EUROPESE DOMICILIERING               06-10 SCHULDEISER     : CHARGEMAP SAS REF. SCHULDEISER: STR16NATA2FOKNZSBYFPHRANAOBOI86NQT MANDAATREFERTE  : YGAYU1XCULZ4UQUA MEDEDELING      : CHARGEMAP"/>
    <s v="Uitgave"/>
    <n v="-29.33"/>
    <x v="2"/>
    <s v="OK"/>
  </r>
  <r>
    <d v="2025-10-06T00:00:00"/>
    <x v="9"/>
    <n v="-125.81"/>
    <x v="55"/>
    <s v="TERUGBETALING                        06-10 LENING OP AFBETALING VOLGENS AFLOSSINGSPLAN REFERENTIE 420-6466664-69"/>
    <s v="Uitgave"/>
    <n v="-125.81"/>
    <x v="2"/>
    <s v="OK"/>
  </r>
  <r>
    <d v="2025-10-07T00:00:00"/>
    <x v="9"/>
    <n v="-10.3"/>
    <x v="16"/>
    <s v="BETALING VIA MAESTRO                 07-10 06-10-2025 OM 08.27 UUR COOP A50 BE GENT MET APPLE PAY 6703 42XX XXXX X901 0 VIRTUEEL KAARTNUMMER CONTACTLOZE BETALING: 6790 28XX XXXX X658 7 KAARTHOUDER: ROTTY CHRISTOFF"/>
    <s v="Uitgave"/>
    <n v="-10.3"/>
    <x v="2"/>
    <s v="OK"/>
  </r>
  <r>
    <d v="2025-10-07T00:00:00"/>
    <x v="9"/>
    <n v="-1.5"/>
    <x v="11"/>
    <s v="BETALING VIA MAESTRO                 07-10 06-10-2025 OM 14.36 UUR VALINSOPAY NL NL WIJK EN AALBU MET APPLE PAY 6703 42XX XXXX X901 0 VIRTUEEL KAARTNUMMER CONTACTLOZE BETALING: 6790 28XX XXXX X658 7 KAARTHOUDER: ROTTY CHRISTOFF"/>
    <s v="Uitgave"/>
    <n v="-1.5"/>
    <x v="1"/>
    <s v="OK"/>
  </r>
  <r>
    <d v="2025-10-07T00:00:00"/>
    <x v="9"/>
    <n v="-810.65"/>
    <x v="19"/>
    <s v="EUROPESE DOMICILIERING               07-10 SCHULDEISER     : ONESTO KREDIETMAATSCHAPPIJ REF. SCHULDEISER: CASHFLOW-60003499 MANDAATREFERTE  : BE96SDA077001313774 MEDEDELING      : DOSSIER 077001313774 - 01102025"/>
    <s v="Uitgave"/>
    <n v="-810.65"/>
    <x v="2"/>
    <s v="OK"/>
  </r>
  <r>
    <d v="2025-10-07T00:00:00"/>
    <x v="9"/>
    <n v="-12.01"/>
    <x v="21"/>
    <s v="EUROPESE DOMICILIERING               07-10 SCHULDEISER     : EUROMEX NV REF. SCHULDEISER: BALN-BE-EMX-P-DMZ6HY9W55H3A4 MANDAATREFERTE  : 30507E MEDEDELING      : SCOR                   BBA                   251082301130"/>
    <s v="Uitgave"/>
    <n v="-12.01"/>
    <x v="2"/>
    <s v="OK"/>
  </r>
  <r>
    <d v="2025-10-08T00:00:00"/>
    <x v="9"/>
    <n v="-14.09"/>
    <x v="2"/>
    <s v="BETALING VIA DEBIT MASTERCARD        09-10 08-10-2025 OM 17.31 UUR LIDL 803 KORTRIJK 2 BE8500 KORTRIJK MET APPLE PAY 5127 88XX XXXX 8113 VIRTUEEL KAARTNUMMER CONTACTLOZE BETALING: 5354 00XX XXXX 8030 KAARTHOUDER: BOMBAERT BRAM"/>
    <s v="Uitgave"/>
    <n v="-14.09"/>
    <x v="2"/>
    <s v="OK"/>
  </r>
  <r>
    <d v="2025-10-08T00:00:00"/>
    <x v="9"/>
    <n v="-124.5"/>
    <x v="16"/>
    <s v="BETALING VIA DEBIT MASTERCARD        09-10 08-10-2025 OM 17.14 UUR CCV*MARKIES TANDARTSEN BE8510 KORTRIJK MET APPLE PAY 5127 88XX XXXX 8113 VIRTUEEL KAARTNUMMER CONTACTLOZE BETALING: 5354 00XX XXXX 8030 KAARTHOUDER: BOMBAERT BRAM"/>
    <s v="Uitgave"/>
    <n v="-124.5"/>
    <x v="2"/>
    <s v="OK"/>
  </r>
  <r>
    <d v="2025-10-08T00:00:00"/>
    <x v="9"/>
    <n v="-1.5"/>
    <x v="11"/>
    <s v="BETALING VIA MAESTRO                 08-10 07-10-2025 OM 11.18 UUR VALINSOPAY NL NL WIJK EN AALBU MET APPLE PAY 6703 42XX XXXX X901 0 VIRTUEEL KAARTNUMMER CONTACTLOZE BETALING: 6790 28XX XXXX X658 7 KAARTHOUDER: ROTTY CHRISTOFF"/>
    <s v="Uitgave"/>
    <n v="-1.5"/>
    <x v="1"/>
    <s v="OK"/>
  </r>
  <r>
    <d v="2025-10-08T00:00:00"/>
    <x v="9"/>
    <n v="-3.5"/>
    <x v="5"/>
    <s v="BETALING VIA MAESTRO                 08-10 07-10-2025 OM 07.02 UUR STAD GENT PARKEREN BE GENT MET APPLE PAY 6703 42XX XXXX X901 0 VIRTUEEL KAARTNUMMER CONTACTLOZE BETALING: 6790 28XX XXXX X658 7 KAARTHOUDER: ROTTY CHRISTOFF"/>
    <s v="Uitgave"/>
    <n v="-3.5"/>
    <x v="1"/>
    <s v="OK"/>
  </r>
  <r>
    <d v="2025-10-08T00:00:00"/>
    <x v="9"/>
    <n v="-9.41"/>
    <x v="4"/>
    <s v="EUROPESE DOMICILIERING               08-10 SCHULDEISER     : DATS 24  NV REF. SCHULDEISER: 030105134346 REF: 2584027 MANDAATREFERTE  : DAKL-000000538161-5-1 MEDEDELING      : 2584027 DATS24 00737137"/>
    <s v="Uitgave"/>
    <n v="-9.41"/>
    <x v="2"/>
    <s v="OK"/>
  </r>
  <r>
    <d v="2025-10-09T00:00:00"/>
    <x v="9"/>
    <n v="-2.5"/>
    <x v="22"/>
    <s v="BETALING VIA DEBIT MASTERCARD        10-10 09-10-2025 OM 16.09 UUR EURO SHOP KORTRIJK BE8800 ROESELARE MET APPLE PAY 5127 88XX XXXX 8113 VIRTUEEL KAARTNUMMER CONTACTLOZE BETALING: 5354 00XX XXXX 8030 KAARTHOUDER: BOMBAERT BRAM"/>
    <s v="Uitgave"/>
    <n v="-2.5"/>
    <x v="1"/>
    <s v="OK"/>
  </r>
  <r>
    <d v="2025-10-09T00:00:00"/>
    <x v="9"/>
    <n v="-0.25"/>
    <x v="2"/>
    <s v="BETALING VIA DEBIT MASTERCARD        10-10 09-10-2025 OM 16.32 UUR LIDL 803 KORTRIJK 2 BE8500 KORTRIJK MET APPLE PAY 5127 88XX XXXX 8113 VIRTUEEL KAARTNUMMER CONTACTLOZE BETALING: 5354 00XX XXXX 8030 KAARTHOUDER: BOMBAERT BRAM"/>
    <s v="Uitgave"/>
    <n v="-0.25"/>
    <x v="2"/>
    <s v="OK"/>
  </r>
  <r>
    <d v="2025-10-09T00:00:00"/>
    <x v="9"/>
    <n v="58.5"/>
    <x v="16"/>
    <s v="OVERSCHRIJVING VAN                   09-10 BE10 1325 4851 1904 BANKIER OPDRACHTGEVER: BNAGBEBBXXX SOLIDARIS W.-VLAANDEREN /C/ (1619945)   ZORG VAN 08/10/25 TACK E 93032216582 REFERENTIE: 199"/>
    <s v="Inkomst"/>
    <n v="58.5"/>
    <x v="2"/>
    <s v="OK"/>
  </r>
  <r>
    <d v="2025-10-09T00:00:00"/>
    <x v="9"/>
    <n v="-26"/>
    <x v="63"/>
    <s v="BETALING VIA BANCONTACT              09-10 09-10-2025 OM 13.34 UUR LIEN P2P MOBILE MET KBC-DEBETKAART 5127 88XX XXXX 8113 KAARTHOUDER: BOMBAERT BRAM"/>
    <s v="Uitgave"/>
    <n v="-26"/>
    <x v="1"/>
    <s v="OK"/>
  </r>
  <r>
    <d v="2025-10-09T00:00:00"/>
    <x v="9"/>
    <n v="-25.95"/>
    <x v="16"/>
    <s v="EUROPESE DOMICILIERING               09-10 SCHULDEISER     : SOLIDARIS WEST-VLAANDEREN REF. SCHULDEISER: 543571300640 MANDAATREFERTE  : SDD30993032216582202202240088 MEDEDELING      : 543571300640 - AANVULL. BIJDR. 4/20 25 1619945"/>
    <s v="Uitgave"/>
    <n v="-25.95"/>
    <x v="2"/>
    <s v="OK"/>
  </r>
  <r>
    <d v="2025-10-10T00:00:00"/>
    <x v="9"/>
    <n v="-95.4"/>
    <x v="1"/>
    <s v="BETALING VIA DEBIT MASTERCARD        13-10 10-10-2025 OM 16.43 UUR EURO SHOP KORTRIJK BE8800 ROESELARE MET APPLE PAY 5127 88XX XXXX 8113 VIRTUEEL KAARTNUMMER CONTACTLOZE BETALING: 5354 00XX XXXX 8030 KAARTHOUDER: BOMBAERT BRAM"/>
    <s v="Uitgave"/>
    <n v="-95.4"/>
    <x v="1"/>
    <s v="OK"/>
  </r>
  <r>
    <d v="2025-10-10T00:00:00"/>
    <x v="9"/>
    <n v="-1385"/>
    <x v="1"/>
    <s v="INSTANTOVERSCHRIJVING NAAR           10-10 BE19 4468 6772 0112 BANKIER BEGUNSTIGDE: KREDBEBBXXX MONIQUE VAN ESCH OM 18.36 UUR MET KBC MOBILE"/>
    <s v="Uitgave"/>
    <n v="-1385"/>
    <x v="1"/>
    <s v="OK"/>
  </r>
  <r>
    <d v="2025-10-10T00:00:00"/>
    <x v="9"/>
    <n v="-1.5"/>
    <x v="11"/>
    <s v="BETALING VIA MAESTRO                 10-10 09-10-2025 OM 13.13 UUR VALINSOPAY NL NL WIJK EN AALBU MET APPLE PAY 6703 42XX XXXX X901 0 VIRTUEEL KAARTNUMMER CONTACTLOZE BETALING: 6790 28XX XXXX X658 7 KAARTHOUDER: ROTTY CHRISTOFF"/>
    <s v="Uitgave"/>
    <n v="-1.5"/>
    <x v="1"/>
    <s v="OK"/>
  </r>
  <r>
    <d v="2025-10-10T00:00:00"/>
    <x v="9"/>
    <n v="-0.9"/>
    <x v="11"/>
    <s v="BETALING VIA MAESTRO                 10-10 09-10-2025 OM 13.48 UUR VALINSOPAY NL NL WIJK EN AALBU MET APPLE PAY 6703 42XX XXXX X901 0 VIRTUEEL KAARTNUMMER CONTACTLOZE BETALING: 6790 28XX XXXX X658 7 KAARTHOUDER: ROTTY CHRISTOFF"/>
    <s v="Uitgave"/>
    <n v="-0.9"/>
    <x v="1"/>
    <s v="OK"/>
  </r>
  <r>
    <d v="2025-10-10T00:00:00"/>
    <x v="9"/>
    <n v="-1.5"/>
    <x v="11"/>
    <s v="BETALING VIA MAESTRO                 10-10 09-10-2025 OM 09.33 UUR VALINSOPAY NL NL WIJK EN AALBU MET APPLE PAY 6703 42XX XXXX X901 0 VIRTUEEL KAARTNUMMER CONTACTLOZE BETALING: 6790 28XX XXXX X658 7 KAARTHOUDER: ROTTY CHRISTOFF"/>
    <s v="Uitgave"/>
    <n v="-1.5"/>
    <x v="1"/>
    <s v="OK"/>
  </r>
  <r>
    <d v="2025-10-11T00:00:00"/>
    <x v="9"/>
    <n v="-21.59"/>
    <x v="2"/>
    <s v="BETALING VIA DEBIT MASTERCARD        13-10 11-10-2025 OM 14.42 UUR CARREFOUR MARKE BE8510 MARKE MET APPLE PAY 5127 88XX XXXX 8113 VIRTUEEL KAARTNUMMER CONTACTLOZE BETALING: 5354 00XX XXXX 8030 KAARTHOUDER: BOMBAERT BRAM"/>
    <s v="Uitgave"/>
    <n v="-21.59"/>
    <x v="2"/>
    <s v="OK"/>
  </r>
  <r>
    <d v="2025-10-11T00:00:00"/>
    <x v="9"/>
    <n v="-9.36"/>
    <x v="42"/>
    <s v="BETALING VIA DEBIT MASTERCARD        13-10 11-10-2025 OM 17.29 UUR HEMA LILLE FR59777 EURALILLE MET APPLE PAY 5127 88XX XXXX 8113 VIRTUEEL KAARTNUMMER CONTACTLOZE BETALING: 5354 00XX XXXX 8030 KAARTHOUDER: BOMBAERT BRAM"/>
    <s v="Uitgave"/>
    <n v="-9.36"/>
    <x v="1"/>
    <s v="OK"/>
  </r>
  <r>
    <d v="2025-10-11T00:00:00"/>
    <x v="9"/>
    <n v="-11.95"/>
    <x v="2"/>
    <s v="BETALING VIA DEBIT MASTERCARD        13-10 11-10-2025 OM 17.33 UUR STARBUCKS FR59777 EURALILLE MET APPLE PAY 5127 88XX XXXX 8113 VIRTUEEL KAARTNUMMER CONTACTLOZE BETALING: 5354 00XX XXXX 8030 KAARTHOUDER: BOMBAERT BRAM"/>
    <s v="Uitgave"/>
    <n v="-11.95"/>
    <x v="2"/>
    <s v="OK"/>
  </r>
  <r>
    <d v="2025-10-11T00:00:00"/>
    <x v="9"/>
    <n v="-8"/>
    <x v="4"/>
    <s v="BETALING VIA DEBIT MASTERCARD        13-10 11-10-2025 OM 12.25 UUR OVO CHARGE ANYWHERE GBBS1 6ED BRISTOL MET APPLE PAY 5127 88XX XXXX 8113 VIRTUEEL KAARTNUMMER CONTACTLOZE BETALING: 5354 00XX XXXX 6677 KAARTHOUDER: BOMBAERT BRAM"/>
    <s v="Uitgave"/>
    <n v="-8"/>
    <x v="2"/>
    <s v="OK"/>
  </r>
  <r>
    <d v="2025-10-11T00:00:00"/>
    <x v="9"/>
    <n v="-71.8"/>
    <x v="44"/>
    <s v="BETALING VIA DEBIT MASTERCARD        13-10 11-10-2025 OM 17.41 UUR RITUALS COSMETICS FRAN FR59777 LILLE MET APPLE PAY 5127 88XX XXXX 8113 VIRTUEEL KAARTNUMMER CONTACTLOZE BETALING: 5354 00XX XXXX 8030 KAARTHOUDER: BOMBAERT BRAM"/>
    <s v="Uitgave"/>
    <n v="-71.8"/>
    <x v="1"/>
    <s v="OK"/>
  </r>
  <r>
    <d v="2025-10-12T00:00:00"/>
    <x v="9"/>
    <n v="-5.48"/>
    <x v="2"/>
    <s v="BETALING VIA DEBIT MASTERCARD        13-10 12-10-2025 OM 13.21 UUR CARREFOUR MARKE BE8510 MARKE MET APPLE PAY 5127 88XX XXXX 8113 VIRTUEEL KAARTNUMMER CONTACTLOZE BETALING: 5354 00XX XXXX 8030 KAARTHOUDER: BOMBAERT BRAM"/>
    <s v="Uitgave"/>
    <n v="-5.48"/>
    <x v="2"/>
    <s v="OK"/>
  </r>
  <r>
    <d v="2025-10-13T00:00:00"/>
    <x v="9"/>
    <n v="-7.07"/>
    <x v="42"/>
    <s v="BETALING VIA DEBIT MASTERCARD        15-10 13-10-2025 OM 15.04 UUR HEMA EV2168 WETTEREN BE9230 WETTEREN MET APPLE PAY 5127 88XX XXXX 8113 VIRTUEEL KAARTNUMMER CONTACTLOZE BETALING: 5354 00XX XXXX 8030 KAARTHOUDER: BOMBAERT BRAM"/>
    <s v="Uitgave"/>
    <n v="-7.07"/>
    <x v="1"/>
    <s v="OK"/>
  </r>
  <r>
    <d v="2025-10-13T00:00:00"/>
    <x v="9"/>
    <n v="-9.6999999999999993"/>
    <x v="4"/>
    <s v="BETALING VIA DEBIT MASTERCARD        14-10 13-10-2025 OM 00.22 UUR OVO CHARGE ANYWHERE GBBS1 6ED BRISTOL MET APPLE PAY 5127 88XX XXXX 8113 VIRTUEEL KAARTNUMMER CONTACTLOZE BETALING: 5354 00XX XXXX 6677 KAARTHOUDER: BOMBAERT BRAM"/>
    <s v="Uitgave"/>
    <n v="-9.6999999999999993"/>
    <x v="2"/>
    <s v="OK"/>
  </r>
  <r>
    <d v="2025-10-13T00:00:00"/>
    <x v="9"/>
    <n v="-5"/>
    <x v="4"/>
    <s v="BETALING VIA DEBIT MASTERCARD        14-10 13-10-2025 OM 00.22 UUR OVO CHARGE ANYWHERE GBBS1 6ED BRISTOL MET APPLE PAY 5127 88XX XXXX 8113 VIRTUEEL KAARTNUMMER CONTACTLOZE BETALING: 5354 00XX XXXX 6677 KAARTHOUDER: BOMBAERT BRAM"/>
    <s v="Uitgave"/>
    <n v="-5"/>
    <x v="2"/>
    <s v="OK"/>
  </r>
  <r>
    <d v="2025-10-13T00:00:00"/>
    <x v="9"/>
    <n v="-5"/>
    <x v="12"/>
    <s v="BETALING VIA BANCONTACT              13-10 13-10-2025 OM 15.44 UUR ZELFBEDIENING DE LOOR BE9230 WETTEREN MET KBC-DEBETKAART 5127 88XX XXXX 8113 KAARTHOUDER: BOMBAERT BRAM"/>
    <s v="Uitgave"/>
    <n v="-5"/>
    <x v="1"/>
    <s v="OK"/>
  </r>
  <r>
    <d v="2025-10-13T00:00:00"/>
    <x v="9"/>
    <n v="-2.9"/>
    <x v="5"/>
    <s v="BETALING VIA MAESTRO                 13-10 11-10-2025 OM 18.17 UUR EFFIA FR LILLE MET APPLE PAY 6703 42XX XXXX X901 0 VIRTUEEL KAARTNUMMER CONTACTLOZE BETALING: 6790 28XX XXXX X658 7 KAARTHOUDER: ROTTY CHRISTOFF"/>
    <s v="Uitgave"/>
    <n v="-2.9"/>
    <x v="1"/>
    <s v="OK"/>
  </r>
  <r>
    <d v="2025-10-13T00:00:00"/>
    <x v="9"/>
    <n v="-8"/>
    <x v="4"/>
    <s v="BETALING VIA MAESTRO                 13-10 11-10-2025 OM 11.20 UUR OVO CHARGE ANYWHERE GB BRISTOL MET APPLE PAY 6703 42XX XXXX X901 0 VIRTUEEL KAARTNUMMER CONTACTLOZE BETALING: 6790 28XX XXXX X658 7 KAARTHOUDER: ROTTY CHRISTOFF"/>
    <s v="Uitgave"/>
    <n v="-8"/>
    <x v="2"/>
    <s v="OK"/>
  </r>
  <r>
    <d v="2025-10-13T00:00:00"/>
    <x v="9"/>
    <n v="-5.23"/>
    <x v="4"/>
    <s v="BETALING VIA MAESTRO                 13-10 11-10-2025 OM 07.20 UUR OVO CHARGE ANYWHERE GB BRISTOL MET APPLE PAY 6703 42XX XXXX X901 0 VIRTUEEL KAARTNUMMER CONTACTLOZE BETALING: 6790 28XX XXXX X658 7 KAARTHOUDER: ROTTY CHRISTOFF"/>
    <s v="Uitgave"/>
    <n v="-5.23"/>
    <x v="2"/>
    <s v="OK"/>
  </r>
  <r>
    <d v="2025-10-13T00:00:00"/>
    <x v="9"/>
    <n v="-5"/>
    <x v="4"/>
    <s v="BETALING VIA MAESTRO                 13-10 11-10-2025 OM 07.20 UUR OVO CHARGE ANYWHERE GB BRISTOL MET APPLE PAY 6703 42XX XXXX X901 0 VIRTUEEL KAARTNUMMER CONTACTLOZE BETALING: 6790 28XX XXXX X658 7 KAARTHOUDER: ROTTY CHRISTOFF"/>
    <s v="Uitgave"/>
    <n v="-5"/>
    <x v="2"/>
    <s v="OK"/>
  </r>
  <r>
    <d v="2025-10-13T00:00:00"/>
    <x v="9"/>
    <n v="-1.5"/>
    <x v="11"/>
    <s v="BETALING VIA MAESTRO                 13-10 10-10-2025 OM 10.10 UUR VALINSOPAY NL NL WIJK EN AALBU MET APPLE PAY 6703 42XX XXXX X901 0 VIRTUEEL KAARTNUMMER CONTACTLOZE BETALING: 6790 28XX XXXX X658 7 KAARTHOUDER: ROTTY CHRISTOFF"/>
    <s v="Uitgave"/>
    <n v="-1.5"/>
    <x v="1"/>
    <s v="OK"/>
  </r>
  <r>
    <d v="2025-10-13T00:00:00"/>
    <x v="9"/>
    <n v="-1.5"/>
    <x v="11"/>
    <s v="BETALING VIA MAESTRO                 13-10 10-10-2025 OM 12.49 UUR VALINSOPAY NL NL WIJK EN AALBU MET APPLE PAY 6703 42XX XXXX X901 0 VIRTUEEL KAARTNUMMER CONTACTLOZE BETALING: 6790 28XX XXXX X658 7 KAARTHOUDER: ROTTY CHRISTOFF"/>
    <s v="Uitgave"/>
    <n v="-1.5"/>
    <x v="1"/>
    <s v="OK"/>
  </r>
  <r>
    <d v="2025-10-13T00:00:00"/>
    <x v="9"/>
    <n v="-4.5"/>
    <x v="42"/>
    <s v="BETALING VIA MAESTRO                 13-10 11-10-2025 OM 17.31 UUR HEMA LILLE FR EURALILLE MET APPLE PAY 6703 42XX XXXX X901 0 VIRTUEEL KAARTNUMMER CONTACTLOZE BETALING: 6790 28XX XXXX X658 7 KAARTHOUDER: ROTTY CHRISTOFF"/>
    <s v="Uitgave"/>
    <n v="-4.5"/>
    <x v="1"/>
    <s v="OK"/>
  </r>
  <r>
    <d v="2025-10-13T00:00:00"/>
    <x v="9"/>
    <n v="-4"/>
    <x v="2"/>
    <s v="BETALING VIA MAESTRO                 13-10 10-10-2025 OM 17.18 UUR LS SPARKX GENT BE SINT-DENIJS W MET APPLE PAY 6703 42XX XXXX X901 0 VIRTUEEL KAARTNUMMER CONTACTLOZE BETALING: 6790 28XX XXXX X005 7 KAARTHOUDER: ROTTY CHRISTOFF"/>
    <s v="Uitgave"/>
    <n v="-4"/>
    <x v="2"/>
    <s v="OK"/>
  </r>
  <r>
    <d v="2025-10-14T00:00:00"/>
    <x v="9"/>
    <n v="-51.75"/>
    <x v="10"/>
    <s v="BETALING VIA DEBIT MASTERCARD        16-10 14-10-2025 OM 15.20 UUR CCV*DIERENARTSENPRAKTI BE8500 KORTRIJK MET APPLE PAY 5127 88XX XXXX 8113 VIRTUEEL KAARTNUMMER CONTACTLOZE BETALING: 5354 00XX XXXX 8030 KAARTHOUDER: BOMBAERT BRAM"/>
    <s v="Uitgave"/>
    <n v="-51.75"/>
    <x v="1"/>
    <s v="OK"/>
  </r>
  <r>
    <d v="2025-10-14T00:00:00"/>
    <x v="9"/>
    <n v="-25.51"/>
    <x v="2"/>
    <s v="BETALING VIA DEBIT MASTERCARD        16-10 14-10-2025 OM 12.37 UUR LIDL 803 KORTRIJK 2 BE8500 KORTRIJK MET APPLE PAY 5127 88XX XXXX 8113 VIRTUEEL KAARTNUMMER CONTACTLOZE BETALING: 5354 00XX XXXX 8030 KAARTHOUDER: BOMBAERT BRAM"/>
    <s v="Uitgave"/>
    <n v="-25.51"/>
    <x v="2"/>
    <s v="OK"/>
  </r>
  <r>
    <d v="2025-10-14T00:00:00"/>
    <x v="9"/>
    <n v="-3.87"/>
    <x v="4"/>
    <s v="BETALING VIA DEBIT MASTERCARD        15-10 14-10-2025 OM 05.00 UUR OVO CHARGE ANYWHERE GBBS1 6ED BRISTOL MET APPLE PAY 5127 88XX XXXX 8113 VIRTUEEL KAARTNUMMER CONTACTLOZE BETALING: 5354 00XX XXXX 6677 KAARTHOUDER: BOMBAERT BRAM"/>
    <s v="Uitgave"/>
    <n v="-3.87"/>
    <x v="2"/>
    <s v="OK"/>
  </r>
  <r>
    <d v="2025-10-14T00:00:00"/>
    <x v="9"/>
    <n v="-8.9499999999999993"/>
    <x v="53"/>
    <s v="BETALING VIA DEBIT MASTERCARD        15-10 14-10-2025 OM 12.16 UUR ACTION 2009 BE8560 WEVELGEM MET APPLE PAY 5127 88XX XXXX 8113 VIRTUEEL KAARTNUMMER CONTACTLOZE BETALING: 5354 00XX XXXX 8030 KAARTHOUDER: BOMBAERT BRAM"/>
    <s v="Uitgave"/>
    <n v="-8.9499999999999993"/>
    <x v="1"/>
    <s v="OK"/>
  </r>
  <r>
    <d v="2025-10-14T00:00:00"/>
    <x v="9"/>
    <n v="-5"/>
    <x v="4"/>
    <s v="BETALING VIA DEBIT MASTERCARD        15-10 14-10-2025 OM 05.00 UUR OVO CHARGE ANYWHERE GBBS1 6ED BRISTOL MET APPLE PAY 5127 88XX XXXX 8113 VIRTUEEL KAARTNUMMER CONTACTLOZE BETALING: 5354 00XX XXXX 6677 KAARTHOUDER: BOMBAERT BRAM"/>
    <s v="Uitgave"/>
    <n v="-5"/>
    <x v="2"/>
    <s v="OK"/>
  </r>
  <r>
    <d v="2025-10-14T00:00:00"/>
    <x v="9"/>
    <n v="-6.35"/>
    <x v="5"/>
    <s v="OVERSCHRIJVING NAAR                  14-10 BE23 7330 6155 2691 BANKIER BEGUNSTIGDE: KREDBEBB 4411 4411 KORTRIJK KOR2 2CMY158 - OLMPA100100 - QKV21TPA5L VK MET KBC MOBILE"/>
    <s v="Uitgave"/>
    <n v="-6.35"/>
    <x v="1"/>
    <s v="OK"/>
  </r>
  <r>
    <d v="2025-10-14T00:00:00"/>
    <x v="9"/>
    <n v="42.8"/>
    <x v="16"/>
    <s v="OVERSCHRIJVING VAN                   14-10 BE54 3101 0027 0097 BANKIER OPDRACHTGEVER: BBRUBEBB DKV BELGIUM UITKERING DD 13.10.2025 POLIS : 358543901 REFERENTIE: 2025286358543901X000000000000001"/>
    <s v="Inkomst"/>
    <n v="42.8"/>
    <x v="2"/>
    <s v="OK"/>
  </r>
  <r>
    <d v="2025-10-14T00:00:00"/>
    <x v="9"/>
    <n v="50"/>
    <x v="12"/>
    <s v="INSTANTOVERSCHRIJVING VAN            14-10 BE93 7440 8311 7067 BANKIER OPDRACHTGEVER: KREDBEBBXXX ROTTY C. - BOMBAERT B. OM 14.46 UUR"/>
    <s v="Inkomst"/>
    <n v="50"/>
    <x v="1"/>
    <s v="OK"/>
  </r>
  <r>
    <d v="2025-10-14T00:00:00"/>
    <x v="9"/>
    <n v="-1.5"/>
    <x v="11"/>
    <s v="BETALING VIA MAESTRO                 14-10 13-10-2025 OM 12.49 UUR VALINSOPAY NL NL WIJK EN AALBU MET APPLE PAY 6703 42XX XXXX X901 0 VIRTUEEL KAARTNUMMER CONTACTLOZE BETALING: 6790 28XX XXXX X658 7 KAARTHOUDER: ROTTY CHRISTOFF"/>
    <s v="Uitgave"/>
    <n v="-1.5"/>
    <x v="1"/>
    <s v="OK"/>
  </r>
  <r>
    <d v="2025-10-14T00:00:00"/>
    <x v="9"/>
    <n v="-1.5"/>
    <x v="11"/>
    <s v="BETALING VIA MAESTRO                 14-10 13-10-2025 OM 11.33 UUR VALINSOPAY NL NL WIJK EN AALBU MET APPLE PAY 6703 42XX XXXX X901 0 VIRTUEEL KAARTNUMMER CONTACTLOZE BETALING: 6790 28XX XXXX X005 7 KAARTHOUDER: ROTTY CHRISTOFF"/>
    <s v="Uitgave"/>
    <n v="-1.5"/>
    <x v="1"/>
    <s v="OK"/>
  </r>
  <r>
    <d v="2025-10-15T00:00:00"/>
    <x v="9"/>
    <n v="-8.6300000000000008"/>
    <x v="2"/>
    <s v="BETALING VIA DEBIT MASTERCARD        16-10 15-10-2025 OM 11.37 UUR LIDL 803 KORTRIJK 2 BE8500 KORTRIJK MET APPLE PAY 5127 88XX XXXX 8113 VIRTUEEL KAARTNUMMER CONTACTLOZE BETALING: 5354 00XX XXXX 8030 KAARTHOUDER: BOMBAERT BRAM"/>
    <s v="Uitgave"/>
    <n v="-8.6300000000000008"/>
    <x v="2"/>
    <s v="OK"/>
  </r>
  <r>
    <d v="2025-10-15T00:00:00"/>
    <x v="9"/>
    <n v="-3.81"/>
    <x v="4"/>
    <s v="BETALING VIA DEBIT MASTERCARD        16-10 15-10-2025 OM 09.54 UUR OVO CHARGE ANYWHERE GBBS1 6ED BRISTOL MET APPLE PAY 5127 88XX XXXX 8113 VIRTUEEL KAARTNUMMER CONTACTLOZE BETALING: 5354 00XX XXXX 6677 KAARTHOUDER: BOMBAERT BRAM"/>
    <s v="Uitgave"/>
    <n v="-3.81"/>
    <x v="2"/>
    <s v="OK"/>
  </r>
  <r>
    <d v="2025-10-15T00:00:00"/>
    <x v="9"/>
    <n v="-1.4"/>
    <x v="2"/>
    <s v="BETALING VIA MAESTRO                 15-10 14-10-2025 OM 15.03 UUR VAC GENT BE GENT MET APPLE PAY 6703 42XX XXXX X901 0 VIRTUEEL KAARTNUMMER CONTACTLOZE BETALING: 6790 28XX XXXX X658 7 KAARTHOUDER: ROTTY CHRISTOFF"/>
    <s v="Uitgave"/>
    <n v="-1.4"/>
    <x v="2"/>
    <s v="OK"/>
  </r>
  <r>
    <d v="2025-10-15T00:00:00"/>
    <x v="9"/>
    <n v="-2.2999999999999998"/>
    <x v="2"/>
    <s v="BETALING VIA MAESTRO                 15-10 14-10-2025 OM 12.50 UUR VAC GENT BE GENT MET APPLE PAY 6703 42XX XXXX X901 0 VIRTUEEL KAARTNUMMER CONTACTLOZE BETALING: 6790 28XX XXXX X658 7 KAARTHOUDER: ROTTY CHRISTOFF"/>
    <s v="Uitgave"/>
    <n v="-2.2999999999999998"/>
    <x v="2"/>
    <s v="OK"/>
  </r>
  <r>
    <d v="2025-10-15T00:00:00"/>
    <x v="9"/>
    <n v="-7.2"/>
    <x v="2"/>
    <s v="BETALING VIA MAESTRO                 15-10 14-10-2025 OM 12.27 UUR VAC GENT BE GENT MET APPLE PAY 6703 42XX XXXX X901 0 VIRTUEEL KAARTNUMMER CONTACTLOZE BETALING: 6790 28XX XXXX X658 7 KAARTHOUDER: ROTTY CHRISTOFF"/>
    <s v="Uitgave"/>
    <n v="-7.2"/>
    <x v="2"/>
    <s v="OK"/>
  </r>
  <r>
    <d v="2025-10-15T00:00:00"/>
    <x v="9"/>
    <n v="-5"/>
    <x v="30"/>
    <s v="EUROPESE DOMICILIERING               15-10 SCHULDEISER     : DIGI COMMUNICATIONS BELGIUM NV REF. SCHULDEISER: 000009716467-822153 MANDAATREFERTE  : 1D574ED99E164823 MEDEDELING      : DIGI FACTUUR - OKTOBER 2025"/>
    <s v="Uitgave"/>
    <n v="-5"/>
    <x v="2"/>
    <s v="OK"/>
  </r>
  <r>
    <d v="2025-10-16T00:00:00"/>
    <x v="9"/>
    <n v="-3"/>
    <x v="2"/>
    <s v="BETALING VIA DEBIT MASTERCARD        17-10 16-10-2025 OM 15.12 UUR CARREFOUR MARKE BE8510 MARKE MET KBC-DEBETKAART 5127 88XX XXXX 8113 KAARTHOUDER: BOMBAERT BRAM"/>
    <s v="Uitgave"/>
    <n v="-3"/>
    <x v="2"/>
    <s v="OK"/>
  </r>
  <r>
    <d v="2025-10-16T00:00:00"/>
    <x v="9"/>
    <n v="-15.38"/>
    <x v="10"/>
    <s v="BETALING VIA DEBIT MASTERCARD        17-10 16-10-2025 OM 12.37 UUR TOM&amp;CO KORTRIJK BE8500 KORTRIJK MET APPLE PAY 5127 88XX XXXX 8113 VIRTUEEL KAARTNUMMER CONTACTLOZE BETALING: 5354 00XX XXXX 8030 KAARTHOUDER: BOMBAERT BRAM"/>
    <s v="Uitgave"/>
    <n v="-15.38"/>
    <x v="1"/>
    <s v="OK"/>
  </r>
  <r>
    <d v="2025-10-16T00:00:00"/>
    <x v="9"/>
    <n v="-13.21"/>
    <x v="2"/>
    <s v="BETALING VIA DEBIT MASTERCARD        17-10 16-10-2025 OM 12.26 UUR LIDL 803 KORTRIJK 2 BE8500 KORTRIJK MET APPLE PAY 5127 88XX XXXX 8113 VIRTUEEL KAARTNUMMER CONTACTLOZE BETALING: 5354 00XX XXXX 8030 KAARTHOUDER: BOMBAERT BRAM"/>
    <s v="Uitgave"/>
    <n v="-13.21"/>
    <x v="2"/>
    <s v="OK"/>
  </r>
  <r>
    <d v="2025-10-16T00:00:00"/>
    <x v="9"/>
    <n v="-1.5"/>
    <x v="11"/>
    <s v="BETALING VIA MAESTRO                 16-10 15-10-2025 OM 12.25 UUR VALINSOPAY NL NL WIJK EN AALBU MET APPLE PAY 6703 42XX XXXX X901 0 VIRTUEEL KAARTNUMMER CONTACTLOZE BETALING: 6790 28XX XXXX X658 7 KAARTHOUDER: ROTTY CHRISTOFF"/>
    <s v="Uitgave"/>
    <n v="-1.5"/>
    <x v="1"/>
    <s v="OK"/>
  </r>
  <r>
    <d v="2025-10-16T00:00:00"/>
    <x v="9"/>
    <n v="-1.5"/>
    <x v="11"/>
    <s v="BETALING VIA MAESTRO                 16-10 15-10-2025 OM 13.34 UUR VALINSOPAY NL NL WIJK EN AALBU MET APPLE PAY 6703 42XX XXXX X901 0 VIRTUEEL KAARTNUMMER CONTACTLOZE BETALING: 6790 28XX XXXX X658 7 KAARTHOUDER: ROTTY CHRISTOFF"/>
    <s v="Uitgave"/>
    <n v="-1.5"/>
    <x v="1"/>
    <s v="OK"/>
  </r>
  <r>
    <d v="2025-10-16T00:00:00"/>
    <x v="9"/>
    <n v="-81.66"/>
    <x v="27"/>
    <s v="EUROPESE DOMICILIERING               16-10 SCHULDEISER     : BALOISE BELGIUM NV REF. SCHULDEISER: 0000000000000024508879963 MANDAATREFERTE  : 202025682289 MEDEDELING      : POL.1A02635 VERV.10/10/25 9845"/>
    <s v="Uitgave"/>
    <n v="-81.66"/>
    <x v="2"/>
    <s v="OK"/>
  </r>
  <r>
    <d v="2025-10-16T00:00:00"/>
    <x v="9"/>
    <n v="-90"/>
    <x v="27"/>
    <s v="EUROPESE DOMICILIERING               16-10 SCHULDEISER     : BALOISE BELGIUM NV REF. SCHULDEISER: 0000000000000024512297393 MANDAATREFERTE  : 202025687747 MEDEDELING      : POL.1B57806 VERV.10/10/25 9845"/>
    <s v="Uitgave"/>
    <n v="-90"/>
    <x v="2"/>
    <s v="OK"/>
  </r>
  <r>
    <d v="2025-10-17T00:00:00"/>
    <x v="9"/>
    <n v="-2.8"/>
    <x v="2"/>
    <s v="BETALING VIA MAESTRO                 17-10 16-10-2025 OM 12.48 UUR FACILITAIR BEDRI BE BRUSSSEL MET KBC-DEBETKAART 6703 42XX XXXX X901 0 KAARTHOUDER: ROTTY CHRISTOFF"/>
    <s v="Uitgave"/>
    <n v="-2.8"/>
    <x v="2"/>
    <s v="OK"/>
  </r>
  <r>
    <d v="2025-10-17T00:00:00"/>
    <x v="9"/>
    <n v="-7.39"/>
    <x v="2"/>
    <s v="BETALING VIA MAESTRO                 17-10 16-10-2025 OM 17.46 UUR CARREFOUR MARKE BE MARKE MET APPLE PAY 6703 42XX XXXX X901 0 VIRTUEEL KAARTNUMMER CONTACTLOZE BETALING: 6790 28XX XXXX X658 7 KAARTHOUDER: ROTTY CHRISTOFF"/>
    <s v="Uitgave"/>
    <n v="-7.39"/>
    <x v="2"/>
    <s v="OK"/>
  </r>
  <r>
    <d v="2025-10-17T00:00:00"/>
    <x v="9"/>
    <n v="900"/>
    <x v="1"/>
    <s v="STORTING AUTOMAAT                    17-10 BC KONINGIN MARIA H       GENT MET KBC-DEBETKAART 6703 42XX XXXX X901 0 KAARTHOUDER ROTTY CHRISTOFF REFERTE 000401853024832510170828"/>
    <s v="Inkomst"/>
    <n v="900"/>
    <x v="1"/>
    <s v="OK"/>
  </r>
  <r>
    <d v="2025-10-18T00:00:00"/>
    <x v="9"/>
    <n v="-19.98"/>
    <x v="12"/>
    <s v="BETALING VIA DEBIT MASTERCARD        22-10 18-10-2025 OM 18.04 UUR ZEB WETTEREN BE9230 WETTEREN MET APPLE PAY 5127 88XX XXXX 8113 VIRTUEEL KAARTNUMMER CONTACTLOZE BETALING: 5354 00XX XXXX 8030 KAARTHOUDER: BOMBAERT BRAM"/>
    <s v="Uitgave"/>
    <n v="-19.98"/>
    <x v="1"/>
    <s v="OK"/>
  </r>
  <r>
    <d v="2025-10-18T00:00:00"/>
    <x v="9"/>
    <n v="-7.51"/>
    <x v="2"/>
    <s v="BETALING VIA DEBIT MASTERCARD        20-10 18-10-2025 OM 11.44 UUR LIDL 803 KORTRIJK 2 BE8500 KORTRIJK MET APPLE PAY 5127 88XX XXXX 8113 VIRTUEEL KAARTNUMMER CONTACTLOZE BETALING: 5354 00XX XXXX 8030 KAARTHOUDER: BOMBAERT BRAM"/>
    <s v="Uitgave"/>
    <n v="-7.51"/>
    <x v="2"/>
    <s v="OK"/>
  </r>
  <r>
    <d v="2025-10-18T00:00:00"/>
    <x v="9"/>
    <n v="-3.38"/>
    <x v="4"/>
    <s v="BETALING VIA DEBIT MASTERCARD        20-10 18-10-2025 OM 10.18 UUR OVO CHARGE ANYWHERE GBBS1 6ED BRISTOL MET APPLE PAY 5127 88XX XXXX 8113 VIRTUEEL KAARTNUMMER CONTACTLOZE BETALING: 5354 00XX XXXX 6677 KAARTHOUDER: BOMBAERT BRAM"/>
    <s v="Uitgave"/>
    <n v="-3.38"/>
    <x v="2"/>
    <s v="OK"/>
  </r>
  <r>
    <d v="2025-10-18T00:00:00"/>
    <x v="9"/>
    <n v="-9.5299999999999994"/>
    <x v="4"/>
    <s v="BETALING VIA DEBIT MASTERCARD        20-10 18-10-2025 OM 04.06 UUR OVO CHARGE ANYWHERE GBBS1 6ED BRISTOL MET APPLE PAY 5127 88XX XXXX 8113 VIRTUEEL KAARTNUMMER CONTACTLOZE BETALING: 5354 00XX XXXX 6677 KAARTHOUDER: BOMBAERT BRAM"/>
    <s v="Uitgave"/>
    <n v="-9.5299999999999994"/>
    <x v="2"/>
    <s v="OK"/>
  </r>
  <r>
    <d v="2025-10-18T00:00:00"/>
    <x v="9"/>
    <n v="45"/>
    <x v="1"/>
    <s v="INSTANTOVERSCHRIJVING VAN            18-10 BE19 4468 6772 0112 BANKIER OPDRACHTGEVER: KREDBEBBXXX BOMBAERT-VAN ESCH J &amp; M OM 18.19 UUR"/>
    <s v="Inkomst"/>
    <n v="45"/>
    <x v="1"/>
    <s v="OK"/>
  </r>
  <r>
    <d v="2025-10-18T00:00:00"/>
    <x v="9"/>
    <n v="-90"/>
    <x v="12"/>
    <s v="BETALING VIA BANCONTACT              20-10 18-10-2025 OM 17.01 UUR CORPORATE BENEFITS BEN BE3500 HASSELT MET KBC-DEBETKAART 5127 88XX XXXX 8113 KAARTHOUDER: BOMBAERT BRAM INFO VAN DE HANDELAAR: 74Q30V9 E-BENELUX-25-1124536"/>
    <s v="Uitgave"/>
    <n v="-90"/>
    <x v="1"/>
    <s v="OK"/>
  </r>
  <r>
    <d v="2025-10-18T00:00:00"/>
    <x v="9"/>
    <n v="-8.9499999999999993"/>
    <x v="2"/>
    <s v="BETALING VIA BANCONTACT              20-10 18-10-2025 OM 16.04 UUR OIL &amp; VINEGAR AALST BE9300 AALST MET KBC-DEBETKAART 5127 88XX XXXX 8113 KAARTHOUDER: BOMBAERT BRAM"/>
    <s v="Uitgave"/>
    <n v="-8.9499999999999993"/>
    <x v="2"/>
    <s v="OK"/>
  </r>
  <r>
    <d v="2025-10-18T00:00:00"/>
    <x v="9"/>
    <n v="-24.99"/>
    <x v="23"/>
    <s v="BETALING VIA BANCONTACT              20-10 18-10-2025 OM 12.34 UUR BOL.COM NL3528 BJ UTRECHT MET KBC-DEBETKAART 5127 88XX XXXX 8113 KAARTHOUDER: BOMBAERT BRAM"/>
    <s v="Uitgave"/>
    <n v="-24.99"/>
    <x v="1"/>
    <s v="OK"/>
  </r>
  <r>
    <d v="2025-10-18T00:00:00"/>
    <x v="9"/>
    <n v="-10.5"/>
    <x v="17"/>
    <s v="BETALING VIA BANCONTACT              20-10 18-10-2025 OM 11.24 UUR ALBION SPEEL MET FANTA BE8500 KORTRIJK MET KBC-DEBETKAART 5127 88XX XXXX 8113 KAARTHOUDER: BOMBAERT BRAM"/>
    <s v="Uitgave"/>
    <n v="-10.5"/>
    <x v="1"/>
    <s v="OK"/>
  </r>
  <r>
    <d v="2025-10-18T00:00:00"/>
    <x v="9"/>
    <n v="-49.99"/>
    <x v="17"/>
    <s v="BETALING VIA BANCONTACT              20-10 18-10-2025 OM 09.16 UUR S2P VALVE IT20143 MILAN MET KBC-DEBETKAART 6703 42XX XXXX X901 0 KAARTHOUDER: ROTTY CHRISTOFF"/>
    <s v="Uitgave"/>
    <n v="-49.99"/>
    <x v="1"/>
    <s v="OK"/>
  </r>
  <r>
    <d v="2025-10-19T00:00:00"/>
    <x v="9"/>
    <n v="-2"/>
    <x v="2"/>
    <s v="BETALING VIA DEBIT MASTERCARD        20-10 19-10-2025 OM 12.14 UUR CARREFOUR MARKE BE8510 MARKE MET APPLE PAY 5127 88XX XXXX 8113 VIRTUEEL KAARTNUMMER CONTACTLOZE BETALING: 5354 00XX XXXX 6677 KAARTHOUDER: BOMBAERT BRAM"/>
    <s v="Uitgave"/>
    <n v="-2"/>
    <x v="2"/>
    <s v="OK"/>
  </r>
  <r>
    <d v="2025-10-19T00:00:00"/>
    <x v="9"/>
    <n v="-85"/>
    <x v="29"/>
    <s v="BETALING VIA DEBIT MASTERCARD        20-10 19-10-2025 OM 11.36 UUR COOLBLUE N.V. BE2600 BERCHEM MET APPLE PAY 5127 88XX XXXX 8113 VIRTUEEL KAARTNUMMER CONTACTLOZE BETALING: 5354 00XX XXXX 6677 KAARTHOUDER: BOMBAERT BRAM"/>
    <s v="Uitgave"/>
    <n v="-85"/>
    <x v="1"/>
    <s v="OK"/>
  </r>
  <r>
    <d v="2025-10-20T00:00:00"/>
    <x v="9"/>
    <n v="-10.3"/>
    <x v="2"/>
    <s v="BETALING VIA DEBIT MASTERCARD        22-10 20-10-2025 OM 16.34 UUR LIDL 803 KORTRIJK 2 BE8500 KORTRIJK MET APPLE PAY 5127 88XX XXXX 8113 VIRTUEEL KAARTNUMMER CONTACTLOZE BETALING: 5354 00XX XXXX 6677 KAARTHOUDER: BOMBAERT BRAM"/>
    <s v="Uitgave"/>
    <n v="-10.3"/>
    <x v="2"/>
    <s v="OK"/>
  </r>
  <r>
    <d v="2025-10-20T00:00:00"/>
    <x v="9"/>
    <n v="-16.579999999999998"/>
    <x v="15"/>
    <s v="BETALING VIA DEBIT MASTERCARD        22-10 20-10-2025 OM 18.05 UUR IKEA GENT-STORE BE9051 SINT-DENIJS-W MET APPLE PAY 5127 88XX XXXX 8113 VIRTUEEL KAARTNUMMER CONTACTLOZE BETALING: 5354 00XX XXXX 8030 KAARTHOUDER: BOMBAERT BRAM"/>
    <s v="Uitgave"/>
    <n v="-16.579999999999998"/>
    <x v="1"/>
    <s v="OK"/>
  </r>
  <r>
    <d v="2025-10-20T00:00:00"/>
    <x v="9"/>
    <n v="-2"/>
    <x v="5"/>
    <s v="BETALING VIA DEBIT MASTERCARD        21-10 20-10-2025 OM 16.21 UUR CCV*P SCHOUWBURG BE8500 KORTRIJK MET APPLE PAY 5127 88XX XXXX 8113 VIRTUEEL KAARTNUMMER CONTACTLOZE BETALING: 5354 00XX XXXX 8030 KAARTHOUDER: BOMBAERT BRAM"/>
    <s v="Uitgave"/>
    <n v="-2"/>
    <x v="1"/>
    <s v="OK"/>
  </r>
  <r>
    <d v="2025-10-20T00:00:00"/>
    <x v="9"/>
    <n v="-39.19"/>
    <x v="12"/>
    <s v="BETALING VIA DEBIT MASTERCARD        21-10 20-10-2025 OM 16.13 UUR JULES M1073 BE8500 KORTRIJK MET APPLE PAY 5127 88XX XXXX 8113 VIRTUEEL KAARTNUMMER CONTACTLOZE BETALING: 5354 00XX XXXX 8030 KAARTHOUDER: BOMBAERT BRAM"/>
    <s v="Uitgave"/>
    <n v="-39.19"/>
    <x v="1"/>
    <s v="OK"/>
  </r>
  <r>
    <d v="2025-10-20T00:00:00"/>
    <x v="9"/>
    <n v="-7.46"/>
    <x v="4"/>
    <s v="BETALING VIA DEBIT MASTERCARD        21-10 20-10-2025 OM 05.02 UUR OVO CHARGE ANYWHERE GBBS1 6ED BRISTOL MET APPLE PAY 5127 88XX XXXX 8113 VIRTUEEL KAARTNUMMER CONTACTLOZE BETALING: 5354 00XX XXXX 6677 KAARTHOUDER: BOMBAERT BRAM"/>
    <s v="Uitgave"/>
    <n v="-7.46"/>
    <x v="2"/>
    <s v="OK"/>
  </r>
  <r>
    <d v="2025-10-20T00:00:00"/>
    <x v="9"/>
    <n v="-24.8"/>
    <x v="41"/>
    <s v="BETALING VIA BANCONTACT              20-10 20-10-2025 OM 16.17 UUR VIVA SARA SHOP BE8500 KORTRIJK MET KBC-DEBETKAART 5127 88XX XXXX 8113 KAARTHOUDER: BOMBAERT BRAM"/>
    <s v="Uitgave"/>
    <n v="-24.8"/>
    <x v="1"/>
    <s v="OK"/>
  </r>
  <r>
    <d v="2025-10-20T00:00:00"/>
    <x v="9"/>
    <n v="-66"/>
    <x v="8"/>
    <s v="BETALING VIA BANCONTACT              20-10 20-10-2025 OM 10.12 UUR TICKET.MONSTER BE8860 LENDELEDE MET KBC-DEBETKAART 6703 42XX XXXX X901 0 KAARTHOUDER: ROTTY CHRISTOFF INFO VAN DE HANDELAAR: 74QUOKR CHECKOUT ID: 68F5FC44B"/>
    <s v="Uitgave"/>
    <n v="-66"/>
    <x v="1"/>
    <s v="OK"/>
  </r>
  <r>
    <d v="2025-10-20T00:00:00"/>
    <x v="9"/>
    <n v="-1.5"/>
    <x v="11"/>
    <s v="BETALING VIA MAESTRO                 20-10 17-10-2025 OM 13.56 UUR VALINSOPAY NL NL WIJK EN AALBU MET APPLE PAY 6703 42XX XXXX X901 0 VIRTUEEL KAARTNUMMER CONTACTLOZE BETALING: 6790 28XX XXXX X005 7 KAARTHOUDER: ROTTY CHRISTOFF"/>
    <s v="Uitgave"/>
    <n v="-1.5"/>
    <x v="1"/>
    <s v="OK"/>
  </r>
  <r>
    <d v="2025-10-20T00:00:00"/>
    <x v="9"/>
    <n v="-7.5"/>
    <x v="2"/>
    <s v="BETALING VIA MAESTRO                 20-10 17-10-2025 OM 17.35 UUR LS SPARKX GENT BE SINT-DENIJS W MET APPLE PAY 6703 42XX XXXX X901 0 VIRTUEEL KAARTNUMMER CONTACTLOZE BETALING: 6790 28XX XXXX X658 7 KAARTHOUDER: ROTTY CHRISTOFF"/>
    <s v="Uitgave"/>
    <n v="-7.5"/>
    <x v="2"/>
    <s v="OK"/>
  </r>
  <r>
    <d v="2025-10-20T00:00:00"/>
    <x v="9"/>
    <n v="-4"/>
    <x v="2"/>
    <s v="BETALING VIA MAESTRO                 20-10 17-10-2025 OM 17.09 UUR LS SPARKX GENT BE SINT-DENIJS W MET APPLE PAY 6703 42XX XXXX X901 0 VIRTUEEL KAARTNUMMER CONTACTLOZE BETALING: 6790 28XX XXXX X658 7 KAARTHOUDER: ROTTY CHRISTOFF"/>
    <s v="Uitgave"/>
    <n v="-4"/>
    <x v="2"/>
    <s v="OK"/>
  </r>
  <r>
    <d v="2025-10-20T00:00:00"/>
    <x v="9"/>
    <n v="-33.549999999999997"/>
    <x v="31"/>
    <s v="EUROPESE DOMICILIERING               20-10 SCHULDEISER     : CARDIF -ASSURANCE VIE REF. SCHULDEISER: RF70250548428578244518466 MANDAATREFERTE  : CARDIF-8742994/01 MEDEDELING      : SCOR                   ISO                   RF70250548428578244518466"/>
    <s v="Uitgave"/>
    <n v="-33.549999999999997"/>
    <x v="2"/>
    <s v="OK"/>
  </r>
  <r>
    <d v="2025-10-21T00:00:00"/>
    <x v="9"/>
    <n v="-13.02"/>
    <x v="2"/>
    <s v="BETALING VIA DEBIT MASTERCARD        22-10 21-10-2025 OM 15.25 UUR CARREFOUR MARKE BE8510 MARKE MET APPLE PAY 5127 88XX XXXX 8113 VIRTUEEL KAARTNUMMER CONTACTLOZE BETALING: 5354 00XX XXXX 6677 KAARTHOUDER: BOMBAERT BRAM"/>
    <s v="Uitgave"/>
    <n v="-13.02"/>
    <x v="2"/>
    <s v="OK"/>
  </r>
  <r>
    <d v="2025-10-21T00:00:00"/>
    <x v="9"/>
    <n v="-3"/>
    <x v="2"/>
    <s v="BETALING VIA DEBIT MASTERCARD        22-10 21-10-2025 OM 12.25 UUR CARREFOUR MARKE BE8510 MARKE MET APPLE PAY 5127 88XX XXXX 8113 VIRTUEEL KAARTNUMMER CONTACTLOZE BETALING: 5354 00XX XXXX 8030 KAARTHOUDER: BOMBAERT BRAM"/>
    <s v="Uitgave"/>
    <n v="-3"/>
    <x v="2"/>
    <s v="OK"/>
  </r>
  <r>
    <d v="2025-10-21T00:00:00"/>
    <x v="9"/>
    <n v="-5"/>
    <x v="51"/>
    <s v="BETALING VIA BANCONTACT              22-10 21-10-2025 OM 21.16 UUR ORANGE BRUXELLES BE1140 BRUSSEL MET KBC-DEBETKAART 6703 42XX XXXX X901 0 KAARTHOUDER: ROTTY CHRISTOFF"/>
    <s v="Uitgave"/>
    <n v="-5"/>
    <x v="2"/>
    <s v="OK"/>
  </r>
  <r>
    <d v="2025-10-21T00:00:00"/>
    <x v="9"/>
    <n v="-9.43"/>
    <x v="4"/>
    <s v="BETALING VIA DEBIT MASTERCARD        22-10 21-10-2025 OM 05.04 UUR OVO CHARGE ANYWHERE GBBS1 6ED BRISTOL MET APPLE PAY 5127 88XX XXXX 8113 VIRTUEEL KAARTNUMMER CONTACTLOZE BETALING: 5354 00XX XXXX 6677 KAARTHOUDER: BOMBAERT BRAM"/>
    <s v="Uitgave"/>
    <n v="-9.43"/>
    <x v="2"/>
    <s v="OK"/>
  </r>
  <r>
    <d v="2025-10-21T00:00:00"/>
    <x v="9"/>
    <n v="-7"/>
    <x v="2"/>
    <s v="BETALING VIA MAESTRO                 21-10 20-10-2025 OM 08.55 UUR Q8 108131 GENTBRUGGE V BE GENTBRUGGE MET APPLE PAY 6703 42XX XXXX X901 0 VIRTUEEL KAARTNUMMER CONTACTLOZE BETALING: 6790 28XX XXXX X658 7 KAARTHOUDER: ROTTY CHRISTOFF"/>
    <s v="Uitgave"/>
    <n v="-7"/>
    <x v="2"/>
    <s v="OK"/>
  </r>
  <r>
    <d v="2025-10-21T00:00:00"/>
    <x v="9"/>
    <n v="-1.5"/>
    <x v="11"/>
    <s v="BETALING VIA MAESTRO                 21-10 20-10-2025 OM 12.55 UUR VALINSOPAY NL NL WIJK EN AALBU MET APPLE PAY 6703 42XX XXXX X901 0 VIRTUEEL KAARTNUMMER CONTACTLOZE BETALING: 6790 28XX XXXX X658 7 KAARTHOUDER: ROTTY CHRISTOFF"/>
    <s v="Uitgave"/>
    <n v="-1.5"/>
    <x v="1"/>
    <s v="OK"/>
  </r>
  <r>
    <d v="2025-10-21T00:00:00"/>
    <x v="9"/>
    <n v="-1.5"/>
    <x v="11"/>
    <s v="BETALING VIA MAESTRO                 21-10 20-10-2025 OM 17.00 UUR VALINSOPAY NL NL WIJK EN AALBU MET APPLE PAY 6703 42XX XXXX X901 0 VIRTUEEL KAARTNUMMER CONTACTLOZE BETALING: 6790 28XX XXXX X005 7 KAARTHOUDER: ROTTY CHRISTOFF"/>
    <s v="Uitgave"/>
    <n v="-1.5"/>
    <x v="1"/>
    <s v="OK"/>
  </r>
  <r>
    <d v="2025-10-21T00:00:00"/>
    <x v="9"/>
    <n v="12"/>
    <x v="12"/>
    <s v="OVERSCHRIJVING VAN                   21-10 FR52 2193 3000 01DF 415E 7VNE 419 BANKIER OPDRACHTGEVER: MPAYFRP1XXX MANGOPAY VINTED REFERENTIE: 1F3718EA34B748B2BAD477522239DCE1"/>
    <s v="Inkomst"/>
    <n v="12"/>
    <x v="1"/>
    <s v="OK"/>
  </r>
  <r>
    <d v="2025-10-21T00:00:00"/>
    <x v="9"/>
    <n v="-16.920000000000002"/>
    <x v="14"/>
    <s v="BETALING VIA BANCONTACT              21-10 21-10-2025 OM 06.48 UUR MIJN.HOST NL1066JR AMSTERDAM MET KBC-DEBETKAART 6703 42XX XXXX X901 0 KAARTHOUDER: ROTTY CHRISTOFF INFO VAN DE HANDELAAR: 74RALOG MIJN.HOST FACTUURNR. 2"/>
    <s v="Uitgave"/>
    <n v="-16.920000000000002"/>
    <x v="1"/>
    <s v="OK"/>
  </r>
  <r>
    <d v="2025-10-22T00:00:00"/>
    <x v="9"/>
    <n v="-8.5500000000000007"/>
    <x v="2"/>
    <s v="BETALING VIA DEBIT MASTERCARD        23-10 22-10-2025 OM 13.41 UUR LIDL 803 KORTRIJK 2 BE8500 KORTRIJK MET APPLE PAY 5127 88XX XXXX 8113 VIRTUEEL KAARTNUMMER CONTACTLOZE BETALING: 5354 00XX XXXX 8030 KAARTHOUDER: BOMBAERT BRAM"/>
    <s v="Uitgave"/>
    <n v="-8.5500000000000007"/>
    <x v="2"/>
    <s v="OK"/>
  </r>
  <r>
    <d v="2025-10-22T00:00:00"/>
    <x v="9"/>
    <n v="-9.84"/>
    <x v="2"/>
    <s v="BETALING VIA DEBIT MASTERCARD        23-10 22-10-2025 OM 13.52 UUR CARREFOUR MARKE BE8510 MARKE MET APPLE PAY 5127 88XX XXXX 8113 VIRTUEEL KAARTNUMMER CONTACTLOZE BETALING: 5354 00XX XXXX 8030 KAARTHOUDER: BOMBAERT BRAM"/>
    <s v="Uitgave"/>
    <n v="-9.84"/>
    <x v="2"/>
    <s v="OK"/>
  </r>
  <r>
    <d v="2025-10-22T00:00:00"/>
    <x v="9"/>
    <n v="-2"/>
    <x v="5"/>
    <s v="BETALING VIA DEBIT MASTERCARD        23-10 22-10-2025 OM 13.30 UUR CCV*P SCHOUWBURG BE8500 KORTRIJK MET APPLE PAY 5127 88XX XXXX 8113 VIRTUEEL KAARTNUMMER CONTACTLOZE BETALING: 5354 00XX XXXX 8030 KAARTHOUDER: BOMBAERT BRAM"/>
    <s v="Uitgave"/>
    <n v="-2"/>
    <x v="1"/>
    <s v="OK"/>
  </r>
  <r>
    <d v="2025-10-22T00:00:00"/>
    <x v="9"/>
    <n v="-19.989999999999998"/>
    <x v="12"/>
    <s v="BETALING VIA DEBIT MASTERCARD        23-10 22-10-2025 OM 13.22 UUR JULES M1073 BE8500 KORTRIJK MET APPLE PAY 5127 88XX XXXX 8113 VIRTUEEL KAARTNUMMER CONTACTLOZE BETALING: 5354 00XX XXXX 8030 KAARTHOUDER: BOMBAERT BRAM"/>
    <s v="Uitgave"/>
    <n v="-19.989999999999998"/>
    <x v="1"/>
    <s v="OK"/>
  </r>
  <r>
    <d v="2025-10-22T00:00:00"/>
    <x v="9"/>
    <n v="-0.99"/>
    <x v="53"/>
    <s v="BETALING VIA DEBIT MASTERCARD        23-10 22-10-2025 OM 13.03 UUR ACTION 2058 BE8500 KORTRIJK MET APPLE PAY 5127 88XX XXXX 8113 VIRTUEEL KAARTNUMMER CONTACTLOZE BETALING: 5354 00XX XXXX 8030 KAARTHOUDER: BOMBAERT BRAM"/>
    <s v="Uitgave"/>
    <n v="-0.99"/>
    <x v="1"/>
    <s v="OK"/>
  </r>
  <r>
    <d v="2025-10-22T00:00:00"/>
    <x v="9"/>
    <n v="-14"/>
    <x v="17"/>
    <s v="BETALING VIA BANCONTACT              22-10 22-10-2025 OM 12.14 UUR LUCIE P2P MOBILE MET KBC-DEBETKAART 6703 42XX XXXX X901 0 KAARTHOUDER: ROTTY CHRISTOFF"/>
    <s v="Uitgave"/>
    <n v="-14"/>
    <x v="1"/>
    <s v="OK"/>
  </r>
  <r>
    <d v="2025-10-22T00:00:00"/>
    <x v="9"/>
    <n v="8"/>
    <x v="1"/>
    <s v="INSTANTOVERSCHRIJVING VAN            22-10 BE19 4468 6772 0112 BANKIER OPDRACHTGEVER: KREDBEBBXXX BOMBAERT-VAN ESCH J &amp; M KOEKEN OM 11.25 UUR"/>
    <s v="Inkomst"/>
    <n v="8"/>
    <x v="1"/>
    <s v="OK"/>
  </r>
  <r>
    <d v="2025-10-22T00:00:00"/>
    <x v="9"/>
    <n v="-1.5"/>
    <x v="11"/>
    <s v="BETALING VIA MAESTRO                 22-10 21-10-2025 OM 09.59 UUR VALINSOPAY NL NL WIJK EN AALBU MET APPLE PAY 6703 42XX XXXX X901 0 VIRTUEEL KAARTNUMMER CONTACTLOZE BETALING: 6790 28XX XXXX X005 7 KAARTHOUDER: ROTTY CHRISTOFF"/>
    <s v="Uitgave"/>
    <n v="-1.5"/>
    <x v="1"/>
    <s v="OK"/>
  </r>
  <r>
    <d v="2025-10-22T00:00:00"/>
    <x v="9"/>
    <n v="-1.5"/>
    <x v="11"/>
    <s v="BETALING VIA MAESTRO                 22-10 21-10-2025 OM 12.19 UUR VALINSOPAY NL NL WIJK EN AALBU MET APPLE PAY 6703 42XX XXXX X901 0 VIRTUEEL KAARTNUMMER CONTACTLOZE BETALING: 6790 28XX XXXX X005 7 KAARTHOUDER: ROTTY CHRISTOFF"/>
    <s v="Uitgave"/>
    <n v="-1.5"/>
    <x v="1"/>
    <s v="OK"/>
  </r>
  <r>
    <d v="2025-10-22T00:00:00"/>
    <x v="9"/>
    <n v="-53.29"/>
    <x v="33"/>
    <s v="EUROPESE DOMICILIERING               22-10 SCHULDEISER     : AXA REF. SCHULDEISER: 20251016010914482762008057 MANDAATREFERTE  : 010817143526001 MEDEDELING      : 0108171435261042025-10-222025100000 0010817143526"/>
    <s v="Uitgave"/>
    <n v="-53.29"/>
    <x v="2"/>
    <s v="OK"/>
  </r>
  <r>
    <d v="2025-10-23T00:00:00"/>
    <x v="9"/>
    <n v="-31.87"/>
    <x v="2"/>
    <s v="BETALING VIA DEBIT MASTERCARD        27-10 23-10-2025 OM 14.31 UUR LIDL 803 KORTRIJK 2 BE8500 KORTRIJK MET APPLE PAY 5127 88XX XXXX 8113 VIRTUEEL KAARTNUMMER CONTACTLOZE BETALING: 5354 00XX XXXX 8030 KAARTHOUDER: BOMBAERT BRAM"/>
    <s v="Uitgave"/>
    <n v="-31.87"/>
    <x v="2"/>
    <s v="OK"/>
  </r>
  <r>
    <d v="2025-10-23T00:00:00"/>
    <x v="9"/>
    <n v="-26"/>
    <x v="63"/>
    <s v="BETALING VIA BANCONTACT              23-10 23-10-2025 OM 13.56 UUR LIEN P2P MOBILE MET KBC-DEBETKAART 5127 88XX XXXX 8113 KAARTHOUDER: BOMBAERT BRAM"/>
    <s v="Uitgave"/>
    <n v="-26"/>
    <x v="1"/>
    <s v="OK"/>
  </r>
  <r>
    <d v="2025-10-24T00:00:00"/>
    <x v="9"/>
    <n v="-97.5"/>
    <x v="9"/>
    <s v="BETALING VIA DEBIT MASTERCARD        27-10 24-10-2025 OM 19.21 UUR RIBS 'N BEER BE8500 KORTRIJK MET APPLE PAY 5127 88XX XXXX 8113 VIRTUEEL KAARTNUMMER CONTACTLOZE BETALING: 5354 00XX XXXX 8030 KAARTHOUDER: BOMBAERT BRAM"/>
    <s v="Uitgave"/>
    <n v="-97.5"/>
    <x v="1"/>
    <s v="OK"/>
  </r>
  <r>
    <d v="2025-10-24T00:00:00"/>
    <x v="9"/>
    <n v="-1.52"/>
    <x v="5"/>
    <s v="BETALING VIA DEBIT MASTERCARD        27-10 24-10-2025 OM 19.33 UUR KORTRIJK P1 BE8500 KORTRIJK MET APPLE PAY 5127 88XX XXXX 8113 VIRTUEEL KAARTNUMMER CONTACTLOZE BETALING: 5354 00XX XXXX 8030 KAARTHOUDER: BOMBAERT BRAM"/>
    <s v="Uitgave"/>
    <n v="-1.52"/>
    <x v="1"/>
    <s v="OK"/>
  </r>
  <r>
    <d v="2025-10-24T00:00:00"/>
    <x v="9"/>
    <n v="-3.98"/>
    <x v="2"/>
    <s v="BETALING VIA DEBIT MASTERCARD        27-10 24-10-2025 OM 17.48 UUR SPAR KORTRIJK BE8500 KORTRIJK MET APPLE PAY 5127 88XX XXXX 8113 VIRTUEEL KAARTNUMMER CONTACTLOZE BETALING: 5354 00XX XXXX 8030 KAARTHOUDER: BOMBAERT BRAM"/>
    <s v="Uitgave"/>
    <n v="-3.98"/>
    <x v="2"/>
    <s v="OK"/>
  </r>
  <r>
    <d v="2025-10-24T00:00:00"/>
    <x v="9"/>
    <n v="-1.5"/>
    <x v="11"/>
    <s v="BETALING VIA MAESTRO                 24-10 23-10-2025 OM 13.40 UUR VALINSOPAY NL NL WIJK EN AALBU MET APPLE PAY 6703 42XX XXXX X901 0 VIRTUEEL KAARTNUMMER CONTACTLOZE BETALING: 6790 28XX XXXX X658 7 KAARTHOUDER: ROTTY CHRISTOFF"/>
    <s v="Uitgave"/>
    <n v="-1.5"/>
    <x v="1"/>
    <s v="OK"/>
  </r>
  <r>
    <d v="2025-10-24T00:00:00"/>
    <x v="9"/>
    <n v="-1.5"/>
    <x v="11"/>
    <s v="BETALING VIA MAESTRO                 24-10 23-10-2025 OM 09.11 UUR VALINSOPAY NL NL WIJK EN AALBU MET APPLE PAY 6703 42XX XXXX X901 0 VIRTUEEL KAARTNUMMER CONTACTLOZE BETALING: 6790 28XX XXXX X658 7 KAARTHOUDER: ROTTY CHRISTOFF"/>
    <s v="Uitgave"/>
    <n v="-1.5"/>
    <x v="1"/>
    <s v="OK"/>
  </r>
  <r>
    <d v="2025-10-24T00:00:00"/>
    <x v="9"/>
    <n v="-1.5"/>
    <x v="11"/>
    <s v="BETALING VIA MAESTRO                 24-10 23-10-2025 OM 11.56 UUR VALINSOPAY NL NL WIJK EN AALBU MET APPLE PAY 6703 42XX XXXX X901 0 VIRTUEEL KAARTNUMMER CONTACTLOZE BETALING: 6790 28XX XXXX X658 7 KAARTHOUDER: ROTTY CHRISTOFF"/>
    <s v="Uitgave"/>
    <n v="-1.5"/>
    <x v="1"/>
    <s v="OK"/>
  </r>
  <r>
    <d v="2025-10-24T00:00:00"/>
    <x v="9"/>
    <n v="-1.5"/>
    <x v="11"/>
    <s v="BETALING VIA MAESTRO                 24-10 22-10-2025 OM 10.05 UUR VALINSOPAY NL NL WIJK EN AALBU MET APPLE PAY 6703 42XX XXXX X901 0 VIRTUEEL KAARTNUMMER CONTACTLOZE BETALING: 6790 28XX XXXX X005 7 KAARTHOUDER: ROTTY CHRISTOFF"/>
    <s v="Uitgave"/>
    <n v="-1.5"/>
    <x v="1"/>
    <s v="OK"/>
  </r>
  <r>
    <d v="2025-10-24T00:00:00"/>
    <x v="9"/>
    <n v="-1.5"/>
    <x v="11"/>
    <s v="BETALING VIA MAESTRO                 24-10 22-10-2025 OM 14.35 UUR VALINSOPAY NL NL WIJK EN AALBU MET APPLE PAY 6703 42XX XXXX X901 0 VIRTUEEL KAARTNUMMER CONTACTLOZE BETALING: 6790 28XX XXXX X005 7 KAARTHOUDER: ROTTY CHRISTOFF"/>
    <s v="Uitgave"/>
    <n v="-1.5"/>
    <x v="1"/>
    <s v="OK"/>
  </r>
  <r>
    <d v="2025-10-24T00:00:00"/>
    <x v="9"/>
    <n v="-1.5"/>
    <x v="11"/>
    <s v="BETALING VIA MAESTRO                 24-10 22-10-2025 OM 12.06 UUR VALINSOPAY NL NL WIJK EN AALBU MET APPLE PAY 6703 42XX XXXX X901 0 VIRTUEEL KAARTNUMMER CONTACTLOZE BETALING: 6790 28XX XXXX X658 7 KAARTHOUDER: ROTTY CHRISTOFF"/>
    <s v="Uitgave"/>
    <n v="-1.5"/>
    <x v="1"/>
    <s v="OK"/>
  </r>
  <r>
    <d v="2025-10-24T00:00:00"/>
    <x v="9"/>
    <n v="-120.98"/>
    <x v="33"/>
    <s v="EUROPESE DOMICILIERING               24-10 SCHULDEISER     : AXA REF. SCHULDEISER: 20251018011531488587011998 MANDAATREFERTE  : 010624258692001 MEDEDELING      : 0106242586921042025-10-242025100000 0010624258692"/>
    <s v="Uitgave"/>
    <n v="-120.98"/>
    <x v="2"/>
    <s v="OK"/>
  </r>
  <r>
    <d v="2025-10-24T00:00:00"/>
    <x v="9"/>
    <n v="-10"/>
    <x v="7"/>
    <s v="EUROPESE DOMICILIERING               24-10 SCHULDEISER     : KLASSE VIA MOLLIE REF. SCHULDEISER: SD18-0689-4254-4733 FEITEL. BEGUNST.: STICHTING MOLLIE PAYMENTS MANDAATREFERTE  : MD15-6737-8947-1023 MEDEDELING      : ABONNEMENT KLASSE MAGAZINE (ABONNEE NR. 72846087)"/>
    <s v="Uitgave"/>
    <n v="-10"/>
    <x v="1"/>
    <s v="OK"/>
  </r>
  <r>
    <d v="2025-10-25T00:00:00"/>
    <x v="9"/>
    <n v="-25"/>
    <x v="13"/>
    <s v="BETALING VIA BANCONTACT              27-10 25-10-2025 OM 09.33 UUR VERLINDE LAUREN BE8510 MARKE MET KBC-DEBETKAART 5127 88XX XXXX 8113 KAARTHOUDER: BOMBAERT BRAM"/>
    <s v="Uitgave"/>
    <n v="-25"/>
    <x v="2"/>
    <s v="OK"/>
  </r>
  <r>
    <d v="2025-10-25T00:00:00"/>
    <x v="9"/>
    <n v="-22.66"/>
    <x v="2"/>
    <s v="BETALING VIA DEBIT MASTERCARD        27-10 25-10-2025 OM 12.11 UUR CARREFOUR MARKE BE8510 MARKE MET APPLE PAY 5127 88XX XXXX 8113 VIRTUEEL KAARTNUMMER CONTACTLOZE BETALING: 5354 00XX XXXX 8030 KAARTHOUDER: BOMBAERT BRAM"/>
    <s v="Uitgave"/>
    <n v="-22.66"/>
    <x v="2"/>
    <s v="OK"/>
  </r>
  <r>
    <d v="2025-10-25T00:00:00"/>
    <x v="9"/>
    <n v="-19.579999999999998"/>
    <x v="2"/>
    <s v="BETALING VIA DEBIT MASTERCARD        27-10 25-10-2025 OM 17.43 UUR CARREFOUR MARKE BE8510 MARKE MET APPLE PAY 5127 88XX XXXX 8113 VIRTUEEL KAARTNUMMER CONTACTLOZE BETALING: 5354 00XX XXXX 8030 KAARTHOUDER: BOMBAERT BRAM"/>
    <s v="Uitgave"/>
    <n v="-19.579999999999998"/>
    <x v="2"/>
    <s v="OK"/>
  </r>
  <r>
    <d v="2025-10-25T00:00:00"/>
    <x v="9"/>
    <n v="-62.94"/>
    <x v="2"/>
    <s v="BETALING VIA DEBIT MASTERCARD        27-10 25-10-2025 OM 11.54 UUR SPAR KORTRIJK BE8500 KORTRIJK MET APPLE PAY 5127 88XX XXXX 8113 VIRTUEEL KAARTNUMMER CONTACTLOZE BETALING: 5354 00XX XXXX 8030 KAARTHOUDER: BOMBAERT BRAM"/>
    <s v="Uitgave"/>
    <n v="-62.94"/>
    <x v="2"/>
    <s v="OK"/>
  </r>
  <r>
    <d v="2025-10-25T00:00:00"/>
    <x v="9"/>
    <n v="-4.99"/>
    <x v="2"/>
    <s v="BETALING VIA DEBIT MASTERCARD        27-10 25-10-2025 OM 12.02 UUR ALDI 26 MARKE BE8510 MARKE MET APPLE PAY 5127 88XX XXXX 8113 VIRTUEEL KAARTNUMMER CONTACTLOZE BETALING: 5354 00XX XXXX 8030 KAARTHOUDER: BOMBAERT BRAM"/>
    <s v="Uitgave"/>
    <n v="-4.99"/>
    <x v="2"/>
    <s v="OK"/>
  </r>
  <r>
    <d v="2025-10-25T00:00:00"/>
    <x v="9"/>
    <n v="-77.53"/>
    <x v="2"/>
    <s v="BETALING VIA DEBIT MASTERCARD        27-10 25-10-2025 OM 11.36 UUR LIDL 803 KORTRIJK 2 BE8500 KORTRIJK MET APPLE PAY 5127 88XX XXXX 8113 VIRTUEEL KAARTNUMMER CONTACTLOZE BETALING: 5354 00XX XXXX 8030 KAARTHOUDER: BOMBAERT BRAM"/>
    <s v="Uitgave"/>
    <n v="-77.53"/>
    <x v="2"/>
    <s v="OK"/>
  </r>
  <r>
    <d v="2025-10-27T00:00:00"/>
    <x v="9"/>
    <n v="-9.8000000000000007"/>
    <x v="8"/>
    <s v="BETALING VIA DEBIT MASTERCARD        29-10 27-10-2025 OM 18.43 UUR SOHO FR59800 LILLE MET KBC-DEBETKAART 5127 88XX XXXX 8113 KAARTHOUDER: BOMBAERT BRAM"/>
    <s v="Uitgave"/>
    <n v="-9.8000000000000007"/>
    <x v="1"/>
    <s v="OK"/>
  </r>
  <r>
    <d v="2025-10-27T00:00:00"/>
    <x v="9"/>
    <n v="-44"/>
    <x v="8"/>
    <s v="BETALING VIA DEBIT MASTERCARD        29-10 27-10-2025 OM 16.22 UUR SOHO FR59800 LILLE MET KBC-DEBETKAART 5127 88XX XXXX 8113 KAARTHOUDER: BOMBAERT BRAM"/>
    <s v="Uitgave"/>
    <n v="-44"/>
    <x v="1"/>
    <s v="OK"/>
  </r>
  <r>
    <d v="2025-10-27T00:00:00"/>
    <x v="9"/>
    <n v="-5"/>
    <x v="17"/>
    <s v="BETALING VIA DEBIT MASTERCARD        28-10 27-10-2025 OM 16.18 UUR COMMUNE DE LILLE FR59033 LILLE MET KBC-DEBETKAART 5127 88XX XXXX 8113 KAARTHOUDER: BOMBAERT BRAM"/>
    <s v="Uitgave"/>
    <n v="-5"/>
    <x v="1"/>
    <s v="OK"/>
  </r>
  <r>
    <d v="2025-10-27T00:00:00"/>
    <x v="9"/>
    <n v="-3.7"/>
    <x v="2"/>
    <s v="BETALING VIA DEBIT MASTERCARD        28-10 27-10-2025 OM 11.24 UUR CARREFOUR MARKE BE8510 MARKE MET APPLE PAY 5127 88XX XXXX 8113 VIRTUEEL KAARTNUMMER CONTACTLOZE BETALING: 5354 00XX XXXX 8030 KAARTHOUDER: BOMBAERT BRAM"/>
    <s v="Uitgave"/>
    <n v="-3.7"/>
    <x v="2"/>
    <s v="OK"/>
  </r>
  <r>
    <d v="2025-10-27T00:00:00"/>
    <x v="9"/>
    <n v="-6.79"/>
    <x v="25"/>
    <s v="BETALING VIA DEBIT MASTERCARD        28-10 27-10-2025 OM 09.35 UUR KRUIDVAT 8095 KORTRIJK BE8500 KORTRIJK MET APPLE PAY 5127 88XX XXXX 8113 VIRTUEEL KAARTNUMMER CONTACTLOZE BETALING: 5354 00XX XXXX 8030 KAARTHOUDER: BOMBAERT BRAM"/>
    <s v="Uitgave"/>
    <n v="-6.79"/>
    <x v="1"/>
    <s v="OK"/>
  </r>
  <r>
    <d v="2025-10-27T00:00:00"/>
    <x v="9"/>
    <n v="-14.72"/>
    <x v="4"/>
    <s v="BETALING VIA DEBIT MASTERCARD        28-10 27-10-2025 OM 09.32 UUR OVO CHARGE ANYWHERE GBBS1 6ED BRISTOL MET APPLE PAY 5127 88XX XXXX 8113 VIRTUEEL KAARTNUMMER CONTACTLOZE BETALING: 5354 00XX XXXX 6677 KAARTHOUDER: BOMBAERT BRAM"/>
    <s v="Uitgave"/>
    <n v="-14.72"/>
    <x v="2"/>
    <s v="OK"/>
  </r>
  <r>
    <d v="2025-10-27T00:00:00"/>
    <x v="9"/>
    <n v="-20.100000000000001"/>
    <x v="9"/>
    <s v="BETALING VIA DEBIT MASTERCARD        28-10 27-10-2025 OM 10.25 UUR NATA BE8500 KORTRIJK MET APPLE PAY 5127 88XX XXXX 8113 VIRTUEEL KAARTNUMMER CONTACTLOZE BETALING: 5354 00XX XXXX 8030 KAARTHOUDER: BOMBAERT BRAM"/>
    <s v="Uitgave"/>
    <n v="-20.100000000000001"/>
    <x v="1"/>
    <s v="OK"/>
  </r>
  <r>
    <d v="2025-10-27T00:00:00"/>
    <x v="9"/>
    <n v="-25"/>
    <x v="12"/>
    <s v="BETALING VIA DEBIT MASTERCARD        28-10 27-10-2025 OM 10.45 UUR BROOKLYN KORTRIJK BE8500 KORTRIJK MET APPLE PAY 5127 88XX XXXX 8113 VIRTUEEL KAARTNUMMER CONTACTLOZE BETALING: 5354 00XX XXXX 8030 KAARTHOUDER: BOMBAERT BRAM"/>
    <s v="Uitgave"/>
    <n v="-25"/>
    <x v="1"/>
    <s v="OK"/>
  </r>
  <r>
    <d v="2025-10-27T00:00:00"/>
    <x v="9"/>
    <n v="-6.21"/>
    <x v="53"/>
    <s v="BETALING VIA DEBIT MASTERCARD        28-10 27-10-2025 OM 09.42 UUR ACTION 2058 BE8500 KORTRIJK MET APPLE PAY 5127 88XX XXXX 8113 VIRTUEEL KAARTNUMMER CONTACTLOZE BETALING: 5354 00XX XXXX 6677 KAARTHOUDER: BOMBAERT BRAM"/>
    <s v="Uitgave"/>
    <n v="-6.21"/>
    <x v="1"/>
    <s v="OK"/>
  </r>
  <r>
    <d v="2025-10-27T00:00:00"/>
    <x v="9"/>
    <n v="-14.05"/>
    <x v="2"/>
    <s v="OVERSCHRIJVING NAAR                  27-10 BE79 3632 2576 6833 BANKIER BEGUNSTIGDE: KIP ROYAL PAYCONIQ A867026FA953F038202B6D22 KIP ROYAL MET PAYCONIQ IN KBC MOBILE"/>
    <s v="Uitgave"/>
    <n v="-14.05"/>
    <x v="2"/>
    <s v="OK"/>
  </r>
  <r>
    <d v="2025-10-27T00:00:00"/>
    <x v="9"/>
    <n v="-11.5"/>
    <x v="2"/>
    <s v="BETALING VIA BANCONTACT              27-10 27-10-2025 OM 09.23 UUR BUBBA-KROKETTEN BE9400 NINOVE MET KBC-DEBETKAART 5127 88XX XXXX 8113 KAARTHOUDER: BOMBAERT BRAM"/>
    <s v="Uitgave"/>
    <n v="-11.5"/>
    <x v="2"/>
    <s v="OK"/>
  </r>
  <r>
    <d v="2025-10-28T00:00:00"/>
    <x v="9"/>
    <n v="-47.45"/>
    <x v="10"/>
    <s v="BETALING VIA DEBIT MASTERCARD        29-10 28-10-2025 OM 15.37 UUR AU POISSON D'OR BE07700 MOUSCRON MET KBC-DEBETKAART 5127 88XX XXXX 8113 KAARTHOUDER: BOMBAERT BRAM"/>
    <s v="Uitgave"/>
    <n v="-47.45"/>
    <x v="1"/>
    <s v="OK"/>
  </r>
  <r>
    <d v="2025-10-28T00:00:00"/>
    <x v="9"/>
    <n v="-1.19"/>
    <x v="2"/>
    <s v="BETALING VIA DEBIT MASTERCARD        29-10 28-10-2025 OM 10.43 UUR LIDL 803 KORTRIJK 2 BE8500 KORTRIJK MET APPLE PAY 5127 88XX XXXX 8113 VIRTUEEL KAARTNUMMER CONTACTLOZE BETALING: 5354 00XX XXXX 8030 KAARTHOUDER: BOMBAERT BRAM"/>
    <s v="Uitgave"/>
    <n v="-1.19"/>
    <x v="2"/>
    <s v="OK"/>
  </r>
  <r>
    <d v="2025-10-28T00:00:00"/>
    <x v="9"/>
    <n v="-16.75"/>
    <x v="2"/>
    <s v="BETALING VIA DEBIT MASTERCARD        29-10 28-10-2025 OM 10.42 UUR LIDL 803 KORTRIJK 2 BE8500 KORTRIJK MET APPLE PAY 5127 88XX XXXX 8113 VIRTUEEL KAARTNUMMER CONTACTLOZE BETALING: 5354 00XX XXXX 8030 KAARTHOUDER: BOMBAERT BRAM"/>
    <s v="Uitgave"/>
    <n v="-16.75"/>
    <x v="2"/>
    <s v="OK"/>
  </r>
  <r>
    <d v="2025-10-28T00:00:00"/>
    <x v="9"/>
    <n v="-2"/>
    <x v="5"/>
    <s v="BETALING VIA DEBIT MASTERCARD        29-10 28-10-2025 OM 19.23 UUR CCV*P KORTRIJK WEIDE BE8500 KORTRIJK MET KBC-DEBETKAART 5127 88XX XXXX 8113 KAARTHOUDER: BOMBAERT BRAM"/>
    <s v="Uitgave"/>
    <n v="-2"/>
    <x v="1"/>
    <s v="OK"/>
  </r>
  <r>
    <d v="2025-10-28T00:00:00"/>
    <x v="9"/>
    <n v="-14.4"/>
    <x v="8"/>
    <s v="BETALING VIA DEBIT MASTERCARD        29-10 28-10-2025 OM 17.33 UUR LAGO KORTRIJK BE8500 KORTRIJK MET APPLE PAY 5127 88XX XXXX 8113 VIRTUEEL KAARTNUMMER CONTACTLOZE BETALING: 5354 00XX XXXX 8030 KAARTHOUDER: BOMBAERT BRAM"/>
    <s v="Uitgave"/>
    <n v="-14.4"/>
    <x v="1"/>
    <s v="OK"/>
  </r>
  <r>
    <d v="2025-10-28T00:00:00"/>
    <x v="9"/>
    <n v="-23"/>
    <x v="9"/>
    <s v="BETALING VIA BANCONTACT              29-10 28-10-2025 OM 19.25 UUR CAPRI BE8500 KORTRIJK MET KBC-DEBETKAART 5127 88XX XXXX 8113 KAARTHOUDER: BOMBAERT BRAM INFO VAN DE HANDELAAR: 74V6W05 11473897"/>
    <s v="Uitgave"/>
    <n v="-23"/>
    <x v="1"/>
    <s v="OK"/>
  </r>
  <r>
    <d v="2025-10-28T00:00:00"/>
    <x v="9"/>
    <n v="-25.5"/>
    <x v="9"/>
    <s v="BETALING VIA BANCONTACT              29-10 28-10-2025 OM 17.40 UUR S&amp;R KORTRIJK BE8500 KORTRIJK MET KBC-DEBETKAART 5127 88XX XXXX 8113 KAARTHOUDER: BOMBAERT BRAM"/>
    <s v="Uitgave"/>
    <n v="-25.5"/>
    <x v="1"/>
    <s v="OK"/>
  </r>
  <r>
    <d v="2025-10-29T00:00:00"/>
    <x v="9"/>
    <n v="-17.8"/>
    <x v="47"/>
    <s v="BETALING VIA DEBIT MASTERCARD        31-10 29-10-2025 OM 17.04 UUR MOLECULE BE8570 VICHTE MET APPLE PAY 5127 88XX XXXX 8113 VIRTUEEL KAARTNUMMER CONTACTLOZE BETALING: 5354 00XX XXXX 8030 KAARTHOUDER: BOMBAERT BRAM"/>
    <s v="Uitgave"/>
    <n v="-17.8"/>
    <x v="1"/>
    <s v="OK"/>
  </r>
  <r>
    <d v="2025-10-29T00:00:00"/>
    <x v="9"/>
    <n v="-17.91"/>
    <x v="2"/>
    <s v="BETALING VIA DEBIT MASTERCARD        30-10 29-10-2025 OM 10.54 UUR LIDL 803 KORTRIJK 2 BE8500 KORTRIJK MET APPLE PAY 5127 88XX XXXX 8113 VIRTUEEL KAARTNUMMER CONTACTLOZE BETALING: 5354 00XX XXXX 6677 KAARTHOUDER: BOMBAERT BRAM"/>
    <s v="Uitgave"/>
    <n v="-17.91"/>
    <x v="2"/>
    <s v="OK"/>
  </r>
  <r>
    <d v="2025-10-29T00:00:00"/>
    <x v="9"/>
    <n v="-6.14"/>
    <x v="4"/>
    <s v="BETALING VIA DEBIT MASTERCARD        30-10 29-10-2025 OM 07.56 UUR OVO CHARGE ANYWHERE GBBS1 6ED BRISTOL MET APPLE PAY 5127 88XX XXXX 8113 VIRTUEEL KAARTNUMMER CONTACTLOZE BETALING: 5354 00XX XXXX 6677 KAARTHOUDER: BOMBAERT BRAM"/>
    <s v="Uitgave"/>
    <n v="-6.14"/>
    <x v="2"/>
    <s v="OK"/>
  </r>
  <r>
    <d v="2025-10-29T00:00:00"/>
    <x v="9"/>
    <n v="-38"/>
    <x v="12"/>
    <s v="OVERSCHRIJVING NAAR                  29-10 BE79 3632 2576 6833 BANKIER BEGUNSTIGDE: CURASIEN GESPECIALISEERDE VOETVERZO PAYCONIQ 60DC9EAD6F9AB0B34D7E181C CURASIEN GESPECIALI SEER SIENTORFS MET PAYCONIQ IN KBC MOBILE"/>
    <s v="Uitgave"/>
    <n v="-38"/>
    <x v="1"/>
    <s v="OK"/>
  </r>
  <r>
    <d v="2025-10-30T00:00:00"/>
    <x v="9"/>
    <n v="-51.23"/>
    <x v="9"/>
    <s v="BETALING VIA DEBIT MASTERCARD        31-10 30-10-2025 OM 18.54 UUR MANO (40) OOSTENDE BE8400 OOSTENDE MET APPLE PAY 5127 88XX XXXX 8113 VIRTUEEL KAARTNUMMER CONTACTLOZE BETALING: 5354 00XX XXXX 8030 KAARTHOUDER: BOMBAERT BRAM"/>
    <s v="Uitgave"/>
    <n v="-51.23"/>
    <x v="1"/>
    <s v="OK"/>
  </r>
  <r>
    <d v="2025-10-30T00:00:00"/>
    <x v="9"/>
    <n v="-5.0199999999999996"/>
    <x v="12"/>
    <s v="BETALING VIA DEBIT MASTERCARD        31-10 30-10-2025 OM 14.20 UUR VERITAS 128 OOSTENDE BE8400 OOSTENDE MET APPLE PAY 5127 88XX XXXX 8113 VIRTUEEL KAARTNUMMER CONTACTLOZE BETALING: 5354 00XX XXXX 8030 KAARTHOUDER: BOMBAERT BRAM"/>
    <s v="Uitgave"/>
    <n v="-5.0199999999999996"/>
    <x v="1"/>
    <s v="OK"/>
  </r>
  <r>
    <d v="2025-10-30T00:00:00"/>
    <x v="9"/>
    <n v="-5"/>
    <x v="8"/>
    <s v="BETALING VIA DEBIT MASTERCARD        31-10 30-10-2025 OM 21.41 UUR JUNEA GROUP B.V. NL3447GK 003185130571 MET APPLE PAY 5127 88XX XXXX 8113 VIRTUEEL KAARTNUMMER CONTACTLOZE BETALING: 5354 00XX XXXX 6677 KAARTHOUDER: BOMBAERT BRAM"/>
    <s v="Uitgave"/>
    <n v="-5"/>
    <x v="1"/>
    <s v="OK"/>
  </r>
  <r>
    <d v="2025-10-30T00:00:00"/>
    <x v="9"/>
    <n v="-35.799999999999997"/>
    <x v="9"/>
    <s v="BETALING VIA DEBIT MASTERCARD        31-10 30-10-2025 OM 19.06 UUR HAWAIIAN POKE BOWL BE8400 OOSTENDE MET APPLE PAY 5127 88XX XXXX 8113 VIRTUEEL KAARTNUMMER CONTACTLOZE BETALING: 5354 00XX XXXX 8030 KAARTHOUDER: BOMBAERT BRAM"/>
    <s v="Uitgave"/>
    <n v="-35.799999999999997"/>
    <x v="1"/>
    <s v="OK"/>
  </r>
  <r>
    <d v="2025-10-30T00:00:00"/>
    <x v="9"/>
    <n v="-29"/>
    <x v="9"/>
    <s v="BETALING VIA DEBIT MASTERCARD        31-10 30-10-2025 OM 13.10 UUR VILLA BORGHESE BE8400 OOSTENDE MET APPLE PAY 5127 88XX XXXX 8113 VIRTUEEL KAARTNUMMER CONTACTLOZE BETALING: 5354 00XX XXXX 8030 KAARTHOUDER: BOMBAERT BRAM"/>
    <s v="Uitgave"/>
    <n v="-29"/>
    <x v="1"/>
    <s v="OK"/>
  </r>
  <r>
    <d v="2025-10-30T00:00:00"/>
    <x v="9"/>
    <n v="-10"/>
    <x v="17"/>
    <s v="BETALING VIA BANCONTACT              31-10 30-10-2025 OM 18.01 UUR DE LAET GINO BE2160 WOMMELGEM MET KBC-DEBETKAART 5127 88XX XXXX 8113 KAARTHOUDER: BOMBAERT BRAM"/>
    <s v="Uitgave"/>
    <n v="-10"/>
    <x v="1"/>
    <s v="OK"/>
  </r>
  <r>
    <d v="2025-10-30T00:00:00"/>
    <x v="9"/>
    <n v="-5.17"/>
    <x v="4"/>
    <s v="BETALING VIA DEBIT MASTERCARD        31-10 30-10-2025 OM 04.30 UUR OVO CHARGE ANYWHERE GBBS1 6ED BRISTOL MET APPLE PAY 5127 88XX XXXX 8113 VIRTUEEL KAARTNUMMER CONTACTLOZE BETALING: 5354 00XX XXXX 6677 KAARTHOUDER: BOMBAERT BRAM"/>
    <s v="Uitgave"/>
    <n v="-5.17"/>
    <x v="2"/>
    <s v="OK"/>
  </r>
  <r>
    <d v="2025-10-30T00:00:00"/>
    <x v="9"/>
    <n v="-149.9"/>
    <x v="14"/>
    <s v="BETALING VIA BANCONTACT              30-10 30-10-2025 OM 14.49 UUR AMZN MKTP BE LU1855 LUXEMBOURG MET KBC-DEBETKAART 5127 88XX XXXX 8113 KAARTHOUDER: BOMBAERT BRAM INFO VAN DE HANDELAAR: 74W4QD2 WWW.AMAZON.COM.BE"/>
    <s v="Uitgave"/>
    <n v="-149.9"/>
    <x v="1"/>
    <s v="OK"/>
  </r>
  <r>
    <d v="2025-10-30T00:00:00"/>
    <x v="9"/>
    <n v="-18"/>
    <x v="30"/>
    <s v="EUROPESE DOMICILIERING               30-10 SCHULDEISER     : ORANGE REF. SCHULDEISER: A68RQNTC MANDAATREFERTE  : 7808001 MEDEDELING      : SCOR                   BBA                   112474378775"/>
    <s v="Uitgave"/>
    <n v="-18"/>
    <x v="2"/>
    <s v="OK"/>
  </r>
  <r>
    <d v="2025-10-30T00:00:00"/>
    <x v="9"/>
    <n v="-61.83"/>
    <x v="37"/>
    <s v="EUROPESE DOMICILIERING               30-10 SCHULDEISER     : TELENET BV REF. SCHULDEISER: 115343185311464918136 MANDAATREFERTE  : 001285135 MEDEDELING      : ACCOUNT: 115343185 REF : 3114649181 36"/>
    <s v="Uitgave"/>
    <n v="-61.83"/>
    <x v="2"/>
    <s v="OK"/>
  </r>
  <r>
    <d v="2025-10-30T00:00:00"/>
    <x v="9"/>
    <n v="-419.71"/>
    <x v="36"/>
    <s v="BETALING LEASING                     30-10 0001/0001/BE/2503346221"/>
    <s v="Uitgave"/>
    <n v="-419.71"/>
    <x v="2"/>
    <s v="OK"/>
  </r>
  <r>
    <d v="2025-11-01T00:00:00"/>
    <x v="10"/>
    <n v="2743.98"/>
    <x v="0"/>
    <s v="OVERSCHRIJVING VAN                   30-10 BE64 3751 1173 1652 BANKIER OPDRACHTGEVER: BBRUBEBB VVM DE LIJN ALGEMENE REK /A/ 29076 LOON VVM 10/2025"/>
    <s v="Inkomst"/>
    <n v="2743.98"/>
    <x v="0"/>
    <s v="OK"/>
  </r>
  <r>
    <d v="2025-10-30T00:00:00"/>
    <x v="9"/>
    <n v="-166.41"/>
    <x v="36"/>
    <s v="BETALING LEASING                     30-10 0001/0001/BE/2503346221"/>
    <s v="Uitgave"/>
    <n v="-166.41"/>
    <x v="2"/>
    <s v="OK"/>
  </r>
  <r>
    <d v="2025-10-31T00:00:00"/>
    <x v="9"/>
    <n v="-5.25"/>
    <x v="40"/>
    <s v="BIJDRAGE 01-10-2025 - 31-10-2025     31-10 KBC-PLUSREKENING"/>
    <s v="Uitgave"/>
    <n v="-5.25"/>
    <x v="2"/>
    <s v="OK"/>
  </r>
  <r>
    <d v="2025-10-31T00:00:00"/>
    <x v="9"/>
    <n v="-50"/>
    <x v="9"/>
    <s v="BETALING VIA DEBIT MASTERCARD        03-11 31-10-2025 OM 04.10 UUR MS* THEOSTENDIAN BE8400 OOSTENDE MET APPLE PAY 5127 88XX XXXX 8113 VIRTUEEL KAARTNUMMER CONTACTLOZE BETALING: 5354 00XX XXXX 8030 KAARTHOUDER: BOMBAERT BRAM"/>
    <s v="Uitgave"/>
    <n v="-50"/>
    <x v="1"/>
    <s v="OK"/>
  </r>
  <r>
    <d v="2025-10-31T00:00:00"/>
    <x v="9"/>
    <n v="-240.78"/>
    <x v="16"/>
    <s v="BETALING VIA BANCONTACT              31-10 31-10-2025 OM 14.53 UUR APOTHEEK ARIE BE8510 MARKE MET KBC-DEBETKAART 5127 88XX XXXX 8113 KAARTHOUDER: BOMBAERT BRAM"/>
    <s v="Uitgave"/>
    <n v="-240.78"/>
    <x v="2"/>
    <s v="OK"/>
  </r>
  <r>
    <d v="2025-10-31T00:00:00"/>
    <x v="9"/>
    <n v="-3.55"/>
    <x v="17"/>
    <s v="BETALING VIA MAESTRO                 31-10 30-10-2025 OM 18.23 UUR PAY*ACHIEL PRIMEURS BE OOSTENDE MET APPLE PAY 6703 42XX XXXX X901 0 VIRTUEEL KAARTNUMMER CONTACTLOZE BETALING: 6790 28XX XXXX X658 7 KAARTHOUDER: ROTTY CHRISTOFF"/>
    <s v="Uitgave"/>
    <n v="-3.55"/>
    <x v="1"/>
    <s v="OK"/>
  </r>
  <r>
    <d v="2025-10-31T00:00:00"/>
    <x v="9"/>
    <n v="-5"/>
    <x v="17"/>
    <s v="BETALING VIA BANCONTACT              31-10 31-10-2025 OM 11.08 UUR STRONG LIFE BE8400 OOSTENDE MET KBC-DEBETKAART 5127 88XX XXXX 8113 KAARTHOUDER: BOMBAERT BRAM"/>
    <s v="Uitgave"/>
    <n v="-5"/>
    <x v="1"/>
    <s v="OK"/>
  </r>
  <r>
    <d v="2025-11-01T00:00:00"/>
    <x v="10"/>
    <n v="2376.23"/>
    <x v="0"/>
    <s v="OVERSCHRIJVING VAN                   31-10 BE57 3751 1109 9435 BANKIER OPDRACHTGEVER: BBRUBEBB OV HULPREKENING /A/E002419 - 19303221177-118257-311 BETALING-10/2025- -- REFERENTIE: 251001-002419-/A/E002419"/>
    <s v="Inkomst"/>
    <n v="2376.23"/>
    <x v="0"/>
    <s v="OK"/>
  </r>
  <r>
    <d v="2025-10-31T00:00:00"/>
    <x v="9"/>
    <n v="-8"/>
    <x v="2"/>
    <s v="BETALING VIA MAESTRO                 31-10 30-10-2025 OM 21.39 UUR LS THE OSTENDIAN BE OOSTENDE MET APPLE PAY 6703 42XX XXXX X901 0 VIRTUEEL KAARTNUMMER CONTACTLOZE BETALING: 6790 28XX XXXX X658 7 KAARTHOUDER: ROTTY CHRISTOFF"/>
    <s v="Uitgave"/>
    <n v="-8"/>
    <x v="2"/>
    <s v="OK"/>
  </r>
  <r>
    <d v="2025-10-31T00:00:00"/>
    <x v="9"/>
    <n v="-22.3"/>
    <x v="9"/>
    <s v="BETALING VIA MAESTRO                 31-10 30-10-2025 OM 15.19 UUR PATISSERIE CARUSO BE OOSTENDE MET APPLE PAY 6703 42XX XXXX X901 0 VIRTUEEL KAARTNUMMER CONTACTLOZE BETALING: 6790 28XX XXXX X658 7 KAARTHOUDER: ROTTY CHRISTOFF"/>
    <s v="Uitgave"/>
    <n v="-22.3"/>
    <x v="1"/>
    <s v="OK"/>
  </r>
  <r>
    <d v="2025-10-31T00:00:00"/>
    <x v="9"/>
    <n v="-50.6"/>
    <x v="3"/>
    <s v="EUROPESE DOMICILIERING               31-10 SCHULDEISER     : KBC VERZEKERINGEN REF. SCHULDEISER: 392145373913 MANDAATREFERTE  : L00194638787V0001 EIGEN OMSCHR.   : HOSPITALISATIEVERZEKERING MEDEDELING      : POL.54467509 31/10/2025-30/11/2025 HOSPITALISATIEVERZEKERING"/>
    <s v="Uitgave"/>
    <n v="-50.6"/>
    <x v="2"/>
    <s v="OK"/>
  </r>
  <r>
    <d v="2025-10-31T00:00:00"/>
    <x v="9"/>
    <n v="-37.31"/>
    <x v="6"/>
    <s v="EUROPESE DOMICILIERING               31-10 SCHULDEISER     : LUMINUS SA REF. SCHULDEISER: 002032801497 MANDAATREFERTE  : 0087006660811 MEDEDELING      : LUMINUS AFREKENING 6368034876"/>
    <s v="Uitgave"/>
    <n v="-37.31"/>
    <x v="2"/>
    <s v="OK"/>
  </r>
  <r>
    <d v="2025-11-30T00:00:00"/>
    <x v="10"/>
    <n v="-586.12"/>
    <x v="36"/>
    <s v="BETALING LEASING                     30-11 0001/0001/BE/2503710647"/>
    <s v="Uitgave"/>
    <n v="-586.12"/>
    <x v="2"/>
    <s v="OK"/>
  </r>
  <r>
    <d v="2025-11-30T00:00:00"/>
    <x v="10"/>
    <n v="-109"/>
    <x v="29"/>
    <s v="BETALING VIA DEBIT MASTERCARD        01-12 30-11-2025 OM 10.58 UUR COOLBLUE N.V. BE2600 BERCHEM MET APPLE PAY 5127 88XX XXXX 8113 VIRTUEEL KAARTNUMMER CONTACTLOZE BETALING: 5354 00XX XXXX 6677 KAARTHOUDER: BOMBAERT BRAM"/>
    <s v="Uitgave"/>
    <n v="-109"/>
    <x v="1"/>
    <s v="OK"/>
  </r>
  <r>
    <d v="2025-11-30T00:00:00"/>
    <x v="10"/>
    <n v="-22.99"/>
    <x v="14"/>
    <s v="BETALING VIA BANCONTACT              01-12 30-11-2025 OM 19.36 UUR MIJN.HOST NL1066JR AMSTERDAM MET KBC-DEBETKAART 6703 42XX XXXX X901 0 KAARTHOUDER: ROTTY CHRISTOFF INFO VAN DE HANDELAAR: 75F1883 MIJN.HOST FACTUURNR. 2"/>
    <s v="Uitgave"/>
    <n v="-22.99"/>
    <x v="1"/>
    <s v="OK"/>
  </r>
  <r>
    <d v="2025-11-30T00:00:00"/>
    <x v="10"/>
    <n v="-11.55"/>
    <x v="4"/>
    <s v="BETALING VIA DEBIT MASTERCARD        01-12 30-11-2025 OM 04.29 UUR OVO CHARGE ANYWHERE GBBS1 6ED BRISTOL MET APPLE PAY 5127 88XX XXXX 8113 VIRTUEEL KAARTNUMMER CONTACTLOZE BETALING: 5354 00XX XXXX 6677 KAARTHOUDER: BOMBAERT BRAM"/>
    <s v="Uitgave"/>
    <n v="-11.55"/>
    <x v="2"/>
    <s v="OK"/>
  </r>
  <r>
    <d v="2025-11-29T00:00:00"/>
    <x v="10"/>
    <n v="-74.7"/>
    <x v="2"/>
    <s v="BETALING VIA DEBIT MASTERCARD        01-12 29-11-2025 OM 12.35 UUR LIDL 803 KORTRIJK 2 BE8500 KORTRIJK MET APPLE PAY 5127 88XX XXXX 8113 VIRTUEEL KAARTNUMMER CONTACTLOZE BETALING: 5354 00XX XXXX 8030 KAARTHOUDER: BOMBAERT BRAM"/>
    <s v="Uitgave"/>
    <n v="-74.7"/>
    <x v="2"/>
    <s v="OK"/>
  </r>
  <r>
    <d v="2025-11-29T00:00:00"/>
    <x v="10"/>
    <n v="-5.4"/>
    <x v="4"/>
    <s v="BETALING VIA DEBIT MASTERCARD        01-12 29-11-2025 OM 09.16 UUR OVO CHARGE ANYWHERE GBBS1 6ED BRISTOL MET APPLE PAY 5127 88XX XXXX 8113 VIRTUEEL KAARTNUMMER CONTACTLOZE BETALING: 5354 00XX XXXX 6677 KAARTHOUDER: BOMBAERT BRAM"/>
    <s v="Uitgave"/>
    <n v="-5.4"/>
    <x v="2"/>
    <s v="OK"/>
  </r>
  <r>
    <d v="2025-11-28T00:00:00"/>
    <x v="10"/>
    <n v="-233.83"/>
    <x v="16"/>
    <s v="BETALING VIA DEBIT MASTERCARD        01-12 28-11-2025 OM 16.48 UUR APOTHEEK ARIE FREDERIK BE8510 MARKE MET APPLE PAY 5127 88XX XXXX 8113 VIRTUEEL KAARTNUMMER CONTACTLOZE BETALING: 5354 00XX XXXX 8030 KAARTHOUDER: BOMBAERT BRAM"/>
    <s v="Uitgave"/>
    <n v="-233.83"/>
    <x v="2"/>
    <s v="OK"/>
  </r>
  <r>
    <d v="2025-11-28T00:00:00"/>
    <x v="10"/>
    <n v="-11.75"/>
    <x v="2"/>
    <s v="BETALING VIA DEBIT MASTERCARD        01-12 28-11-2025 OM 16.37 UUR LIDL 803 KORTRIJK 2 BE8500 KORTRIJK MET APPLE PAY 5127 88XX XXXX 8113 VIRTUEEL KAARTNUMMER CONTACTLOZE BETALING: 5354 00XX XXXX 8030 KAARTHOUDER: BOMBAERT BRAM"/>
    <s v="Uitgave"/>
    <n v="-11.75"/>
    <x v="2"/>
    <s v="OK"/>
  </r>
  <r>
    <d v="2025-11-29T00:00:00"/>
    <x v="10"/>
    <n v="50"/>
    <x v="17"/>
    <s v="STORTING AUTOMAAT                    01-12 BC      RINGLAAN 34   KORTRIJK MET KBC-DEBETKAART 5127 88XX XXXX 8113 KAARTHOUDER BOMBAERT BRAM REFERTE 000401248004942511291145"/>
    <s v="Inkomst"/>
    <n v="50"/>
    <x v="1"/>
    <s v="OK"/>
  </r>
  <r>
    <d v="2025-11-29T00:00:00"/>
    <x v="10"/>
    <n v="-14.91"/>
    <x v="23"/>
    <s v="BETALING VIA BANCONTACT              01-12 29-11-2025 OM 09.58 UUR BOL.COM NL3528 BJ UTRECHT MET KBC-DEBETKAART 5127 88XX XXXX 8113 KAARTHOUDER: BOMBAERT BRAM"/>
    <s v="Uitgave"/>
    <n v="-14.91"/>
    <x v="1"/>
    <s v="OK"/>
  </r>
  <r>
    <d v="2025-11-27T00:00:00"/>
    <x v="10"/>
    <n v="-5.37"/>
    <x v="2"/>
    <s v="BETALING VIA DEBIT MASTERCARD        01-12 27-11-2025 OM 14.38 UUR SPAR KORTRIJK BE8500 KORTRIJK MET APPLE PAY 5127 88XX XXXX 8113 VIRTUEEL KAARTNUMMER CONTACTLOZE BETALING: 5354 00XX XXXX 8030 KAARTHOUDER: BOMBAERT BRAM"/>
    <s v="Uitgave"/>
    <n v="-5.37"/>
    <x v="2"/>
    <s v="OK"/>
  </r>
  <r>
    <d v="2025-11-27T00:00:00"/>
    <x v="10"/>
    <n v="-29.73"/>
    <x v="2"/>
    <s v="BETALING VIA DEBIT MASTERCARD        01-12 27-11-2025 OM 14.53 UUR LIDL 803 KORTRIJK 2 BE8500 KORTRIJK MET APPLE PAY 5127 88XX XXXX 8113 VIRTUEEL KAARTNUMMER CONTACTLOZE BETALING: 5354 00XX XXXX 8030 KAARTHOUDER: BOMBAERT BRAM"/>
    <s v="Uitgave"/>
    <n v="-29.73"/>
    <x v="2"/>
    <s v="OK"/>
  </r>
  <r>
    <d v="2025-11-28T00:00:00"/>
    <x v="10"/>
    <n v="-5.25"/>
    <x v="40"/>
    <s v="BIJDRAGE 01-11-2025 - 30-11-2025     28-11 KBC-PLUSREKENING"/>
    <s v="Uitgave"/>
    <n v="-5.25"/>
    <x v="2"/>
    <s v="OK"/>
  </r>
  <r>
    <d v="2025-11-27T00:00:00"/>
    <x v="10"/>
    <n v="-15.68"/>
    <x v="2"/>
    <s v="BETALING VIA DEBIT MASTERCARD        28-11 27-11-2025 OM 15.03 UUR CARREFOUR MARKE BE8510 MARKE MET APPLE PAY 5127 88XX XXXX 8113 VIRTUEEL KAARTNUMMER CONTACTLOZE BETALING: 5354 00XX XXXX 8030 KAARTHOUDER: BOMBAERT BRAM"/>
    <s v="Uitgave"/>
    <n v="-15.68"/>
    <x v="2"/>
    <s v="OK"/>
  </r>
  <r>
    <d v="2025-11-28T00:00:00"/>
    <x v="10"/>
    <n v="-14.49"/>
    <x v="23"/>
    <s v="BETALING VIA BANCONTACT              28-11 28-11-2025 OM 13.33 UUR BOL.COM NL3528 BJ UTRECHT MET KBC-DEBETKAART 6703 42XX XXXX X901 0 KAARTHOUDER: ROTTY CHRISTOFF"/>
    <s v="Uitgave"/>
    <n v="-14.49"/>
    <x v="1"/>
    <s v="OK"/>
  </r>
  <r>
    <d v="2025-11-28T00:00:00"/>
    <x v="10"/>
    <n v="-1.5"/>
    <x v="11"/>
    <s v="BETALING VIA MAESTRO                 28-11 27-11-2025 OM 11.49 UUR VALINSOPAY NL NL WIJK EN AALBU MET APPLE PAY 6703 42XX XXXX X901 0 VIRTUEEL KAARTNUMMER CONTACTLOZE BETALING: 6790 28XX XXXX X658 7 KAARTHOUDER: ROTTY CHRISTOFF"/>
    <s v="Uitgave"/>
    <n v="-1.5"/>
    <x v="1"/>
    <s v="OK"/>
  </r>
  <r>
    <d v="2025-12-01T00:00:00"/>
    <x v="11"/>
    <n v="2747.5"/>
    <x v="0"/>
    <s v="OVERSCHRIJVING VAN                   28-11 BE64 3751 1173 1652 BANKIER OPDRACHTGEVER: BBRUBEBB VVM DE LIJN ALGEMENE REK /A/ 29076 LOON VVM 11/2025"/>
    <s v="Inkomst"/>
    <n v="2747.5"/>
    <x v="0"/>
    <s v="OK"/>
  </r>
  <r>
    <d v="2025-12-01T00:00:00"/>
    <x v="11"/>
    <n v="2376.23"/>
    <x v="0"/>
    <s v="OVERSCHRIJVING VAN                   28-11 BE57 3751 1109 9435 BANKIER OPDRACHTGEVER: BBRUBEBB OV HULPREKENING /A/E002899 - 19303221177-118257-311 BETALING-11/2025- -- REFERENTIE: 251101-002899-/A/E002899"/>
    <s v="Inkomst"/>
    <n v="2376.23"/>
    <x v="0"/>
    <s v="OK"/>
  </r>
  <r>
    <d v="2025-11-27T00:00:00"/>
    <x v="10"/>
    <n v="-4.8600000000000003"/>
    <x v="4"/>
    <s v="BETALING VIA DEBIT MASTERCARD        28-11 27-11-2025 OM 05.03 UUR OVO CHARGE ANYWHERE GBBS1 6ED BRISTOL MET APPLE PAY 5127 88XX XXXX 8113 VIRTUEEL KAARTNUMMER CONTACTLOZE BETALING: 5354 00XX XXXX 6677 KAARTHOUDER: BOMBAERT BRAM"/>
    <s v="Uitgave"/>
    <n v="-4.8600000000000003"/>
    <x v="2"/>
    <s v="OK"/>
  </r>
  <r>
    <d v="2025-11-27T00:00:00"/>
    <x v="10"/>
    <n v="-69.22"/>
    <x v="12"/>
    <s v="BETALING VIA BANCONTACT              28-11 27-11-2025 OM 19.31 UUR ZALANDO PAYMENTS GMBH DE10243 BERLIN MET KBC-DEBETKAART 6703 42XX XXXX X901 0 KAARTHOUDER: ROTTY CHRISTOFF"/>
    <s v="Uitgave"/>
    <n v="-69.22"/>
    <x v="1"/>
    <s v="OK"/>
  </r>
  <r>
    <d v="2025-11-27T00:00:00"/>
    <x v="10"/>
    <n v="-1.2"/>
    <x v="11"/>
    <s v="BETALING VIA MAESTRO                 27-11 26-11-2025 OM 12.18 UUR VALINSOPAY NL NL WIJK EN AALBU MET APPLE PAY 6703 42XX XXXX X901 0 VIRTUEEL KAARTNUMMER CONTACTLOZE BETALING: 6790 28XX XXXX X658 7 KAARTHOUDER: ROTTY CHRISTOFF"/>
    <s v="Uitgave"/>
    <n v="-1.2"/>
    <x v="1"/>
    <s v="OK"/>
  </r>
  <r>
    <d v="2025-11-27T00:00:00"/>
    <x v="10"/>
    <n v="-0.9"/>
    <x v="11"/>
    <s v="BETALING VIA MAESTRO                 27-11 26-11-2025 OM 13.10 UUR VALINSOPAY NL NL WIJK EN AALBU MET APPLE PAY 6703 42XX XXXX X901 0 VIRTUEEL KAARTNUMMER CONTACTLOZE BETALING: 6790 28XX XXXX X658 7 KAARTHOUDER: ROTTY CHRISTOFF"/>
    <s v="Uitgave"/>
    <n v="-0.9"/>
    <x v="1"/>
    <s v="OK"/>
  </r>
  <r>
    <d v="2025-11-27T00:00:00"/>
    <x v="10"/>
    <n v="-26"/>
    <x v="16"/>
    <s v="BETALING VIA BANCONTACT              27-11 27-11-2025 OM 14.02 UUR LIEN P2P MOBILE MET KBC-DEBETKAART 5127 88XX XXXX 8113 KAARTHOUDER: BOMBAERT BRAM"/>
    <s v="Uitgave"/>
    <n v="-26"/>
    <x v="2"/>
    <s v="OK"/>
  </r>
  <r>
    <d v="2025-11-25T00:00:00"/>
    <x v="10"/>
    <n v="-1.87"/>
    <x v="2"/>
    <s v="BETALING VIA DEBIT MASTERCARD        26-11 25-11-2025 OM 13.57 UUR CARREFOUR MARKE BE8510 MARKE MET APPLE PAY 5127 88XX XXXX 8113 VIRTUEEL KAARTNUMMER CONTACTLOZE BETALING: 5354 00XX XXXX 8030 KAARTHOUDER: BOMBAERT BRAM"/>
    <s v="Uitgave"/>
    <n v="-1.87"/>
    <x v="2"/>
    <s v="OK"/>
  </r>
  <r>
    <d v="2025-11-25T00:00:00"/>
    <x v="10"/>
    <n v="-104.98"/>
    <x v="12"/>
    <s v="BETALING VIA DEBIT MASTERCARD        26-11 25-11-2025 OM 13.33 UUR BRICE BE8500 KORTRIJK MET APPLE PAY 5127 88XX XXXX 8113 VIRTUEEL KAARTNUMMER CONTACTLOZE BETALING: 5354 00XX XXXX 8030 KAARTHOUDER: BOMBAERT BRAM"/>
    <s v="Uitgave"/>
    <n v="-104.98"/>
    <x v="1"/>
    <s v="OK"/>
  </r>
  <r>
    <d v="2025-11-26T00:00:00"/>
    <x v="10"/>
    <n v="-5"/>
    <x v="17"/>
    <s v="INSTANTOVERSCHRIJVING NAAR           26-11 BE04 0630 9978 3531 BANKIER BEGUNSTIGDE: GKCCBEBBXXX MARIJKE VANDEVENNE BRAM BOMBAERT - CADEAU DIRECTEUR OM 14.49 UUR MET KBC MOBILE"/>
    <s v="Uitgave"/>
    <n v="-5"/>
    <x v="1"/>
    <s v="OK"/>
  </r>
  <r>
    <d v="2025-11-26T00:00:00"/>
    <x v="10"/>
    <n v="-38"/>
    <x v="12"/>
    <s v="BETALING VIA BANCONTACT              26-11 26-11-2025 OM 14.19 UUR BANCONTACT PAYCONIQ CO BE8510 MARKE MET KBC-DEBETKAART 5127 88XX XXXX 8113 KAARTHOUDER: BOMBAERT BRAM INFO VAN DE HANDELAAR: SIENTORFS"/>
    <s v="Uitgave"/>
    <n v="-38"/>
    <x v="1"/>
    <s v="OK"/>
  </r>
  <r>
    <d v="2025-11-26T00:00:00"/>
    <x v="10"/>
    <n v="-1.5"/>
    <x v="11"/>
    <s v="BETALING VIA MAESTRO                 26-11 25-11-2025 OM 11.56 UUR VALINSOPAY NL NL WIJK EN AALBU MET APPLE PAY 6703 42XX XXXX X901 0 VIRTUEEL KAARTNUMMER CONTACTLOZE BETALING: 6790 28XX XXXX X658 7 KAARTHOUDER: ROTTY CHRISTOFF"/>
    <s v="Uitgave"/>
    <n v="-1.5"/>
    <x v="1"/>
    <s v="OK"/>
  </r>
  <r>
    <d v="2025-11-26T00:00:00"/>
    <x v="10"/>
    <n v="-120.98"/>
    <x v="33"/>
    <s v="EUROPESE DOMICILIERING               26-11 SCHULDEISER     : AXA REF. SCHULDEISER: 20251120010855837260006222 MANDAATREFERTE  : 010624258692001 MEDEDELING      : 0106242586921042025-11-262025110000 0010624258692"/>
    <s v="Uitgave"/>
    <n v="-120.98"/>
    <x v="2"/>
    <s v="OK"/>
  </r>
  <r>
    <d v="2025-11-25T00:00:00"/>
    <x v="10"/>
    <n v="-2.59"/>
    <x v="4"/>
    <s v="BETALING VIA DEBIT MASTERCARD        26-11 25-11-2025 OM 05.02 UUR OVO CHARGE ANYWHERE GBBS1 6ED BRISTOL MET APPLE PAY 5127 88XX XXXX 8113 VIRTUEEL KAARTNUMMER CONTACTLOZE BETALING: 5354 00XX XXXX 6677 KAARTHOUDER: BOMBAERT BRAM"/>
    <s v="Uitgave"/>
    <n v="-2.59"/>
    <x v="2"/>
    <s v="OK"/>
  </r>
  <r>
    <d v="2025-11-25T00:00:00"/>
    <x v="10"/>
    <n v="-60.04"/>
    <x v="23"/>
    <s v="BETALING VIA BANCONTACT              25-11 25-11-2025 OM 16.47 UUR BOL.COM NL3528 BJ UTRECHT MET KBC-DEBETKAART 5127 88XX XXXX 8113 KAARTHOUDER: BOMBAERT BRAM"/>
    <s v="Uitgave"/>
    <n v="-60.04"/>
    <x v="1"/>
    <s v="OK"/>
  </r>
  <r>
    <d v="2025-11-24T00:00:00"/>
    <x v="10"/>
    <n v="-8.98"/>
    <x v="2"/>
    <s v="BETALING VIA DEBIT MASTERCARD        25-11 24-11-2025 OM 15.35 UUR CARREFOUR MARKE BE8510 MARKE MET APPLE PAY 5127 88XX XXXX 8113 VIRTUEEL KAARTNUMMER CONTACTLOZE BETALING: 5354 00XX XXXX 6677 KAARTHOUDER: BOMBAERT BRAM"/>
    <s v="Uitgave"/>
    <n v="-8.98"/>
    <x v="2"/>
    <s v="OK"/>
  </r>
  <r>
    <d v="2025-11-24T00:00:00"/>
    <x v="10"/>
    <n v="-13.11"/>
    <x v="2"/>
    <s v="BETALING VIA DEBIT MASTERCARD        25-11 24-11-2025 OM 15.25 UUR LIDL 803 KORTRIJK 2 BE8500 KORTRIJK MET APPLE PAY 5127 88XX XXXX 8113 VIRTUEEL KAARTNUMMER CONTACTLOZE BETALING: 5354 00XX XXXX 6677 KAARTHOUDER: BOMBAERT BRAM"/>
    <s v="Uitgave"/>
    <n v="-13.11"/>
    <x v="2"/>
    <s v="OK"/>
  </r>
  <r>
    <d v="2025-11-25T00:00:00"/>
    <x v="10"/>
    <n v="-8.82"/>
    <x v="16"/>
    <s v="INSTANTOVERSCHRIJVING NAAR           25-11 BE42 7374 0819 6554 BANKIER BEGUNSTIGDE: KREDBEBBXXX DEWULF ELS WERO ROTTY CHRISTOFF OM 13.07 MET WERO"/>
    <s v="Uitgave"/>
    <n v="-8.82"/>
    <x v="2"/>
    <s v="OK"/>
  </r>
  <r>
    <d v="2025-11-25T00:00:00"/>
    <x v="10"/>
    <n v="-0.9"/>
    <x v="11"/>
    <s v="BETALING VIA MAESTRO                 25-11 24-11-2025 OM 15.07 UUR VALINSOPAY NL NL WIJK EN AALBU MET APPLE PAY 6703 42XX XXXX X901 0 VIRTUEEL KAARTNUMMER CONTACTLOZE BETALING: 6790 28XX XXXX X005 7 KAARTHOUDER: ROTTY CHRISTOFF"/>
    <s v="Uitgave"/>
    <n v="-0.9"/>
    <x v="1"/>
    <s v="OK"/>
  </r>
  <r>
    <d v="2025-11-25T00:00:00"/>
    <x v="10"/>
    <n v="12"/>
    <x v="12"/>
    <s v="OVERSCHRIJVING VAN                   25-11 FR52 2193 3000 01DF 415E 7VNE 419 BANKIER OPDRACHTGEVER: MPAYFRP1XXX MANGOPAY VINTED REFERENTIE: 7E7D31BBD0EA49028E3A67D7AD5C24F5"/>
    <s v="Inkomst"/>
    <n v="12"/>
    <x v="1"/>
    <s v="OK"/>
  </r>
  <r>
    <d v="2025-11-24T00:00:00"/>
    <x v="10"/>
    <n v="-5"/>
    <x v="17"/>
    <s v="BETALING VIA BANCONTACT              24-11 24-11-2025 OM 16.58 UUR NELE P2P MOBILE MET KBC-DEBETKAART 5127 88XX XXXX 8113 KAARTHOUDER: BOMBAERT BRAM"/>
    <s v="Uitgave"/>
    <n v="-5"/>
    <x v="1"/>
    <s v="OK"/>
  </r>
  <r>
    <d v="2025-11-23T00:00:00"/>
    <x v="10"/>
    <n v="-35.799999999999997"/>
    <x v="9"/>
    <s v="BETALING VIA DEBIT MASTERCARD        24-11 23-11-2025 OM 15.47 UUR PATISSERIE CARUSO BE8400 OOSTENDE MET KBC-DEBETKAART 5127 88XX XXXX 8113 KAARTHOUDER: BOMBAERT BRAM"/>
    <s v="Uitgave"/>
    <n v="-35.799999999999997"/>
    <x v="1"/>
    <s v="OK"/>
  </r>
  <r>
    <d v="2025-11-24T00:00:00"/>
    <x v="10"/>
    <n v="-10.73"/>
    <x v="4"/>
    <s v="BETALING VIA DEBIT MASTERCARD        24-11 24-11-2025 OM 00.36 UUR OVO CHARGE ANYWHERE GBBS1 6ED BRISTOL MET APPLE PAY 5127 88XX XXXX 8113 VIRTUEEL KAARTNUMMER CONTACTLOZE BETALING: 5354 00XX XXXX 6677 KAARTHOUDER: BOMBAERT BRAM"/>
    <s v="Uitgave"/>
    <n v="-10.73"/>
    <x v="2"/>
    <s v="OK"/>
  </r>
  <r>
    <d v="2025-11-22T00:00:00"/>
    <x v="10"/>
    <n v="-11.13"/>
    <x v="2"/>
    <s v="BETALING VIA DEBIT MASTERCARD        24-11 22-11-2025 OM 17.34 UUR CARREFOUR MARKE BE8510 MARKE MET APPLE PAY 5127 88XX XXXX 8113 VIRTUEEL KAARTNUMMER CONTACTLOZE BETALING: 5354 00XX XXXX 8030 KAARTHOUDER: BOMBAERT BRAM"/>
    <s v="Uitgave"/>
    <n v="-11.13"/>
    <x v="2"/>
    <s v="OK"/>
  </r>
  <r>
    <d v="2025-11-24T00:00:00"/>
    <x v="10"/>
    <n v="-25"/>
    <x v="13"/>
    <s v="BETALING VIA BANCONTACT              24-11 24-11-2025 OM 15.06 UUR VERLINDE LAUREN BE8510 MARKE MET KBC-DEBETKAART 5127 88XX XXXX 8113 KAARTHOUDER: BOMBAERT BRAM"/>
    <s v="Uitgave"/>
    <n v="-25"/>
    <x v="2"/>
    <s v="OK"/>
  </r>
  <r>
    <d v="2025-11-24T00:00:00"/>
    <x v="10"/>
    <n v="-34"/>
    <x v="12"/>
    <s v="BETALING VIA MAESTRO                 24-11 23-11-2025 OM 14.30 UUR AS OOSTENDE 18 BE OOSTENDE MET APPLE PAY 6703 42XX XXXX X901 0 VIRTUEEL KAARTNUMMER CONTACTLOZE BETALING: 6790 28XX XXXX X658 7 KAARTHOUDER: ROTTY CHRISTOFF"/>
    <s v="Uitgave"/>
    <n v="-34"/>
    <x v="1"/>
    <s v="OK"/>
  </r>
  <r>
    <d v="2025-11-23T00:00:00"/>
    <x v="10"/>
    <n v="-3.3"/>
    <x v="4"/>
    <s v="BETALING VIA DEBIT MASTERCARD        24-11 23-11-2025 OM 10.36 UUR OVO CHARGE ANYWHERE GBBS1 6ED BRISTOL MET APPLE PAY 5127 88XX XXXX 8113 VIRTUEEL KAARTNUMMER CONTACTLOZE BETALING: 5354 00XX XXXX 6677 KAARTHOUDER: BOMBAERT BRAM"/>
    <s v="Uitgave"/>
    <n v="-3.3"/>
    <x v="2"/>
    <s v="OK"/>
  </r>
  <r>
    <d v="2025-11-24T00:00:00"/>
    <x v="10"/>
    <n v="-0.76"/>
    <x v="5"/>
    <s v="BETALING VIA MAESTRO                 24-11 22-11-2025 OM 17.15 UUR KORTRIJK P1 BE KORTRIJK MET APPLE PAY 6703 42XX XXXX X901 0 VIRTUEEL KAARTNUMMER CONTACTLOZE BETALING: 6790 28XX XXXX X658 7 KAARTHOUDER: ROTTY CHRISTOFF"/>
    <s v="Uitgave"/>
    <n v="-0.76"/>
    <x v="1"/>
    <s v="OK"/>
  </r>
  <r>
    <d v="2025-11-24T00:00:00"/>
    <x v="10"/>
    <n v="-10.58"/>
    <x v="14"/>
    <s v="BETALING VIA MAESTRO                 24-11 22-11-2025 OM 16.37 UUR MEDIA MARKT KORTRIJK N BE KORTRIJK MET APPLE PAY 6703 42XX XXXX X901 0 VIRTUEEL KAARTNUMMER CONTACTLOZE BETALING: 6790 28XX XXXX X658 7 KAARTHOUDER: ROTTY CHRISTOFF"/>
    <s v="Uitgave"/>
    <n v="-10.58"/>
    <x v="1"/>
    <s v="OK"/>
  </r>
  <r>
    <d v="2025-11-24T00:00:00"/>
    <x v="10"/>
    <n v="-1.5"/>
    <x v="11"/>
    <s v="BETALING VIA MAESTRO                 24-11 21-11-2025 OM 15.37 UUR VALINSOPAY NL NL WIJK EN AALBU MET APPLE PAY 6703 42XX XXXX X901 0 VIRTUEEL KAARTNUMMER CONTACTLOZE BETALING: 6790 28XX XXXX X658 7 KAARTHOUDER: ROTTY CHRISTOFF"/>
    <s v="Uitgave"/>
    <n v="-1.5"/>
    <x v="1"/>
    <s v="OK"/>
  </r>
  <r>
    <d v="2025-11-24T00:00:00"/>
    <x v="10"/>
    <n v="-12.62"/>
    <x v="2"/>
    <s v="BETALING VIA MAESTRO                 24-11 21-11-2025 OM 11.22 UUR COLRUYT LEDEBERG BE GENT MET APPLE PAY 6703 42XX XXXX X901 0 VIRTUEEL KAARTNUMMER CONTACTLOZE BETALING: 6790 28XX XXXX X658 7 KAARTHOUDER: ROTTY CHRISTOFF"/>
    <s v="Uitgave"/>
    <n v="-12.62"/>
    <x v="2"/>
    <s v="OK"/>
  </r>
  <r>
    <d v="2025-11-23T00:00:00"/>
    <x v="10"/>
    <n v="-5.39"/>
    <x v="4"/>
    <s v="BETALING VIA DEBIT MASTERCARD        24-11 23-11-2025 OM 06.15 UUR OVO CHARGE ANYWHERE GBBS1 6ED BRISTOL MET APPLE PAY 5127 88XX XXXX 8113 VIRTUEEL KAARTNUMMER CONTACTLOZE BETALING: 5354 00XX XXXX 6677 KAARTHOUDER: BOMBAERT BRAM"/>
    <s v="Uitgave"/>
    <n v="-5.39"/>
    <x v="2"/>
    <s v="OK"/>
  </r>
  <r>
    <d v="2025-11-22T00:00:00"/>
    <x v="10"/>
    <n v="-16"/>
    <x v="2"/>
    <s v="BETALING VIA DEBIT MASTERCARD        24-11 22-11-2025 OM 12.39 UUR WARI SPRL BE8510 KORTRIJK MET APPLE PAY 5127 88XX XXXX 8113 VIRTUEEL KAARTNUMMER CONTACTLOZE BETALING: 5354 00XX XXXX 8030 KAARTHOUDER: BOMBAERT BRAM"/>
    <s v="Uitgave"/>
    <n v="-16"/>
    <x v="2"/>
    <s v="OK"/>
  </r>
  <r>
    <d v="2025-11-22T00:00:00"/>
    <x v="10"/>
    <n v="-14.36"/>
    <x v="2"/>
    <s v="BETALING VIA DEBIT MASTERCARD        24-11 22-11-2025 OM 12.30 UUR LIDL 803 KORTRIJK 2 BE8500 KORTRIJK MET APPLE PAY 5127 88XX XXXX 8113 VIRTUEEL KAARTNUMMER CONTACTLOZE BETALING: 5354 00XX XXXX 8030 KAARTHOUDER: BOMBAERT BRAM"/>
    <s v="Uitgave"/>
    <n v="-14.36"/>
    <x v="2"/>
    <s v="OK"/>
  </r>
  <r>
    <d v="2025-11-21T00:00:00"/>
    <x v="10"/>
    <n v="-100"/>
    <x v="17"/>
    <s v="BETALING VIA DEBIT MASTERCARD        24-11 21-11-2025 OM 23.02 UUR AS ADVENTURE BE BE2660 HOBOKEN MET APPLE PAY 5127 88XX XXXX 8113 VIRTUEEL KAARTNUMMER CONTACTLOZE BETALING: 5354 00XX XXXX 6677 KAARTHOUDER: BOMBAERT BRAM"/>
    <s v="Uitgave"/>
    <n v="-100"/>
    <x v="1"/>
    <s v="OK"/>
  </r>
  <r>
    <d v="2025-11-23T00:00:00"/>
    <x v="10"/>
    <n v="-1.73"/>
    <x v="5"/>
    <s v="OVERSCHRIJVING NAAR                  23-11 BE23 7330 6155 2691 BANKIER BEGUNSTIGDE: KREDBEBB 4411 4411 OOSTENDE OOS012 2CMY158 - OLMPA100100 - J4WKN2YZ F9KA MET KBC MOBILE"/>
    <s v="Uitgave"/>
    <n v="-1.73"/>
    <x v="1"/>
    <s v="OK"/>
  </r>
  <r>
    <d v="2025-11-23T00:00:00"/>
    <x v="10"/>
    <n v="50"/>
    <x v="17"/>
    <s v="STORTING AUTOMAAT                    24-11 BC KAPELLESTRAAT, 6   OOSTENDE MET KBC-DEBETKAART 6703 42XX XXXX X901 0 KAARTHOUDER ROTTY CHRISTOFF REFERTE 000401846011542511231601"/>
    <s v="Inkomst"/>
    <n v="50"/>
    <x v="1"/>
    <s v="OK"/>
  </r>
  <r>
    <d v="2025-11-22T00:00:00"/>
    <x v="10"/>
    <n v="-26.9"/>
    <x v="41"/>
    <s v="BETALING VIA BANCONTACT              24-11 22-11-2025 OM 17.06 UUR VIVA SARA SHOP BE8500 KORTRIJK MET KBC-DEBETKAART 5127 88XX XXXX 8113 KAARTHOUDER: BOMBAERT BRAM"/>
    <s v="Uitgave"/>
    <n v="-26.9"/>
    <x v="1"/>
    <s v="OK"/>
  </r>
  <r>
    <d v="2025-11-21T00:00:00"/>
    <x v="10"/>
    <n v="-5.35"/>
    <x v="2"/>
    <s v="BETALING VIA DEBIT MASTERCARD        24-11 21-11-2025 OM 13.41 UUR OKAY WEVELGEM 4258 BE8560 WEVELGEM MET APPLE PAY 5127 88XX XXXX 8113 VIRTUEEL KAARTNUMMER CONTACTLOZE BETALING: 5354 00XX XXXX 6677 KAARTHOUDER: BOMBAERT BRAM"/>
    <s v="Uitgave"/>
    <n v="-5.35"/>
    <x v="2"/>
    <s v="OK"/>
  </r>
  <r>
    <d v="2025-11-21T00:00:00"/>
    <x v="10"/>
    <n v="-52.4"/>
    <x v="2"/>
    <s v="BETALING VIA DEBIT MASTERCARD        24-11 21-11-2025 OM 16.57 UUR LIDL 803 KORTRIJK 2 BE8500 KORTRIJK MET APPLE PAY 5127 88XX XXXX 8113 VIRTUEEL KAARTNUMMER CONTACTLOZE BETALING: 5354 00XX XXXX 8030 KAARTHOUDER: BOMBAERT BRAM"/>
    <s v="Uitgave"/>
    <n v="-52.4"/>
    <x v="2"/>
    <s v="OK"/>
  </r>
  <r>
    <d v="2025-11-22T00:00:00"/>
    <x v="10"/>
    <n v="-9"/>
    <x v="2"/>
    <s v="INSTANTOVERSCHRIJVING NAAR           22-11 BE95 7320 4536 7658 BANKIER BEGUNSTIGDE: CREGBEBBXXX CORROYER CHARLES-THIBAULT WERO BOMBAERT BRAM OM 16.26 MET WERO"/>
    <s v="Uitgave"/>
    <n v="-9"/>
    <x v="2"/>
    <s v="OK"/>
  </r>
  <r>
    <d v="2025-11-21T00:00:00"/>
    <x v="10"/>
    <n v="-5.21"/>
    <x v="4"/>
    <s v="BETALING VIA DEBIT MASTERCARD        24-11 21-11-2025 OM 09.16 UUR OVO CHARGE ANYWHERE GBBS1 6ED BRISTOL MET APPLE PAY 5127 88XX XXXX 8113 VIRTUEEL KAARTNUMMER CONTACTLOZE BETALING: 5354 00XX XXXX 6677 KAARTHOUDER: BOMBAERT BRAM"/>
    <s v="Uitgave"/>
    <n v="-5.21"/>
    <x v="2"/>
    <s v="OK"/>
  </r>
  <r>
    <d v="2025-11-21T00:00:00"/>
    <x v="10"/>
    <n v="-19.190000000000001"/>
    <x v="12"/>
    <s v="BETALING VIA BANCONTACT              21-11 21-11-2025 OM 16.45 UUR ZALANDO PAYMENTS GMBH DE10243 BERLIN MET KBC-DEBETKAART 6703 42XX XXXX X901 0 KAARTHOUDER: ROTTY CHRISTOFF"/>
    <s v="Uitgave"/>
    <n v="-19.190000000000001"/>
    <x v="1"/>
    <s v="OK"/>
  </r>
  <r>
    <d v="2025-11-20T00:00:00"/>
    <x v="10"/>
    <n v="-24.1"/>
    <x v="15"/>
    <s v="BETALING VIA DEBIT MASTERCARD        21-11 20-11-2025 OM 18.29 UUR IKEA GENT-FOOD BE9051 SINT-DENIJS-W MET APPLE PAY 5127 88XX XXXX 8113 VIRTUEEL KAARTNUMMER CONTACTLOZE BETALING: 5354 00XX XXXX 6677 KAARTHOUDER: BOMBAERT BRAM"/>
    <s v="Uitgave"/>
    <n v="-24.1"/>
    <x v="1"/>
    <s v="OK"/>
  </r>
  <r>
    <d v="2025-11-20T00:00:00"/>
    <x v="10"/>
    <n v="-44.3"/>
    <x v="15"/>
    <s v="BETALING VIA DEBIT MASTERCARD        21-11 20-11-2025 OM 19.07 UUR IKEA GENT-STORE BE9051 SINT-DENIJS-W MET APPLE PAY 5127 88XX XXXX 8113 VIRTUEEL KAARTNUMMER CONTACTLOZE BETALING: 5354 00XX XXXX 6677 KAARTHOUDER: BOMBAERT BRAM"/>
    <s v="Uitgave"/>
    <n v="-44.3"/>
    <x v="1"/>
    <s v="OK"/>
  </r>
  <r>
    <d v="2025-11-20T00:00:00"/>
    <x v="10"/>
    <n v="-3.5"/>
    <x v="2"/>
    <s v="BETALING VIA DEBIT MASTERCARD        21-11 20-11-2025 OM 12.28 UUR CARREFOUR MARKE BE8510 MARKE MET KBC-DEBETKAART 5127 88XX XXXX 8113 KAARTHOUDER: BOMBAERT BRAM"/>
    <s v="Uitgave"/>
    <n v="-3.5"/>
    <x v="2"/>
    <s v="OK"/>
  </r>
  <r>
    <d v="2025-11-21T00:00:00"/>
    <x v="10"/>
    <n v="-27"/>
    <x v="2"/>
    <s v="BETALING VIA BANCONTACT              21-11 21-11-2025 OM 12.27 UUR WARI BE8510 MARKE MET KBC-DEBETKAART 5127 88XX XXXX 8113 KAARTHOUDER: BOMBAERT BRAM INFO VAN DE HANDELAAR: 758N287 BESTELLEN BAKKERIJ RIG"/>
    <s v="Uitgave"/>
    <n v="-27"/>
    <x v="2"/>
    <s v="OK"/>
  </r>
  <r>
    <d v="2025-11-21T00:00:00"/>
    <x v="10"/>
    <n v="-1.1000000000000001"/>
    <x v="11"/>
    <s v="BETALING VIA MAESTRO                 21-11 20-11-2025 OM 15.24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11-21T00:00:00"/>
    <x v="10"/>
    <n v="-1.5"/>
    <x v="11"/>
    <s v="BETALING VIA MAESTRO                 21-11 20-11-2025 OM 12.27 UUR VALINSOPAY NL NL WIJK EN AALBU MET APPLE PAY 6703 42XX XXXX X901 0 VIRTUEEL KAARTNUMMER CONTACTLOZE BETALING: 6790 28XX XXXX X005 7 KAARTHOUDER: ROTTY CHRISTOFF"/>
    <s v="Uitgave"/>
    <n v="-1.5"/>
    <x v="1"/>
    <s v="OK"/>
  </r>
  <r>
    <d v="2025-11-21T00:00:00"/>
    <x v="10"/>
    <n v="13.49"/>
    <x v="2"/>
    <s v="INSTANTOVERSCHRIJVING VAN            21-11 BE49 3770 3267 3071 BANKIER OPDRACHTGEVER: BBRUBEBBXXX DE H THOMAS VERCAIGNE WERO ROTTY C. - BOMBAERT B. REFERENTIE: 0E3AB1EB824D4966A93966A4FF417A54 OM 11.06 UUR MET WERO"/>
    <s v="Inkomst"/>
    <n v="13.49"/>
    <x v="2"/>
    <s v="OK"/>
  </r>
  <r>
    <d v="2025-11-21T00:00:00"/>
    <x v="10"/>
    <n v="-53.29"/>
    <x v="33"/>
    <s v="EUROPESE DOMICILIERING               21-11 SCHULDEISER     : AXA REF. SCHULDEISER: 20251115010851233096026371 MANDAATREFERTE  : 010817143526001 MEDEDELING      : 0108171435261042025-11-212025110000 0010817143526"/>
    <s v="Uitgave"/>
    <n v="-53.29"/>
    <x v="2"/>
    <s v="OK"/>
  </r>
  <r>
    <d v="2025-11-20T00:00:00"/>
    <x v="10"/>
    <n v="-25.9"/>
    <x v="12"/>
    <s v="BETALING VIA BANCONTACT              21-11 20-11-2025 OM 21.12 UUR FIETSGOEDKOPER B.V. NL9731AK GRONINGEN MET KBC-DEBETKAART 6703 42XX XXXX X901 0 KAARTHOUDER: ROTTY CHRISTOFF INFO VAN DE HANDELAAR: 758CT8Y ORD78880"/>
    <s v="Uitgave"/>
    <n v="-25.9"/>
    <x v="1"/>
    <s v="OK"/>
  </r>
  <r>
    <d v="2025-11-20T00:00:00"/>
    <x v="10"/>
    <n v="-17.39"/>
    <x v="17"/>
    <s v="BETALING VIA BANCONTACT              21-11 20-11-2025 OM 20.49 UUR AMAZON BE RETAIL LU1855 LUXEMBOURG MET KBC-DEBETKAART 5127 88XX XXXX 8113 KAARTHOUDER: BOMBAERT BRAM INFO VAN DE HANDELAAR: 758C9B1 WWW.AMAZON.COM.BE"/>
    <s v="Uitgave"/>
    <n v="-17.39"/>
    <x v="1"/>
    <s v="OK"/>
  </r>
  <r>
    <d v="2025-11-20T00:00:00"/>
    <x v="10"/>
    <n v="-5.65"/>
    <x v="4"/>
    <s v="BETALING VIA DEBIT MASTERCARD        21-11 20-11-2025 OM 05.41 UUR OVO CHARGE ANYWHERE GBBS1 6ED BRISTOL MET APPLE PAY 5127 88XX XXXX 8113 VIRTUEEL KAARTNUMMER CONTACTLOZE BETALING: 5354 00XX XXXX 6677 KAARTHOUDER: BOMBAERT BRAM"/>
    <s v="Uitgave"/>
    <n v="-5.65"/>
    <x v="2"/>
    <s v="OK"/>
  </r>
  <r>
    <d v="2025-11-20T00:00:00"/>
    <x v="10"/>
    <n v="-6.35"/>
    <x v="5"/>
    <s v="OVERSCHRIJVING NAAR                  20-11 BE23 7330 6155 2691 BANKIER BEGUNSTIGDE: KREDBEBB 4411 4411 KORTRIJK KOR4 2CMY158 - OLMPA100100 - 9GM7AHUK03 BD MET KBC MOBILE"/>
    <s v="Uitgave"/>
    <n v="-6.35"/>
    <x v="1"/>
    <s v="OK"/>
  </r>
  <r>
    <d v="2025-11-20T00:00:00"/>
    <x v="10"/>
    <n v="53.93"/>
    <x v="12"/>
    <s v="OVERSCHRIJVING VAN                   20-11 NL92 ADYB 2017 4009 98 BANKIER OPDRACHTGEVER: ADYBNL2AXXX ZALANDO PAYMENTS GMBH TX456129580XT REFUND FOR ZALANDO PAYMENTS GMBH REF:EF 473165-042D-3A59-BE82-DD53136D9F14 REFERENTIE: TX456129580XT"/>
    <s v="Inkomst"/>
    <n v="53.93"/>
    <x v="1"/>
    <s v="OK"/>
  </r>
  <r>
    <d v="2025-11-19T00:00:00"/>
    <x v="10"/>
    <n v="-15.99"/>
    <x v="7"/>
    <s v="BETALING VIA DEBIT MASTERCARD        20-11 19-11-2025 OM 19.16 UUR MOL*STANDAARD BOEKHAND BE9100 3278100078 MET APPLE PAY 5127 88XX XXXX 8113 VIRTUEEL KAARTNUMMER CONTACTLOZE BETALING: 5354 00XX XXXX 6677 KAARTHOUDER: BOMBAERT BRAM"/>
    <s v="Uitgave"/>
    <n v="-15.99"/>
    <x v="1"/>
    <s v="OK"/>
  </r>
  <r>
    <d v="2025-11-20T00:00:00"/>
    <x v="10"/>
    <n v="-1.5"/>
    <x v="11"/>
    <s v="BETALING VIA MAESTRO                 20-11 19-11-2025 OM 12.48 UUR VALINSOPAY NL NL WIJK EN AALBU MET APPLE PAY 6703 42XX XXXX X901 0 VIRTUEEL KAARTNUMMER CONTACTLOZE BETALING: 6790 28XX XXXX X658 7 KAARTHOUDER: ROTTY CHRISTOFF"/>
    <s v="Uitgave"/>
    <n v="-1.5"/>
    <x v="1"/>
    <s v="OK"/>
  </r>
  <r>
    <d v="2025-11-20T00:00:00"/>
    <x v="10"/>
    <n v="-6"/>
    <x v="30"/>
    <s v="EUROPESE DOMICILIERING               20-11 SCHULDEISER     : DIGI COMMUNICATIONS BELGIUM NV REF. SCHULDEISER: 000009716467-858549 MANDAATREFERTE  : 1D574ED99E164823 MEDEDELING      : DIGI FACTUUR - NOVEMBER 2025"/>
    <s v="Uitgave"/>
    <n v="-6"/>
    <x v="2"/>
    <s v="OK"/>
  </r>
  <r>
    <d v="2025-11-19T00:00:00"/>
    <x v="10"/>
    <n v="-5"/>
    <x v="51"/>
    <s v="BETALING VIA BANCONTACT              20-11 19-11-2025 OM 17.17 UUR ORANGE BRUXELLES BE1140 BRUSSEL MET KBC-DEBETKAART 6703 42XX XXXX X901 0 KAARTHOUDER: ROTTY CHRISTOFF"/>
    <s v="Uitgave"/>
    <n v="-5"/>
    <x v="2"/>
    <s v="OK"/>
  </r>
  <r>
    <d v="2025-11-18T00:00:00"/>
    <x v="10"/>
    <n v="-2.79"/>
    <x v="2"/>
    <s v="BETALING VIA DEBIT MASTERCARD        19-11 18-11-2025 OM 15.45 UUR LIDL 803 KORTRIJK 2 BE8500 KORTRIJK MET APPLE PAY 5127 88XX XXXX 8113 VIRTUEEL KAARTNUMMER CONTACTLOZE BETALING: 5354 00XX XXXX 8030 KAARTHOUDER: BOMBAERT BRAM"/>
    <s v="Uitgave"/>
    <n v="-2.79"/>
    <x v="2"/>
    <s v="OK"/>
  </r>
  <r>
    <d v="2025-11-19T00:00:00"/>
    <x v="10"/>
    <n v="-62"/>
    <x v="10"/>
    <s v="INSTANTOVERSCHRIJVING NAAR           19-11 BE24 3632 6296 6838 BANKIER BEGUNSTIGDE: BBRUBEBBXXX SIAMO VOF WERO BOMBAERT BRAM OM 15.51 MET WERO"/>
    <s v="Uitgave"/>
    <n v="-62"/>
    <x v="1"/>
    <s v="OK"/>
  </r>
  <r>
    <d v="2025-11-19T00:00:00"/>
    <x v="10"/>
    <n v="-14"/>
    <x v="17"/>
    <s v="BETALING VIA BANCONTACT              19-11 19-11-2025 OM 14.29 UUR LUCIE P2P MOBILE MET KBC-DEBETKAART 6703 42XX XXXX X901 0 KAARTHOUDER: ROTTY CHRISTOFF"/>
    <s v="Uitgave"/>
    <n v="-14"/>
    <x v="1"/>
    <s v="OK"/>
  </r>
  <r>
    <d v="2025-11-19T00:00:00"/>
    <x v="10"/>
    <n v="-1.5"/>
    <x v="11"/>
    <s v="BETALING VIA MAESTRO                 19-11 18-11-2025 OM 10.37 UUR VALINSOPAY NL NL WIJK EN AALBU MET APPLE PAY 6703 42XX XXXX X901 0 VIRTUEEL KAARTNUMMER CONTACTLOZE BETALING: 6790 28XX XXXX X658 7 KAARTHOUDER: ROTTY CHRISTOFF"/>
    <s v="Uitgave"/>
    <n v="-1.5"/>
    <x v="1"/>
    <s v="OK"/>
  </r>
  <r>
    <d v="2025-11-18T00:00:00"/>
    <x v="10"/>
    <n v="-1.5"/>
    <x v="11"/>
    <s v="BETALING VIA MAESTRO                 18-11 17-11-2025 OM 11.08 UUR VALINSOPAY NL NL WIJK EN AALBU MET APPLE PAY 6703 42XX XXXX X901 0 VIRTUEEL KAARTNUMMER CONTACTLOZE BETALING: 6790 28XX XXXX X658 7 KAARTHOUDER: ROTTY CHRISTOFF"/>
    <s v="Uitgave"/>
    <n v="-1.5"/>
    <x v="1"/>
    <s v="OK"/>
  </r>
  <r>
    <d v="2025-11-18T00:00:00"/>
    <x v="10"/>
    <n v="5"/>
    <x v="12"/>
    <s v="OVERSCHRIJVING VAN                   18-11 FR52 2193 3000 01DF 415E 7VNE 419 BANKIER OPDRACHTGEVER: MPAYFRP1XXX MANGOPAY VINTED REFERENTIE: FB9EEB860230496799A6855AEC6A2E0A"/>
    <s v="Inkomst"/>
    <n v="5"/>
    <x v="1"/>
    <s v="OK"/>
  </r>
  <r>
    <d v="2025-11-17T00:00:00"/>
    <x v="10"/>
    <n v="-16.989999999999998"/>
    <x v="14"/>
    <s v="BETALING VIA DEBIT MASTERCARD        17-11 17-11-2025 OM 06.16 UUR SPOTIFY P3C7B8ED43 SE111 53 STOCKHOLM MET M4M - MDES FOR MERCHANTS 5127 88XX XXXX 8113 VIRTUEEL KAARTNUMMER CONTACTLOZE BETALING: 5354 00XX XXXX 5443 KAARTHOUDER: BOMBAERT BRAM"/>
    <s v="Uitgave"/>
    <n v="-16.989999999999998"/>
    <x v="1"/>
    <s v="OK"/>
  </r>
  <r>
    <d v="2025-11-17T00:00:00"/>
    <x v="10"/>
    <n v="-12.55"/>
    <x v="4"/>
    <s v="BETALING VIA DEBIT MASTERCARD        17-11 17-11-2025 OM 00.45 UUR OVO CHARGE ANYWHERE GBBS1 6ED BRISTOL MET APPLE PAY 5127 88XX XXXX 8113 VIRTUEEL KAARTNUMMER CONTACTLOZE BETALING: 5354 00XX XXXX 6677 KAARTHOUDER: BOMBAERT BRAM"/>
    <s v="Uitgave"/>
    <n v="-12.55"/>
    <x v="2"/>
    <s v="OK"/>
  </r>
  <r>
    <d v="2025-11-15T00:00:00"/>
    <x v="10"/>
    <n v="-30"/>
    <x v="2"/>
    <s v="BETALING VIA DEBIT MASTERCARD        17-11 15-11-2025 OM 16.01 UUR CARREFOUR MARKE BE8510 MARKE MET APPLE PAY 5127 88XX XXXX 8113 VIRTUEEL KAARTNUMMER CONTACTLOZE BETALING: 5354 00XX XXXX 8030 KAARTHOUDER: BOMBAERT BRAM"/>
    <s v="Uitgave"/>
    <n v="-30"/>
    <x v="2"/>
    <s v="OK"/>
  </r>
  <r>
    <d v="2025-11-15T00:00:00"/>
    <x v="10"/>
    <n v="-4.82"/>
    <x v="2"/>
    <s v="BETALING VIA DEBIT MASTERCARD        17-11 15-11-2025 OM 12.23 UUR CARREFOUR MARKE BE8510 MARKE MET APPLE PAY 5127 88XX XXXX 8113 VIRTUEEL KAARTNUMMER CONTACTLOZE BETALING: 5354 00XX XXXX 6677 KAARTHOUDER: BOMBAERT BRAM"/>
    <s v="Uitgave"/>
    <n v="-4.82"/>
    <x v="2"/>
    <s v="OK"/>
  </r>
  <r>
    <d v="2025-11-16T00:00:00"/>
    <x v="10"/>
    <n v="-2.95"/>
    <x v="2"/>
    <s v="BETALING VIA DEBIT MASTERCARD        17-11 16-11-2025 OM 13.15 UUR CARREFOUR MARKE BE8510 MARKE MET APPLE PAY 5127 88XX XXXX 8113 VIRTUEEL KAARTNUMMER CONTACTLOZE BETALING: 5354 00XX XXXX 8030 KAARTHOUDER: BOMBAERT BRAM"/>
    <s v="Uitgave"/>
    <n v="-2.95"/>
    <x v="2"/>
    <s v="OK"/>
  </r>
  <r>
    <d v="2025-11-16T00:00:00"/>
    <x v="10"/>
    <n v="-20.52"/>
    <x v="10"/>
    <s v="BETALING VIA DEBIT MASTERCARD        17-11 16-11-2025 OM 05.35 UUR SP EDGARD &amp; COOPER BE8500 KORTRIJK MET APPLE PAY 5127 88XX XXXX 8113 VIRTUEEL KAARTNUMMER CONTACTLOZE BETALING: 5354 00XX XXXX 6677 KAARTHOUDER: BOMBAERT BRAM"/>
    <s v="Uitgave"/>
    <n v="-20.52"/>
    <x v="1"/>
    <s v="OK"/>
  </r>
  <r>
    <d v="2025-11-17T00:00:00"/>
    <x v="10"/>
    <n v="-3.85"/>
    <x v="16"/>
    <s v="BETALING VIA MAESTRO                 17-11 15-11-2025 OM 09.48 UUR CCV*APOTHEEK VANNESTE BE KORTRIJK MET APPLE PAY 6703 42XX XXXX X901 0 VIRTUEEL KAARTNUMMER CONTACTLOZE BETALING: 6790 28XX XXXX X658 7 KAARTHOUDER: ROTTY CHRISTOFF"/>
    <s v="Uitgave"/>
    <n v="-3.85"/>
    <x v="2"/>
    <s v="OK"/>
  </r>
  <r>
    <d v="2025-11-17T00:00:00"/>
    <x v="10"/>
    <n v="-169.2"/>
    <x v="9"/>
    <s v="BETALING VIA MAESTRO                 17-11 15-11-2025 OM 20.18 UUR CCV*RIBS N BEER BE MARKE MET APPLE PAY 6703 42XX XXXX X901 0 VIRTUEEL KAARTNUMMER CONTACTLOZE BETALING: 6790 28XX XXXX X658 7 KAARTHOUDER: ROTTY CHRISTOFF"/>
    <s v="Uitgave"/>
    <n v="-169.2"/>
    <x v="1"/>
    <s v="OK"/>
  </r>
  <r>
    <d v="2025-11-17T00:00:00"/>
    <x v="10"/>
    <n v="-1.5"/>
    <x v="11"/>
    <s v="BETALING VIA MAESTRO                 17-11 14-11-2025 OM 14.00 UUR VALINSOPAY NL NL WIJK EN AALBU MET APPLE PAY 6703 42XX XXXX X901 0 VIRTUEEL KAARTNUMMER CONTACTLOZE BETALING: 6790 28XX XXXX X005 7 KAARTHOUDER: ROTTY CHRISTOFF"/>
    <s v="Uitgave"/>
    <n v="-1.5"/>
    <x v="1"/>
    <s v="OK"/>
  </r>
  <r>
    <d v="2025-11-17T00:00:00"/>
    <x v="10"/>
    <n v="-1.1000000000000001"/>
    <x v="11"/>
    <s v="BETALING VIA MAESTRO                 17-11 14-11-2025 OM 16.40 UUR VALINSOPAY NL NL WIJK EN AALBU MET APPLE PAY 6703 42XX XXXX X901 0 VIRTUEEL KAARTNUMMER CONTACTLOZE BETALING: 6790 28XX XXXX X658 7 KAARTHOUDER: ROTTY CHRISTOFF"/>
    <s v="Uitgave"/>
    <n v="-1.1000000000000001"/>
    <x v="1"/>
    <s v="OK"/>
  </r>
  <r>
    <d v="2025-11-17T00:00:00"/>
    <x v="10"/>
    <n v="-81.66"/>
    <x v="27"/>
    <s v="EUROPESE DOMICILIERING               17-11 SCHULDEISER     : BALOISE BELGIUM NV REF. SCHULDEISER: 0000000000000024585580893 MANDAATREFERTE  : 202025682289 MEDEDELING      : POL.1A02635 VERV.10/11/25 9849"/>
    <s v="Uitgave"/>
    <n v="-81.66"/>
    <x v="2"/>
    <s v="OK"/>
  </r>
  <r>
    <d v="2025-11-17T00:00:00"/>
    <x v="10"/>
    <n v="-90"/>
    <x v="27"/>
    <s v="EUROPESE DOMICILIERING               17-11 SCHULDEISER     : BALOISE BELGIUM NV REF. SCHULDEISER: 0000000000000024588977210 MANDAATREFERTE  : 202025687747 MEDEDELING      : POL.1B57806 VERV.10/11/25 9849"/>
    <s v="Uitgave"/>
    <n v="-90"/>
    <x v="2"/>
    <s v="OK"/>
  </r>
  <r>
    <d v="2025-11-16T00:00:00"/>
    <x v="10"/>
    <n v="-5.09"/>
    <x v="4"/>
    <s v="BETALING VIA DEBIT MASTERCARD        17-11 16-11-2025 OM 06.14 UUR OVO CHARGE ANYWHERE GBBS1 6ED BRISTOL MET APPLE PAY 5127 88XX XXXX 8113 VIRTUEEL KAARTNUMMER CONTACTLOZE BETALING: 5354 00XX XXXX 6677 KAARTHOUDER: BOMBAERT BRAM"/>
    <s v="Uitgave"/>
    <n v="-5.09"/>
    <x v="2"/>
    <s v="OK"/>
  </r>
  <r>
    <d v="2025-11-16T00:00:00"/>
    <x v="10"/>
    <n v="-1.21"/>
    <x v="51"/>
    <s v="BETALING VIA BANCONTACT              17-11 16-11-2025 OM 16.43 UUR ORANGE BRUXELLES BE1140 BRUSSEL MET KBC-DEBETKAART 6703 42XX XXXX X901 0 KAARTHOUDER: ROTTY CHRISTOFF"/>
    <s v="Uitgave"/>
    <n v="-1.21"/>
    <x v="2"/>
    <s v="OK"/>
  </r>
  <r>
    <d v="2025-11-15T00:00:00"/>
    <x v="10"/>
    <n v="-3.04"/>
    <x v="5"/>
    <s v="BETALING VIA DEBIT MASTERCARD        17-11 15-11-2025 OM 22.45 UUR KORTRIJK P1 BE8500 KORTRIJK MET APPLE PAY 5127 88XX XXXX 8113 VIRTUEEL KAARTNUMMER CONTACTLOZE BETALING: 5354 00XX XXXX 8030 KAARTHOUDER: BOMBAERT BRAM"/>
    <s v="Uitgave"/>
    <n v="-3.04"/>
    <x v="1"/>
    <s v="OK"/>
  </r>
  <r>
    <d v="2025-11-15T00:00:00"/>
    <x v="10"/>
    <n v="-4.58"/>
    <x v="2"/>
    <s v="BETALING VIA DEBIT MASTERCARD        17-11 15-11-2025 OM 14.55 UUR ALBERT HEIJN 3012 BE8500 KORTRIJK MET APPLE PAY 5127 88XX XXXX 8113 VIRTUEEL KAARTNUMMER CONTACTLOZE BETALING: 5354 00XX XXXX 8030 KAARTHOUDER: BOMBAERT BRAM"/>
    <s v="Uitgave"/>
    <n v="-4.58"/>
    <x v="2"/>
    <s v="OK"/>
  </r>
  <r>
    <d v="2025-11-15T00:00:00"/>
    <x v="10"/>
    <n v="-79.989999999999995"/>
    <x v="12"/>
    <s v="BETALING VIA DEBIT MASTERCARD        17-11 15-11-2025 OM 14.48 UUR JACK &amp; JONES KORTRIJK BE8500 KORTRIJK MET APPLE PAY 5127 88XX XXXX 8113 VIRTUEEL KAARTNUMMER CONTACTLOZE BETALING: 5354 00XX XXXX 8030 KAARTHOUDER: BOMBAERT BRAM"/>
    <s v="Uitgave"/>
    <n v="-79.989999999999995"/>
    <x v="1"/>
    <s v="OK"/>
  </r>
  <r>
    <d v="2025-11-15T00:00:00"/>
    <x v="10"/>
    <n v="-19.350000000000001"/>
    <x v="2"/>
    <s v="BETALING VIA DEBIT MASTERCARD        17-11 15-11-2025 OM 15.51 UUR LIDL 803 KORTRIJK 2 BE8500 KORTRIJK MET APPLE PAY 5127 88XX XXXX 8113 VIRTUEEL KAARTNUMMER CONTACTLOZE BETALING: 5354 00XX XXXX 8030 KAARTHOUDER: BOMBAERT BRAM"/>
    <s v="Uitgave"/>
    <n v="-19.350000000000001"/>
    <x v="2"/>
    <s v="OK"/>
  </r>
  <r>
    <d v="2025-11-15T00:00:00"/>
    <x v="10"/>
    <n v="-7.7"/>
    <x v="9"/>
    <s v="BETALING VIA DEBIT MASTERCARD        17-11 15-11-2025 OM 15.18 UUR LS MADAME CROQUO BV BE8500 KORTRIJK MET APPLE PAY 5127 88XX XXXX 8113 VIRTUEEL KAARTNUMMER CONTACTLOZE BETALING: 5354 00XX XXXX 8030 KAARTHOUDER: BOMBAERT BRAM"/>
    <s v="Uitgave"/>
    <n v="-7.7"/>
    <x v="1"/>
    <s v="OK"/>
  </r>
  <r>
    <d v="2025-11-15T00:00:00"/>
    <x v="10"/>
    <n v="-9.36"/>
    <x v="53"/>
    <s v="BETALING VIA DEBIT MASTERCARD        17-11 15-11-2025 OM 14.33 UUR ACTION 2002 BE8520 KUURNE MET APPLE PAY 5127 88XX XXXX 8113 VIRTUEEL KAARTNUMMER CONTACTLOZE BETALING: 5354 00XX XXXX 8030 KAARTHOUDER: BOMBAERT BRAM"/>
    <s v="Uitgave"/>
    <n v="-9.36"/>
    <x v="1"/>
    <s v="OK"/>
  </r>
  <r>
    <d v="2025-11-15T00:00:00"/>
    <x v="10"/>
    <n v="-18.7"/>
    <x v="8"/>
    <s v="INSTANTOVERSCHRIJVING NAAR           15-11 BE97 7376 0400 9949 BANKIER BEGUNSTIGDE: KREDBEBBXXX DHONDT MONICA WERO ROTTY CHRISTOFF OM 22.33 MET WERO"/>
    <s v="Uitgave"/>
    <n v="-18.7"/>
    <x v="1"/>
    <s v="OK"/>
  </r>
  <r>
    <d v="2025-11-15T00:00:00"/>
    <x v="10"/>
    <n v="84"/>
    <x v="9"/>
    <s v="INSTANTOVERSCHRIJVING VAN            15-11 BE87 7380 4370 5794 BANKIER OPDRACHTGEVER: KREDBEBBXXX DHONDT-BELLETER M &amp; C WERO DHONDT  MONICA OM 20.17 MET WERO"/>
    <s v="Inkomst"/>
    <n v="84"/>
    <x v="1"/>
    <s v="OK"/>
  </r>
  <r>
    <d v="2025-11-15T00:00:00"/>
    <x v="10"/>
    <n v="-13"/>
    <x v="34"/>
    <s v="BETALING VIA BANCONTACT              17-11 15-11-2025 OM 14.00 UUR CARWASH DE SINGEL KUUR BE8250 KUUME MET KBC-DEBETKAART 6703 42XX XXXX X901 0 KAARTHOUDER: ROTTY CHRISTOFF"/>
    <s v="Uitgave"/>
    <n v="-13"/>
    <x v="1"/>
    <s v="OK"/>
  </r>
  <r>
    <d v="2025-11-15T00:00:00"/>
    <x v="10"/>
    <n v="-17.75"/>
    <x v="16"/>
    <s v="BETALING VIA BANCONTACT              17-11 15-11-2025 OM 12.10 UUR DOCCLE -MEDISCHCENTRUM BE8500 KORTRIJK MET KBC-DEBETKAART 5127 88XX XXXX 8113 KAARTHOUDER: BOMBAERT BRAM INFO VAN DE HANDELAAR: 251103693367"/>
    <s v="Uitgave"/>
    <n v="-17.75"/>
    <x v="2"/>
    <s v="OK"/>
  </r>
  <r>
    <d v="2025-11-14T00:00:00"/>
    <x v="10"/>
    <n v="-15.6"/>
    <x v="2"/>
    <s v="BETALING VIA BANCONTACT              17-11 14-11-2025 OM 22.54 UUR BJORN P2P MOBILE MET KBC-DEBETKAART 6703 42XX XXXX X901 0 KAARTHOUDER: ROTTY CHRISTOFF"/>
    <s v="Uitgave"/>
    <n v="-15.6"/>
    <x v="2"/>
    <s v="OK"/>
  </r>
  <r>
    <d v="2025-11-14T00:00:00"/>
    <x v="10"/>
    <n v="-97"/>
    <x v="9"/>
    <s v="INSTANTOVERSCHRIJVING NAAR           14-11 BE20 1430 9338 7156 BANKIER BEGUNSTIGDE: GEBABEBBXXX VERDURME KRISTOF WERO ROTTY CHRISTOFF OM 20.46 MET WERO"/>
    <s v="Uitgave"/>
    <n v="-97"/>
    <x v="1"/>
    <s v="OK"/>
  </r>
  <r>
    <d v="2025-11-13T00:00:00"/>
    <x v="10"/>
    <n v="-5.8"/>
    <x v="2"/>
    <s v="BETALING VIA DEBIT MASTERCARD        17-11 13-11-2025 OM 17.02 UUR LIDL 803 KORTRIJK 2 BE8500 KORTRIJK MET APPLE PAY 5127 88XX XXXX 8113 VIRTUEEL KAARTNUMMER CONTACTLOZE BETALING: 5354 00XX XXXX 8030 KAARTHOUDER: BOMBAERT BRAM"/>
    <s v="Uitgave"/>
    <n v="-5.8"/>
    <x v="2"/>
    <s v="OK"/>
  </r>
  <r>
    <d v="2025-11-14T00:00:00"/>
    <x v="10"/>
    <n v="-1.5"/>
    <x v="11"/>
    <s v="BETALING VIA MAESTRO                 14-11 13-11-2025 OM 12.19 UUR VALINSOPAY NL NL WIJK EN AALBU MET APPLE PAY 6703 42XX XXXX X901 0 VIRTUEEL KAARTNUMMER CONTACTLOZE BETALING: 6790 28XX XXXX X658 7 KAARTHOUDER: ROTTY CHRISTOFF"/>
    <s v="Uitgave"/>
    <n v="-1.5"/>
    <x v="1"/>
    <s v="OK"/>
  </r>
  <r>
    <d v="2025-11-13T00:00:00"/>
    <x v="10"/>
    <n v="-10.85"/>
    <x v="4"/>
    <s v="BETALING VIA DEBIT MASTERCARD        14-11 13-11-2025 OM 05.45 UUR OVO CHARGE ANYWHERE GBBS1 6ED BRISTOL MET APPLE PAY 5127 88XX XXXX 8113 VIRTUEEL KAARTNUMMER CONTACTLOZE BETALING: 5354 00XX XXXX 6677 KAARTHOUDER: BOMBAERT BRAM"/>
    <s v="Uitgave"/>
    <n v="-10.85"/>
    <x v="2"/>
    <s v="OK"/>
  </r>
  <r>
    <d v="2025-11-13T00:00:00"/>
    <x v="10"/>
    <n v="-90"/>
    <x v="35"/>
    <s v="OVERSCHRIJVING NAAR                  13-11 BE79 3632 2576 6833 BANKIER BEGUNSTIGDE: LASER LINE PAYCONIQ 0B68B9BB6EE8A55B0607C6A2 LASER LINE MET PAYCONIQ IN KBC MOBILE"/>
    <s v="Uitgave"/>
    <n v="-90"/>
    <x v="1"/>
    <s v="OK"/>
  </r>
  <r>
    <d v="2025-11-12T00:00:00"/>
    <x v="10"/>
    <n v="-28.76"/>
    <x v="2"/>
    <s v="BETALING VIA DEBIT MASTERCARD        13-11 12-11-2025 OM 13.58 UUR LIDL 803 KORTRIJK 2 BE8500 KORTRIJK MET APPLE PAY 5127 88XX XXXX 8113 VIRTUEEL KAARTNUMMER CONTACTLOZE BETALING: 5354 00XX XXXX 8030 KAARTHOUDER: BOMBAERT BRAM"/>
    <s v="Uitgave"/>
    <n v="-28.76"/>
    <x v="2"/>
    <s v="OK"/>
  </r>
  <r>
    <d v="2025-11-12T00:00:00"/>
    <x v="10"/>
    <n v="-2.99"/>
    <x v="2"/>
    <s v="BETALING VIA DEBIT MASTERCARD        13-11 12-11-2025 OM 18.16 UUR CARREFOUR MARKE BE8510 MARKE MET KBC-DEBETKAART 5127 88XX XXXX 8113 KAARTHOUDER: BOMBAERT BRAM"/>
    <s v="Uitgave"/>
    <n v="-2.99"/>
    <x v="2"/>
    <s v="OK"/>
  </r>
  <r>
    <d v="2025-11-13T00:00:00"/>
    <x v="10"/>
    <n v="70"/>
    <x v="17"/>
    <s v="STORTING AUTOMAAT                    13-11 BC KONINGIN MARIA H       GENT MET KBC-DEBETKAART 6703 42XX XXXX X901 0 KAARTHOUDER ROTTY CHRISTOFF REFERTE 000401856092412511131524"/>
    <s v="Inkomst"/>
    <n v="70"/>
    <x v="1"/>
    <s v="OK"/>
  </r>
  <r>
    <d v="2025-11-13T00:00:00"/>
    <x v="10"/>
    <n v="-5.99"/>
    <x v="2"/>
    <s v="BETALING VIA BANCONTACT              13-11 13-11-2025 OM 12.53 UUR DOMINIQUE P2P MOBILE MET KBC-DEBETKAART 6703 42XX XXXX X901 0 KAARTHOUDER: ROTTY CHRISTOFF"/>
    <s v="Uitgave"/>
    <n v="-5.99"/>
    <x v="2"/>
    <s v="OK"/>
  </r>
  <r>
    <d v="2025-11-13T00:00:00"/>
    <x v="10"/>
    <n v="-1.5"/>
    <x v="11"/>
    <s v="BETALING VIA MAESTRO                 13-11 12-11-2025 OM 10.19 UUR VALINSOPAY NL NL WIJK EN AALBU MET APPLE PAY 6703 42XX XXXX X901 0 VIRTUEEL KAARTNUMMER CONTACTLOZE BETALING: 6790 28XX XXXX X005 7 KAARTHOUDER: ROTTY CHRISTOFF"/>
    <s v="Uitgave"/>
    <n v="-1.5"/>
    <x v="1"/>
    <s v="OK"/>
  </r>
  <r>
    <d v="2025-11-13T00:00:00"/>
    <x v="10"/>
    <n v="-1.5"/>
    <x v="11"/>
    <s v="BETALING VIA MAESTRO                 13-11 12-11-2025 OM 14.17 UUR VALINSOPAY NL NL WIJK EN AALBU MET APPLE PAY 6703 42XX XXXX X901 0 VIRTUEEL KAARTNUMMER CONTACTLOZE BETALING: 6790 28XX XXXX X658 7 KAARTHOUDER: ROTTY CHRISTOFF"/>
    <s v="Uitgave"/>
    <n v="-1.5"/>
    <x v="1"/>
    <s v="OK"/>
  </r>
  <r>
    <d v="2025-11-13T00:00:00"/>
    <x v="10"/>
    <n v="-1.5"/>
    <x v="11"/>
    <s v="BETALING VIA MAESTRO                 13-11 12-11-2025 OM 13.42 UUR VALINSOPAY NL NL WIJK EN AALBU MET APPLE PAY 6703 42XX XXXX X901 0 VIRTUEEL KAARTNUMMER CONTACTLOZE BETALING: 6790 28XX XXXX X658 7 KAARTHOUDER: ROTTY CHRISTOFF"/>
    <s v="Uitgave"/>
    <n v="-1.5"/>
    <x v="1"/>
    <s v="OK"/>
  </r>
  <r>
    <d v="2025-11-11T00:00:00"/>
    <x v="10"/>
    <n v="-6.89"/>
    <x v="2"/>
    <s v="BETALING VIA DEBIT MASTERCARD        12-11 11-11-2025 OM 10.38 UUR CARREFOUR MARKE BE8510 MARKE MET APPLE PAY 5127 88XX XXXX 8113 VIRTUEEL KAARTNUMMER CONTACTLOZE BETALING: 5354 00XX XXXX 6677 KAARTHOUDER: BOMBAERT BRAM"/>
    <s v="Uitgave"/>
    <n v="-6.89"/>
    <x v="2"/>
    <s v="OK"/>
  </r>
  <r>
    <d v="2025-11-12T00:00:00"/>
    <x v="10"/>
    <n v="-26"/>
    <x v="16"/>
    <s v="BETALING VIA BANCONTACT              12-11 12-11-2025 OM 13.38 UUR LIEN P2P MOBILE MET KBC-DEBETKAART 5127 88XX XXXX 8113 KAARTHOUDER: BOMBAERT BRAM"/>
    <s v="Uitgave"/>
    <n v="-26"/>
    <x v="2"/>
    <s v="OK"/>
  </r>
  <r>
    <d v="2025-11-11T00:00:00"/>
    <x v="10"/>
    <n v="-8"/>
    <x v="4"/>
    <s v="BETALING VIA DEBIT MASTERCARD        12-11 11-11-2025 OM 12.28 UUR OVO CHARGE ANYWHERE GBBS1 6ED BRISTOL MET APPLE PAY 5127 88XX XXXX 8113 VIRTUEEL KAARTNUMMER CONTACTLOZE BETALING: 5354 00XX XXXX 6677 KAARTHOUDER: BOMBAERT BRAM"/>
    <s v="Uitgave"/>
    <n v="-8"/>
    <x v="2"/>
    <s v="OK"/>
  </r>
  <r>
    <d v="2025-11-11T00:00:00"/>
    <x v="10"/>
    <n v="-53.93"/>
    <x v="12"/>
    <s v="BETALING VIA BANCONTACT              12-11 11-11-2025 OM 17.42 UUR ZALANDO PAYMENTS GMBH DE10243 BERLIN MET KBC-DEBETKAART 6703 42XX XXXX X901 0 KAARTHOUDER: ROTTY CHRISTOFF"/>
    <s v="Uitgave"/>
    <n v="-53.93"/>
    <x v="1"/>
    <s v="OK"/>
  </r>
  <r>
    <d v="2025-11-10T00:00:00"/>
    <x v="10"/>
    <n v="-11.87"/>
    <x v="2"/>
    <s v="BETALING VIA DEBIT MASTERCARD        12-11 10-11-2025 OM 11.28 UUR LIDL 803 KORTRIJK 2 BE8500 KORTRIJK MET APPLE PAY 5127 88XX XXXX 8113 VIRTUEEL KAARTNUMMER CONTACTLOZE BETALING: 5354 00XX XXXX 8030 KAARTHOUDER: BOMBAERT BRAM"/>
    <s v="Uitgave"/>
    <n v="-11.87"/>
    <x v="2"/>
    <s v="OK"/>
  </r>
  <r>
    <d v="2025-11-10T00:00:00"/>
    <x v="10"/>
    <n v="-14"/>
    <x v="22"/>
    <s v="BETALING VIA DEBIT MASTERCARD        12-11 10-11-2025 OM 10.17 UUR EURO SHOP KORTRIJK BE8800 ROESELARE MET APPLE PAY 5127 88XX XXXX 8113 VIRTUEEL KAARTNUMMER CONTACTLOZE BETALING: 5354 00XX XXXX 6677 KAARTHOUDER: BOMBAERT BRAM"/>
    <s v="Uitgave"/>
    <n v="-14"/>
    <x v="1"/>
    <s v="OK"/>
  </r>
  <r>
    <d v="2025-11-10T00:00:00"/>
    <x v="10"/>
    <n v="-9.99"/>
    <x v="10"/>
    <s v="BETALING VIA DEBIT MASTERCARD        12-11 10-11-2025 OM 18.11 UUR DUPONZOO 2 BE8520 KUURNE MET APPLE PAY 5127 88XX XXXX 8113 VIRTUEEL KAARTNUMMER CONTACTLOZE BETALING: 5354 00XX XXXX 6677 KAARTHOUDER: BOMBAERT BRAM"/>
    <s v="Uitgave"/>
    <n v="-9.99"/>
    <x v="1"/>
    <s v="OK"/>
  </r>
  <r>
    <d v="2025-11-10T00:00:00"/>
    <x v="10"/>
    <n v="-8.6199999999999992"/>
    <x v="4"/>
    <s v="BETALING VIA DEBIT MASTERCARD        12-11 10-11-2025 OM 08.07 UUR OVO CHARGE ANYWHERE GBBS1 6ED BRISTOL MET APPLE PAY 5127 88XX XXXX 8113 VIRTUEEL KAARTNUMMER CONTACTLOZE BETALING: 5354 00XX XXXX 6677 KAARTHOUDER: BOMBAERT BRAM"/>
    <s v="Uitgave"/>
    <n v="-8.6199999999999992"/>
    <x v="2"/>
    <s v="OK"/>
  </r>
  <r>
    <d v="2025-11-08T00:00:00"/>
    <x v="10"/>
    <n v="-25"/>
    <x v="50"/>
    <s v="BETALING VIA DEBIT MASTERCARD        10-11 08-11-2025 OM 14.46 UUR DECATHLON 384 KORTRIJK BE8500 KORTRIJK MET APPLE PAY 5127 88XX XXXX 8113 VIRTUEEL KAARTNUMMER CONTACTLOZE BETALING: 5354 00XX XXXX 6677 KAARTHOUDER: BOMBAERT BRAM"/>
    <s v="Uitgave"/>
    <n v="-25"/>
    <x v="1"/>
    <s v="OK"/>
  </r>
  <r>
    <d v="2025-11-10T00:00:00"/>
    <x v="10"/>
    <n v="-19.95"/>
    <x v="2"/>
    <s v="BETALING VIA BANCONTACT              10-11 10-11-2025 OM 11.11 UUR BANCONTACT PAYCONIQ CO BE8770 INGELMUNSTER MET KBC-DEBETKAART 5127 88XX XXXX 8113 KAARTHOUDER: BOMBAERT BRAM INFO VAN DE HANDELAAR: PAYMENT DESCRIPTION"/>
    <s v="Uitgave"/>
    <n v="-19.95"/>
    <x v="2"/>
    <s v="OK"/>
  </r>
  <r>
    <d v="2025-11-10T00:00:00"/>
    <x v="10"/>
    <n v="-1.5"/>
    <x v="11"/>
    <s v="BETALING VIA MAESTRO                 10-11 07-11-2025 OM 13.47 UUR VALINSOPAY NL NL WIJK EN AALBU MET APPLE PAY 6703 42XX XXXX X901 0 VIRTUEEL KAARTNUMMER CONTACTLOZE BETALING: 6790 28XX XXXX X658 7 KAARTHOUDER: ROTTY CHRISTOFF"/>
    <s v="Uitgave"/>
    <n v="-1.5"/>
    <x v="1"/>
    <s v="OK"/>
  </r>
  <r>
    <d v="2025-11-10T00:00:00"/>
    <x v="10"/>
    <n v="-1.5"/>
    <x v="11"/>
    <s v="BETALING VIA MAESTRO                 10-11 07-11-2025 OM 10.42 UUR VALINSOPAY NL NL WIJK EN AALBU MET APPLE PAY 6703 42XX XXXX X901 0 VIRTUEEL KAARTNUMMER CONTACTLOZE BETALING: 6790 28XX XXXX X658 7 KAARTHOUDER: ROTTY CHRISTOFF"/>
    <s v="Uitgave"/>
    <n v="-1.5"/>
    <x v="1"/>
    <s v="OK"/>
  </r>
  <r>
    <d v="2025-11-08T00:00:00"/>
    <x v="10"/>
    <n v="-2.1"/>
    <x v="4"/>
    <s v="BETALING VIA DEBIT MASTERCARD        10-11 08-11-2025 OM 07.47 UUR OVO CHARGE ANYWHERE GBBS1 6ED BRISTOL MET APPLE PAY 5127 88XX XXXX 8113 VIRTUEEL KAARTNUMMER CONTACTLOZE BETALING: 5354 00XX XXXX 6677 KAARTHOUDER: BOMBAERT BRAM"/>
    <s v="Uitgave"/>
    <n v="-2.1"/>
    <x v="2"/>
    <s v="OK"/>
  </r>
  <r>
    <d v="2025-11-08T00:00:00"/>
    <x v="10"/>
    <n v="-5"/>
    <x v="17"/>
    <s v="BETALING VIA BANCONTACT              10-11 08-11-2025 OM 14.55 UUR SARAH P2P MOBILE MET KBC-DEBETKAART 5127 88XX XXXX 8113 KAARTHOUDER: BOMBAERT BRAM"/>
    <s v="Uitgave"/>
    <n v="-5"/>
    <x v="1"/>
    <s v="OK"/>
  </r>
  <r>
    <d v="2025-11-07T00:00:00"/>
    <x v="10"/>
    <n v="-18.39"/>
    <x v="26"/>
    <s v="BETALING VIA BANCONTACT              07-11 07-11-2025 OM 17.00 UUR BRICOPLANIT 4210 KORTR BE8500 KORTRIJK MET KBC-DEBETKAART 5127 88XX XXXX 8113 KAARTHOUDER: BOMBAERT BRAM"/>
    <s v="Uitgave"/>
    <n v="-18.39"/>
    <x v="1"/>
    <s v="OK"/>
  </r>
  <r>
    <d v="2025-11-06T00:00:00"/>
    <x v="10"/>
    <n v="-10.09"/>
    <x v="2"/>
    <s v="BETALING VIA DEBIT MASTERCARD        07-11 06-11-2025 OM 16.23 UUR LIDL 803 KORTRIJK 2 BE8500 KORTRIJK MET APPLE PAY 5127 88XX XXXX 8113 VIRTUEEL KAARTNUMMER CONTACTLOZE BETALING: 5354 00XX XXXX 6677 KAARTHOUDER: BOMBAERT BRAM"/>
    <s v="Uitgave"/>
    <n v="-10.09"/>
    <x v="2"/>
    <s v="OK"/>
  </r>
  <r>
    <d v="2025-11-06T00:00:00"/>
    <x v="10"/>
    <n v="-5.97"/>
    <x v="2"/>
    <s v="BETALING VIA DEBIT MASTERCARD        07-11 06-11-2025 OM 16.41 UUR CARREFOUR MARKE BE8510 MARKE MET APPLE PAY 5127 88XX XXXX 8113 VIRTUEEL KAARTNUMMER CONTACTLOZE BETALING: 5354 00XX XXXX 6677 KAARTHOUDER: BOMBAERT BRAM"/>
    <s v="Uitgave"/>
    <n v="-5.97"/>
    <x v="2"/>
    <s v="OK"/>
  </r>
  <r>
    <d v="2025-11-07T00:00:00"/>
    <x v="10"/>
    <n v="-1.5"/>
    <x v="11"/>
    <s v="BETALING VIA MAESTRO                 07-11 06-11-2025 OM 10.40 UUR VALINSOPAY NL NL WIJK EN AALBU MET APPLE PAY 6703 42XX XXXX X901 0 VIRTUEEL KAARTNUMMER CONTACTLOZE BETALING: 6790 28XX XXXX X658 7 KAARTHOUDER: ROTTY CHRISTOFF"/>
    <s v="Uitgave"/>
    <n v="-1.5"/>
    <x v="1"/>
    <s v="OK"/>
  </r>
  <r>
    <d v="2025-11-07T00:00:00"/>
    <x v="10"/>
    <n v="-1.5"/>
    <x v="11"/>
    <s v="BETALING VIA MAESTRO                 07-11 06-11-2025 OM 12.43 UUR VALINSOPAY NL NL WIJK EN AALBU MET APPLE PAY 6703 42XX XXXX X901 0 VIRTUEEL KAARTNUMMER CONTACTLOZE BETALING: 6790 28XX XXXX X658 7 KAARTHOUDER: ROTTY CHRISTOFF"/>
    <s v="Uitgave"/>
    <n v="-1.5"/>
    <x v="1"/>
    <s v="OK"/>
  </r>
  <r>
    <d v="2025-11-07T00:00:00"/>
    <x v="10"/>
    <n v="-12.01"/>
    <x v="21"/>
    <s v="EUROPESE DOMICILIERING               07-11 SCHULDEISER     : EUROMEX NV REF. SCHULDEISER: BALN-BE-EMX-P-DF9RK1RKWT5HFE MANDAATREFERTE  : 30507E MEDEDELING      : SCOR                   BBA                   251182091797"/>
    <s v="Uitgave"/>
    <n v="-12.01"/>
    <x v="2"/>
    <s v="OK"/>
  </r>
  <r>
    <d v="2025-11-07T00:00:00"/>
    <x v="10"/>
    <n v="-810.65"/>
    <x v="19"/>
    <s v="EUROPESE DOMICILIERING               07-11 SCHULDEISER     : ONESTO KREDIETMAATSCHAPPIJ REF. SCHULDEISER: CASHFLOW-60005967 MANDAATREFERTE  : BE96SDA077001313774 MEDEDELING      : DOSSIER 077001313774 - 01112025"/>
    <s v="Uitgave"/>
    <n v="-810.65"/>
    <x v="2"/>
    <s v="OK"/>
  </r>
  <r>
    <d v="2025-11-07T00:00:00"/>
    <x v="10"/>
    <n v="-6.24"/>
    <x v="4"/>
    <s v="EUROPESE DOMICILIERING               07-11 SCHULDEISER     : DATS 24  NV REF. SCHULDEISER: 030205088611 REF: 2638894 MANDAATREFERTE  : DAKL-000000538161-5-1 MEDEDELING      : 2638894 DATS24 00737137"/>
    <s v="Uitgave"/>
    <n v="-6.24"/>
    <x v="2"/>
    <s v="OK"/>
  </r>
  <r>
    <d v="2025-11-07T00:00:00"/>
    <x v="10"/>
    <n v="-39.119999999999997"/>
    <x v="16"/>
    <s v="EUROPESE DOMICILIERING               07-11 SCHULDEISER     : SOLIDARIS WEST-VLAANDEREN REF. SCHULDEISER: 507549947583 MANDAATREFERTE  : SDD30984112213972202203030070 MEDEDELING      : 507549947583 - DENTAPLAN TOT 280220 26/5591566"/>
    <s v="Uitgave"/>
    <n v="-39.119999999999997"/>
    <x v="2"/>
    <s v="OK"/>
  </r>
  <r>
    <d v="2025-11-06T00:00:00"/>
    <x v="10"/>
    <n v="-6.02"/>
    <x v="4"/>
    <s v="BETALING VIA DEBIT MASTERCARD        07-11 06-11-2025 OM 05.08 UUR OVO CHARGE ANYWHERE GBBS1 6ED BRISTOL MET APPLE PAY 5127 88XX XXXX 8113 VIRTUEEL KAARTNUMMER CONTACTLOZE BETALING: 5354 00XX XXXX 6677 KAARTHOUDER: BOMBAERT BRAM"/>
    <s v="Uitgave"/>
    <n v="-6.02"/>
    <x v="2"/>
    <s v="OK"/>
  </r>
  <r>
    <d v="2025-11-05T00:00:00"/>
    <x v="10"/>
    <n v="-22.51"/>
    <x v="2"/>
    <s v="BETALING VIA DEBIT MASTERCARD        07-11 05-11-2025 OM 16.05 UUR LIDL 803 KORTRIJK 2 BE8500 KORTRIJK MET APPLE PAY 5127 88XX XXXX 8113 VIRTUEEL KAARTNUMMER CONTACTLOZE BETALING: 5354 00XX XXXX 8030 KAARTHOUDER: BOMBAERT BRAM"/>
    <s v="Uitgave"/>
    <n v="-22.51"/>
    <x v="2"/>
    <s v="OK"/>
  </r>
  <r>
    <d v="2025-11-06T00:00:00"/>
    <x v="10"/>
    <n v="-14.99"/>
    <x v="23"/>
    <s v="BETALING VIA BANCONTACT              06-11 06-11-2025 OM 15.19 UUR BOL.COM NL3528 BJ UTRECHT MET KBC-DEBETKAART 5127 88XX XXXX 8113 KAARTHOUDER: BOMBAERT BRAM"/>
    <s v="Uitgave"/>
    <n v="-14.99"/>
    <x v="1"/>
    <s v="OK"/>
  </r>
  <r>
    <d v="2025-11-06T00:00:00"/>
    <x v="10"/>
    <n v="-1.5"/>
    <x v="11"/>
    <s v="BETALING VIA MAESTRO                 06-11 05-11-2025 OM 12.34 UUR VALINSOPAY NL NL WIJK EN AALBU MET APPLE PAY 6703 42XX XXXX X901 0 VIRTUEEL KAARTNUMMER CONTACTLOZE BETALING: 6790 28XX XXXX X658 7 KAARTHOUDER: ROTTY CHRISTOFF"/>
    <s v="Uitgave"/>
    <n v="-1.5"/>
    <x v="1"/>
    <s v="OK"/>
  </r>
  <r>
    <d v="2025-11-06T00:00:00"/>
    <x v="10"/>
    <n v="-8.5500000000000007"/>
    <x v="9"/>
    <s v="BETALING VIA MAESTRO                 06-11 05-11-2025 OM 11.53 UUR Q8 108131 GENTBRUGGE V BE GENTBRUGGE MET APPLE PAY 6703 42XX XXXX X901 0 VIRTUEEL KAARTNUMMER CONTACTLOZE BETALING: 6790 28XX XXXX X658 7 KAARTHOUDER: ROTTY CHRISTOFF"/>
    <s v="Uitgave"/>
    <n v="-8.5500000000000007"/>
    <x v="1"/>
    <s v="OK"/>
  </r>
  <r>
    <d v="2025-11-06T00:00:00"/>
    <x v="10"/>
    <n v="-125.81"/>
    <x v="55"/>
    <s v="TERUGBETALING                        06-11 LENING OP AFBETALING VOLGENS AFLOSSINGSPLAN REFERENTIE 420-6466664-69"/>
    <s v="Uitgave"/>
    <n v="-125.81"/>
    <x v="2"/>
    <s v="OK"/>
  </r>
  <r>
    <d v="2025-11-05T00:00:00"/>
    <x v="10"/>
    <n v="-4"/>
    <x v="16"/>
    <s v="OVERSCHRIJVING NAAR                  05-11 BE79 3632 2576 6833 BANKIER BEGUNSTIGDE: DOKTER FLORIN DENNIS PAYCONIQ 42E5F1AD76EDF884BF446C67 DOKTER FLORIN DENNI S MET PAYCONIQ IN KBC MOBILE"/>
    <s v="Uitgave"/>
    <n v="-4"/>
    <x v="2"/>
    <s v="OK"/>
  </r>
  <r>
    <d v="2025-11-05T00:00:00"/>
    <x v="10"/>
    <n v="-5.4"/>
    <x v="17"/>
    <s v="BETALING VIA MAESTRO                 05-11 04-11-2025 OM 08.25 UUR SSP GENT MARIA HEN BE GENT MET APPLE PAY 6703 42XX XXXX X901 0 VIRTUEEL KAARTNUMMER CONTACTLOZE BETALING: 6790 28XX XXXX X658 7 KAARTHOUDER: ROTTY CHRISTOFF"/>
    <s v="Uitgave"/>
    <n v="-5.4"/>
    <x v="1"/>
    <s v="OK"/>
  </r>
  <r>
    <d v="2025-11-05T00:00:00"/>
    <x v="10"/>
    <n v="-1.4"/>
    <x v="9"/>
    <s v="BETALING VIA MAESTRO                 05-11 04-11-2025 OM 14.39 UUR VAC GENT BE GENT MET APPLE PAY 6703 42XX XXXX X901 0 VIRTUEEL KAARTNUMMER CONTACTLOZE BETALING: 6790 28XX XXXX X658 7 KAARTHOUDER: ROTTY CHRISTOFF"/>
    <s v="Uitgave"/>
    <n v="-1.4"/>
    <x v="1"/>
    <s v="OK"/>
  </r>
  <r>
    <d v="2025-11-05T00:00:00"/>
    <x v="10"/>
    <n v="-1.4"/>
    <x v="9"/>
    <s v="BETALING VIA MAESTRO                 05-11 04-11-2025 OM 13.02 UUR VAC GENT BE GENT MET APPLE PAY 6703 42XX XXXX X901 0 VIRTUEEL KAARTNUMMER CONTACTLOZE BETALING: 6790 28XX XXXX X658 7 KAARTHOUDER: ROTTY CHRISTOFF"/>
    <s v="Uitgave"/>
    <n v="-1.4"/>
    <x v="1"/>
    <s v="OK"/>
  </r>
  <r>
    <d v="2025-11-05T00:00:00"/>
    <x v="10"/>
    <n v="-7.2"/>
    <x v="9"/>
    <s v="BETALING VIA MAESTRO                 05-11 04-11-2025 OM 12.33 UUR VAC GENT BE GENT MET APPLE PAY 6703 42XX XXXX X901 0 VIRTUEEL KAARTNUMMER CONTACTLOZE BETALING: 6790 28XX XXXX X658 7 KAARTHOUDER: ROTTY CHRISTOFF"/>
    <s v="Uitgave"/>
    <n v="-7.2"/>
    <x v="1"/>
    <s v="OK"/>
  </r>
  <r>
    <d v="2025-11-05T00:00:00"/>
    <x v="10"/>
    <n v="-89.04"/>
    <x v="4"/>
    <s v="EUROPESE DOMICILIERING               05-11 SCHULDEISER     : CHARGEMAP SAS REF. SCHULDEISER: STR16NATM2T61B0YRK2T2RANMNOLQ1EA73 MANDAATREFERTE  : YGAYU1XCULZ4UQUA MEDEDELING      : CHARGEMAP"/>
    <s v="Uitgave"/>
    <n v="-89.04"/>
    <x v="2"/>
    <s v="OK"/>
  </r>
  <r>
    <d v="2025-11-04T00:00:00"/>
    <x v="10"/>
    <n v="-19.72"/>
    <x v="16"/>
    <s v="BETALING VIA BANCONTACT              04-11 04-11-2025 OM 17.00 UUR APOTHEEK ARIE BE8510 MARKE MET KBC-DEBETKAART 5127 88XX XXXX 8113 KAARTHOUDER: BOMBAERT BRAM"/>
    <s v="Uitgave"/>
    <n v="-19.72"/>
    <x v="2"/>
    <s v="OK"/>
  </r>
  <r>
    <d v="2025-11-03T00:00:00"/>
    <x v="10"/>
    <n v="-1.19"/>
    <x v="2"/>
    <s v="BETALING VIA DEBIT MASTERCARD        04-11 03-11-2025 OM 18.25 UUR CARREFOUR MARKE BE8510 MARKE MET APPLE PAY 5127 88XX XXXX 8113 VIRTUEEL KAARTNUMMER CONTACTLOZE BETALING: 5354 00XX XXXX 6677 KAARTHOUDER: BOMBAERT BRAM"/>
    <s v="Uitgave"/>
    <n v="-1.19"/>
    <x v="2"/>
    <s v="OK"/>
  </r>
  <r>
    <d v="2025-11-04T00:00:00"/>
    <x v="10"/>
    <n v="-0.1"/>
    <x v="11"/>
    <s v="BETALING VIA MAESTRO                 04-11 03-11-2025 OM 07.55 UUR NYA*SELECTA BELGIUM NV BE BRUSSELS MET APPLE PAY 6703 42XX XXXX X901 0 VIRTUEEL KAARTNUMMER CONTACTLOZE BETALING: 6790 28XX XXXX X005 7 KAARTHOUDER: ROTTY CHRISTOFF"/>
    <s v="Uitgave"/>
    <n v="-0.1"/>
    <x v="1"/>
    <s v="OK"/>
  </r>
  <r>
    <d v="2025-11-04T00:00:00"/>
    <x v="10"/>
    <n v="-1.5"/>
    <x v="11"/>
    <s v="BETALING VIA MAESTRO                 04-11 03-11-2025 OM 10.12 UUR VALINSOPAY NL NL WIJK EN AALBU MET APPLE PAY 6703 42XX XXXX X901 0 VIRTUEEL KAARTNUMMER CONTACTLOZE BETALING: 6790 28XX XXXX X658 7 KAARTHOUDER: ROTTY CHRISTOFF"/>
    <s v="Uitgave"/>
    <n v="-1.5"/>
    <x v="1"/>
    <s v="OK"/>
  </r>
  <r>
    <d v="2025-11-04T00:00:00"/>
    <x v="10"/>
    <n v="-1.5"/>
    <x v="11"/>
    <s v="BETALING VIA MAESTRO                 04-11 03-11-2025 OM 12.30 UUR VALINSOPAY NL NL WIJK EN AALBU MET APPLE PAY 6703 42XX XXXX X901 0 VIRTUEEL KAARTNUMMER CONTACTLOZE BETALING: 6790 28XX XXXX X658 7 KAARTHOUDER: ROTTY CHRISTOFF"/>
    <s v="Uitgave"/>
    <n v="-1.5"/>
    <x v="1"/>
    <s v="OK"/>
  </r>
  <r>
    <d v="2025-11-02T00:00:00"/>
    <x v="10"/>
    <n v="-4.79"/>
    <x v="2"/>
    <s v="BETALING VIA DEBIT MASTERCARD        03-11 02-11-2025 OM 11.40 UUR CARREFOUR MARKE BE8510 MARKE MET KBC-DEBETKAART 5127 88XX XXXX 8113 KAARTHOUDER: BOMBAERT BRAM"/>
    <s v="Uitgave"/>
    <n v="-4.79"/>
    <x v="2"/>
    <s v="OK"/>
  </r>
  <r>
    <d v="2025-11-02T00:00:00"/>
    <x v="10"/>
    <n v="-26.99"/>
    <x v="29"/>
    <s v="BETALING VIA DEBIT MASTERCARD        03-11 02-11-2025 OM 17.22 UUR COOLBLUE N.V. BE2600 BERCHEM MET APPLE PAY 5127 88XX XXXX 8113 VIRTUEEL KAARTNUMMER CONTACTLOZE BETALING: 5354 00XX XXXX 6677 KAARTHOUDER: BOMBAERT BRAM"/>
    <s v="Uitgave"/>
    <n v="-26.99"/>
    <x v="1"/>
    <s v="OK"/>
  </r>
  <r>
    <d v="2025-11-03T00:00:00"/>
    <x v="10"/>
    <n v="-7"/>
    <x v="9"/>
    <s v="BETALING VIA MAESTRO                 03-11 31-10-2025 OM 12.46 UUR CCV*POESKAFFEE BE OOSTENDE MET APPLE PAY 6703 42XX XXXX X901 0 VIRTUEEL KAARTNUMMER CONTACTLOZE BETALING: 6790 28XX XXXX X658 7 KAARTHOUDER: ROTTY CHRISTOFF"/>
    <s v="Uitgave"/>
    <n v="-7"/>
    <x v="1"/>
    <s v="OK"/>
  </r>
  <r>
    <d v="2025-11-03T00:00:00"/>
    <x v="10"/>
    <n v="-20.71"/>
    <x v="20"/>
    <s v="EUROPESE DOMICILIERING               03-11 SCHULDEISER     : ACV-CSC REF. SCHULDEISER: 1125 BIJDRAGEN 112025-112025 MANDAATREFERTE  : N00814013 MEDEDELING      : SCOR                   BBA                   081760860769"/>
    <s v="Uitgave"/>
    <n v="-20.71"/>
    <x v="2"/>
    <s v="OK"/>
  </r>
  <r>
    <d v="2025-11-03T00:00:00"/>
    <x v="10"/>
    <n v="-54"/>
    <x v="6"/>
    <s v="EUROPESE DOMICILIERING               03-11 SCHULDEISER     : LUMINUS SA REF. SCHULDEISER: 002573173996 MANDAATREFERTE  : 0087006660811 MEDEDELING      : LUMINUS VOORSCHOT 5674242917"/>
    <s v="Uitgave"/>
    <n v="-54"/>
    <x v="2"/>
    <s v="OK"/>
  </r>
  <r>
    <d v="2025-11-03T00:00:00"/>
    <x v="10"/>
    <n v="-45.25"/>
    <x v="3"/>
    <s v="EUROPESE DOMICILIERING               03-11 SCHULDEISER     : DKV BELGIUM REF. SCHULDEISER: 2025297345523551X000000000000001 MANDAATREFERTE  : 345523551/002 MEDEDELING      : 1125-1225 PREMIE"/>
    <s v="Uitgave"/>
    <n v="-45.25"/>
    <x v="2"/>
    <s v="OK"/>
  </r>
  <r>
    <d v="2025-11-03T00:00:00"/>
    <x v="10"/>
    <n v="-18.95"/>
    <x v="3"/>
    <s v="EUROPESE DOMICILIERING               03-11 SCHULDEISER     : DKV BELGIUM REF. SCHULDEISER: 2025297358543901X000000000000001 MANDAATREFERTE  : 358543901/001 MEDEDELING      : 1125-1225 PREMIE"/>
    <s v="Uitgave"/>
    <n v="-18.95"/>
    <x v="2"/>
    <s v="OK"/>
  </r>
  <r>
    <d v="2025-11-03T00:00:00"/>
    <x v="10"/>
    <n v="-12"/>
    <x v="62"/>
    <s v="EUROPESE DOMICILIERING               03-11 SCHULDEISER     : MEDIAHUIS NV - NB REF. SCHULDEISER: K1012826 MANDAATREFERTE  : 101000942759 MEDEDELING      : ABONR. 5862848 : 04/11/25 - 03/12/2 5"/>
    <s v="Uitgave"/>
    <n v="-12"/>
    <x v="1"/>
    <s v="OK"/>
  </r>
  <r>
    <d v="2025-10-31T00:00:00"/>
    <x v="9"/>
    <n v="-34.21"/>
    <x v="2"/>
    <s v="BETALING VIA DEBIT MASTERCARD        03-11 31-10-2025 OM 14.44 UUR LIDL 803 KORTRIJK 2 BE8500 KORTRIJK MET APPLE PAY 5127 88XX XXXX 8113 VIRTUEEL KAARTNUMMER CONTACTLOZE BETALING: 5354 00XX XXXX 8030 KAARTHOUDER: BOMBAERT BRAM"/>
    <s v="Uitgave"/>
    <n v="-34.21"/>
    <x v="2"/>
    <s v="OK"/>
  </r>
  <r>
    <d v="2025-11-01T00:00:00"/>
    <x v="10"/>
    <n v="-100"/>
    <x v="2"/>
    <s v="AUTOMATISCH SPAREN                   01-11 NAAR BE13 7460 4686 9539 AUTOMATISCH SPAREN"/>
    <s v="Uitgave"/>
    <n v="-100"/>
    <x v="2"/>
    <s v="OK"/>
  </r>
  <r>
    <d v="2025-11-01T00:00:00"/>
    <x v="10"/>
    <n v="-58.69"/>
    <x v="46"/>
    <s v="AUTOMATISCHE BETALING                01-11 FLEX BUDGET 420-6319589-46"/>
    <s v="Uitgave"/>
    <n v="-58.69"/>
    <x v="1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70FDF-C5E6-4B74-BB00-AD8E2FE4A246}" name="Draaitabel1" cacheId="1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 chartFormat="5">
  <location ref="A5:O74" firstHeaderRow="1" firstDataRow="2" firstDataCol="2"/>
  <pivotFields count="9">
    <pivotField compact="0" outline="0" subtotalTop="0" showAll="0"/>
    <pivotField axis="axisCol" compact="0" outline="0" subtotalTop="0" showAll="0">
      <items count="28">
        <item m="1" x="14"/>
        <item m="1" x="15"/>
        <item m="1" x="24"/>
        <item m="1" x="23"/>
        <item m="1" x="22"/>
        <item m="1" x="21"/>
        <item m="1" x="20"/>
        <item m="1" x="19"/>
        <item m="1" x="18"/>
        <item m="1" x="26"/>
        <item m="1" x="17"/>
        <item m="1" x="16"/>
        <item m="1" x="13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outline="0" subtotalTop="0" showAll="0"/>
    <pivotField axis="axisRow" compact="0" outline="0" subtotalTop="0" showAll="0">
      <items count="69">
        <item x="17"/>
        <item x="53"/>
        <item x="19"/>
        <item x="54"/>
        <item x="11"/>
        <item x="48"/>
        <item x="6"/>
        <item x="38"/>
        <item x="2"/>
        <item x="37"/>
        <item x="40"/>
        <item x="45"/>
        <item x="23"/>
        <item x="26"/>
        <item x="44"/>
        <item x="34"/>
        <item x="30"/>
        <item x="51"/>
        <item x="29"/>
        <item x="18"/>
        <item x="50"/>
        <item x="57"/>
        <item x="52"/>
        <item x="22"/>
        <item x="60"/>
        <item x="16"/>
        <item x="42"/>
        <item x="3"/>
        <item x="14"/>
        <item x="15"/>
        <item x="0"/>
        <item x="56"/>
        <item x="12"/>
        <item x="41"/>
        <item x="36"/>
        <item x="25"/>
        <item x="35"/>
        <item x="10"/>
        <item x="62"/>
        <item x="47"/>
        <item x="32"/>
        <item x="55"/>
        <item x="27"/>
        <item x="46"/>
        <item x="33"/>
        <item x="59"/>
        <item x="49"/>
        <item x="1"/>
        <item x="5"/>
        <item x="39"/>
        <item x="9"/>
        <item x="58"/>
        <item x="7"/>
        <item x="66"/>
        <item x="24"/>
        <item x="61"/>
        <item x="8"/>
        <item x="20"/>
        <item x="43"/>
        <item x="21"/>
        <item x="31"/>
        <item x="4"/>
        <item x="28"/>
        <item x="13"/>
        <item h="1" x="67"/>
        <item h="1" x="63"/>
        <item h="1" x="64"/>
        <item h="1" x="65"/>
        <item t="default"/>
      </items>
    </pivotField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8">
        <item x="0"/>
        <item x="2"/>
        <item m="1" x="4"/>
        <item x="1"/>
        <item m="1" x="6"/>
        <item x="3"/>
        <item m="1" x="5"/>
        <item t="default"/>
      </items>
    </pivotField>
    <pivotField compact="0" outline="0" subtotalTop="0" showAll="0"/>
  </pivotFields>
  <rowFields count="2">
    <field x="7"/>
    <field x="3"/>
  </rowFields>
  <rowItems count="68">
    <i>
      <x/>
      <x v="30"/>
    </i>
    <i t="default">
      <x/>
    </i>
    <i>
      <x v="1"/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6"/>
    </i>
    <i r="1">
      <x v="17"/>
    </i>
    <i r="1">
      <x v="25"/>
    </i>
    <i r="1">
      <x v="27"/>
    </i>
    <i r="1">
      <x v="34"/>
    </i>
    <i r="1">
      <x v="41"/>
    </i>
    <i r="1">
      <x v="42"/>
    </i>
    <i r="1">
      <x v="44"/>
    </i>
    <i r="1">
      <x v="4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t="default">
      <x v="1"/>
    </i>
    <i>
      <x v="3"/>
      <x/>
    </i>
    <i r="1">
      <x v="1"/>
    </i>
    <i r="1">
      <x v="3"/>
    </i>
    <i r="1">
      <x v="4"/>
    </i>
    <i r="1">
      <x v="5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t="default">
      <x v="3"/>
    </i>
    <i t="grand">
      <x/>
    </i>
  </rowItems>
  <colFields count="1">
    <field x="1"/>
  </colFields>
  <colItems count="13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Som van Bedrag +/-" fld="6" baseField="0" baseItem="0" numFmtId="2"/>
  </dataFields>
  <formats count="24">
    <format dxfId="181">
      <pivotArea fieldPosition="0">
        <references count="3">
          <reference field="1" count="1" selected="0">
            <x v="15"/>
          </reference>
          <reference field="3" count="24">
            <x v="2"/>
            <x v="6"/>
            <x v="7"/>
            <x v="8"/>
            <x v="9"/>
            <x v="10"/>
            <x v="11"/>
            <x v="16"/>
            <x v="17"/>
            <x v="25"/>
            <x v="27"/>
            <x v="34"/>
            <x v="41"/>
            <x v="42"/>
            <x v="43"/>
            <x v="44"/>
            <x v="45"/>
            <x v="57"/>
            <x v="58"/>
            <x v="59"/>
            <x v="60"/>
            <x v="61"/>
            <x v="62"/>
            <x v="63"/>
          </reference>
          <reference field="7" count="1" selected="0">
            <x v="1"/>
          </reference>
        </references>
      </pivotArea>
    </format>
    <format dxfId="180">
      <pivotArea fieldPosition="0">
        <references count="2">
          <reference field="1" count="1" selected="0">
            <x v="20"/>
          </reference>
          <reference field="7" count="1">
            <x v="0"/>
          </reference>
        </references>
      </pivotArea>
    </format>
    <format dxfId="179">
      <pivotArea fieldPosition="0">
        <references count="3">
          <reference field="1" count="1" selected="0">
            <x v="20"/>
          </reference>
          <reference field="3" count="1">
            <x v="30"/>
          </reference>
          <reference field="7" count="1" selected="0">
            <x v="0"/>
          </reference>
        </references>
      </pivotArea>
    </format>
    <format dxfId="178">
      <pivotArea fieldPosition="0">
        <references count="2">
          <reference field="1" count="1" selected="0">
            <x v="20"/>
          </reference>
          <reference field="7" count="1">
            <x v="1"/>
          </reference>
        </references>
      </pivotArea>
    </format>
    <format dxfId="177">
      <pivotArea fieldPosition="0">
        <references count="3">
          <reference field="1" count="1" selected="0">
            <x v="20"/>
          </reference>
          <reference field="3" count="24">
            <x v="2"/>
            <x v="6"/>
            <x v="7"/>
            <x v="8"/>
            <x v="9"/>
            <x v="10"/>
            <x v="11"/>
            <x v="16"/>
            <x v="17"/>
            <x v="25"/>
            <x v="27"/>
            <x v="34"/>
            <x v="41"/>
            <x v="42"/>
            <x v="43"/>
            <x v="44"/>
            <x v="45"/>
            <x v="57"/>
            <x v="58"/>
            <x v="59"/>
            <x v="60"/>
            <x v="61"/>
            <x v="62"/>
            <x v="63"/>
          </reference>
          <reference field="7" count="1" selected="0">
            <x v="1"/>
          </reference>
        </references>
      </pivotArea>
    </format>
    <format dxfId="176">
      <pivotArea fieldPosition="0">
        <references count="2">
          <reference field="1" count="1" selected="0">
            <x v="20"/>
          </reference>
          <reference field="7" count="1">
            <x v="3"/>
          </reference>
        </references>
      </pivotArea>
    </format>
    <format dxfId="175">
      <pivotArea fieldPosition="0">
        <references count="3">
          <reference field="1" count="1" selected="0">
            <x v="20"/>
          </reference>
          <reference field="3" count="39">
            <x v="0"/>
            <x v="1"/>
            <x v="3"/>
            <x v="4"/>
            <x v="5"/>
            <x v="12"/>
            <x v="13"/>
            <x v="14"/>
            <x v="15"/>
            <x v="18"/>
            <x v="19"/>
            <x v="20"/>
            <x v="21"/>
            <x v="22"/>
            <x v="23"/>
            <x v="24"/>
            <x v="26"/>
            <x v="28"/>
            <x v="29"/>
            <x v="31"/>
            <x v="32"/>
            <x v="33"/>
            <x v="35"/>
            <x v="36"/>
            <x v="37"/>
            <x v="38"/>
            <x v="39"/>
            <x v="40"/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7" count="1" selected="0">
            <x v="3"/>
          </reference>
        </references>
      </pivotArea>
    </format>
    <format dxfId="174">
      <pivotArea outline="0" collapsedLevelsAreSubtotals="1" fieldPosition="0"/>
    </format>
    <format dxfId="173">
      <pivotArea field="7" type="button" dataOnly="0" labelOnly="1" outline="0" axis="axisRow" fieldPosition="0"/>
    </format>
    <format dxfId="172">
      <pivotArea field="3" type="button" dataOnly="0" labelOnly="1" outline="0" axis="axisRow" fieldPosition="1"/>
    </format>
    <format dxfId="171">
      <pivotArea dataOnly="0" labelOnly="1" outline="0" fieldPosition="0">
        <references count="1">
          <reference field="1" count="0"/>
        </references>
      </pivotArea>
    </format>
    <format dxfId="170">
      <pivotArea dataOnly="0" labelOnly="1" grandCol="1" outline="0" fieldPosition="0"/>
    </format>
    <format dxfId="169">
      <pivotArea field="7" type="button" dataOnly="0" labelOnly="1" outline="0" axis="axisRow" fieldPosition="0"/>
    </format>
    <format dxfId="168">
      <pivotArea field="3" type="button" dataOnly="0" labelOnly="1" outline="0" axis="axisRow" fieldPosition="1"/>
    </format>
    <format dxfId="167">
      <pivotArea dataOnly="0" labelOnly="1" outline="0" fieldPosition="0">
        <references count="1">
          <reference field="1" count="0"/>
        </references>
      </pivotArea>
    </format>
    <format dxfId="166">
      <pivotArea dataOnly="0" labelOnly="1" grandCol="1" outline="0" fieldPosition="0"/>
    </format>
    <format dxfId="165">
      <pivotArea field="7" type="button" dataOnly="0" labelOnly="1" outline="0" axis="axisRow" fieldPosition="0"/>
    </format>
    <format dxfId="164">
      <pivotArea field="3" type="button" dataOnly="0" labelOnly="1" outline="0" axis="axisRow" fieldPosition="1"/>
    </format>
    <format dxfId="163">
      <pivotArea dataOnly="0" labelOnly="1" outline="0" fieldPosition="0">
        <references count="1">
          <reference field="1" count="0"/>
        </references>
      </pivotArea>
    </format>
    <format dxfId="162">
      <pivotArea dataOnly="0" labelOnly="1" grandCol="1" outline="0" fieldPosition="0"/>
    </format>
    <format dxfId="161">
      <pivotArea field="7" type="button" dataOnly="0" labelOnly="1" outline="0" axis="axisRow" fieldPosition="0"/>
    </format>
    <format dxfId="160">
      <pivotArea field="3" type="button" dataOnly="0" labelOnly="1" outline="0" axis="axisRow" fieldPosition="1"/>
    </format>
    <format dxfId="159">
      <pivotArea dataOnly="0" labelOnly="1" outline="0" fieldPosition="0">
        <references count="1">
          <reference field="1" count="0"/>
        </references>
      </pivotArea>
    </format>
    <format dxfId="158">
      <pivotArea dataOnly="0" labelOnly="1" grandCol="1" outline="0" fieldPosition="0"/>
    </format>
  </formats>
  <pivotTableStyleInfo name="PivotStyleLight17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1DC0-EB89-43FD-BB50-76DE156257F4}" name="Draaitabel2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">
  <location ref="A115:B128" firstHeaderRow="1" firstDataRow="1" firstDataCol="1"/>
  <pivotFields count="4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 van Water (m³) netto" fld="2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1C9C0-27C0-49E0-A34F-4E383041BB10}" name="Draaitabel1" cacheId="13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1:BR15" firstHeaderRow="1" firstDataRow="2" firstDataCol="1"/>
  <pivotFields count="9">
    <pivotField numFmtId="14" showAll="0"/>
    <pivotField axis="axisRow" showAll="0">
      <items count="28">
        <item x="0"/>
        <item x="1"/>
        <item x="2"/>
        <item x="3"/>
        <item m="1" x="18"/>
        <item m="1" x="14"/>
        <item m="1" x="25"/>
        <item m="1" x="22"/>
        <item m="1" x="20"/>
        <item m="1" x="26"/>
        <item m="1" x="21"/>
        <item x="4"/>
        <item x="5"/>
        <item x="6"/>
        <item m="1" x="13"/>
        <item m="1" x="16"/>
        <item m="1" x="19"/>
        <item m="1" x="17"/>
        <item x="7"/>
        <item m="1" x="23"/>
        <item m="1" x="24"/>
        <item x="8"/>
        <item m="1" x="15"/>
        <item x="9"/>
        <item x="10"/>
        <item x="11"/>
        <item m="1" x="12"/>
        <item t="default"/>
      </items>
    </pivotField>
    <pivotField showAll="0"/>
    <pivotField axis="axisCol" showAll="0">
      <items count="69">
        <item x="0"/>
        <item x="2"/>
        <item x="19"/>
        <item x="36"/>
        <item x="6"/>
        <item x="38"/>
        <item x="3"/>
        <item x="7"/>
        <item x="37"/>
        <item x="10"/>
        <item x="30"/>
        <item x="51"/>
        <item x="33"/>
        <item x="27"/>
        <item x="55"/>
        <item x="45"/>
        <item x="17"/>
        <item x="5"/>
        <item x="43"/>
        <item x="9"/>
        <item x="21"/>
        <item x="31"/>
        <item x="16"/>
        <item x="20"/>
        <item x="53"/>
        <item x="54"/>
        <item x="11"/>
        <item x="8"/>
        <item x="48"/>
        <item x="12"/>
        <item x="40"/>
        <item x="23"/>
        <item x="26"/>
        <item x="34"/>
        <item x="29"/>
        <item x="18"/>
        <item x="50"/>
        <item x="57"/>
        <item x="52"/>
        <item x="22"/>
        <item x="60"/>
        <item x="42"/>
        <item x="14"/>
        <item x="15"/>
        <item x="56"/>
        <item x="13"/>
        <item x="41"/>
        <item x="28"/>
        <item x="25"/>
        <item x="4"/>
        <item x="46"/>
        <item x="35"/>
        <item x="62"/>
        <item x="47"/>
        <item x="32"/>
        <item x="59"/>
        <item x="49"/>
        <item x="39"/>
        <item x="58"/>
        <item x="66"/>
        <item x="24"/>
        <item x="61"/>
        <item x="44"/>
        <item x="63"/>
        <item x="1"/>
        <item x="67"/>
        <item x="64"/>
        <item x="6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11"/>
    </i>
    <i>
      <x v="12"/>
    </i>
    <i>
      <x v="13"/>
    </i>
    <i>
      <x v="18"/>
    </i>
    <i>
      <x v="21"/>
    </i>
    <i>
      <x v="23"/>
    </i>
    <i>
      <x v="24"/>
    </i>
    <i>
      <x v="25"/>
    </i>
    <i t="grand">
      <x/>
    </i>
  </rowItems>
  <colFields count="1">
    <field x="3"/>
  </colFields>
  <col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colItems>
  <dataFields count="1">
    <dataField name="Som van Bedrag +/-" fld="6" baseField="0" baseItem="0"/>
  </dataFields>
  <formats count="5">
    <format dxfId="143">
      <pivotArea dataOnly="0" labelOnly="1" fieldPosition="0">
        <references count="1">
          <reference field="3" count="4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62"/>
          </reference>
        </references>
      </pivotArea>
    </format>
    <format dxfId="142">
      <pivotArea dataOnly="0" labelOnly="1" fieldPosition="0">
        <references count="1">
          <reference field="3" count="15"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4"/>
          </reference>
        </references>
      </pivotArea>
    </format>
    <format dxfId="141">
      <pivotArea collapsedLevelsAreSubtotals="1" fieldPosition="0">
        <references count="1">
          <reference field="1" count="1">
            <x v="13"/>
          </reference>
        </references>
      </pivotArea>
    </format>
    <format dxfId="140">
      <pivotArea dataOnly="0" labelOnly="1" fieldPosition="0">
        <references count="1">
          <reference field="1" count="1">
            <x v="13"/>
          </reference>
        </references>
      </pivotArea>
    </format>
    <format dxfId="139">
      <pivotArea dataOnly="0" fieldPosition="0">
        <references count="1">
          <reference field="1" count="1">
            <x v="18"/>
          </reference>
        </references>
      </pivotArea>
    </format>
  </formats>
  <conditionalFormats count="1">
    <conditionalFormat priority="2">
      <pivotAreas count="1">
        <pivotArea type="data" grandRow="1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AFCD72-AD15-462B-A2F2-017E6177E75B}" name="Tabel1" displayName="Tabel1" ref="A1:I2258" totalsRowShown="0">
  <autoFilter ref="A1:I2258" xr:uid="{1FAFCD72-AD15-462B-A2F2-017E6177E75B}">
    <filterColumn colId="0">
      <filters>
        <dateGroupItem year="2024" dateTimeGrouping="year"/>
      </filters>
    </filterColumn>
  </autoFilter>
  <tableColumns count="9">
    <tableColumn id="1" xr3:uid="{E3EBF0BA-FD87-49C5-BBBE-7E695C51B576}" name="datum" dataDxfId="185"/>
    <tableColumn id="5" xr3:uid="{92CCAE21-F4A1-436C-9F22-D6B47882A7F0}" name="maand" dataDxfId="184">
      <calculatedColumnFormula>TEXT(A2,"mmmm ")</calculatedColumnFormula>
    </tableColumn>
    <tableColumn id="2" xr3:uid="{CFFC4013-BE89-42EF-8DB3-31F3FCEF90DA}" name="bedrag"/>
    <tableColumn id="3" xr3:uid="{5CA5BA7B-A394-4DDC-A762-4B21C3F13040}" name="categorie"/>
    <tableColumn id="4" xr3:uid="{71BFC97C-E63A-455F-8C5F-14C51D4AE902}" name="omschrijving"/>
    <tableColumn id="7" xr3:uid="{496D5F6A-445E-47C6-9545-55315E9AFF9F}" name="in/uitgave"/>
    <tableColumn id="6" xr3:uid="{FDFC81E7-3FFC-4930-80E9-4C90DE007FD9}" name="Bedrag +/-" dataDxfId="183">
      <calculatedColumnFormula>IF(F2="Uitgave", -ABS(C2), ABS(C2))</calculatedColumnFormula>
    </tableColumn>
    <tableColumn id="8" xr3:uid="{A7C05CAB-CA9A-465B-95B1-62135A3D2C74}" name="vast/variabel"/>
    <tableColumn id="9" xr3:uid="{EDA818CC-1E2A-455F-B521-6392D0A63523}" name="controle" dataDxfId="182">
      <calculatedColumnFormula>IF(OR(AND(F2="Uitgave", C2&lt;0), AND(F2="Inkomst", C2&gt;0)), "OK", "FOUT")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B206A9-1CE5-4758-AD2D-1099AA7C2D86}" name="Tabel4" displayName="Tabel4" ref="C77:N78" totalsRowShown="0" headerRowDxfId="157" dataDxfId="156">
  <autoFilter ref="C77:N78" xr:uid="{C2B206A9-1CE5-4758-AD2D-1099AA7C2D86}"/>
  <tableColumns count="12">
    <tableColumn id="1" xr3:uid="{EBE29235-D322-4262-BAF9-91048E83D189}" name="Kolom1" dataDxfId="155">
      <calculatedColumnFormula>GETPIVOTDATA("Bedrag +/-",$A$5,"maand","januari ","vast/variabel","Variabel")+GETPIVOTDATA("Bedrag +/-",$A$5,"maand","januari ","vast/variabel","Vast")</calculatedColumnFormula>
    </tableColumn>
    <tableColumn id="2" xr3:uid="{C32EA5AE-67FB-4995-8C6D-7DEEFB9EA37D}" name="Kolom2" dataDxfId="154">
      <calculatedColumnFormula>GETPIVOTDATA("Bedrag +/-",$A$5,"maand","februari ","vast/variabel","Variabel")+GETPIVOTDATA("Bedrag +/-",$A$5,"maand","februari ","vast/variabel","Vast")</calculatedColumnFormula>
    </tableColumn>
    <tableColumn id="3" xr3:uid="{C928BEDF-4E16-480A-85A9-7C4E23CEE637}" name="Kolom3" dataDxfId="153">
      <calculatedColumnFormula>GETPIVOTDATA("Bedrag +/-",$A$5,"maand","maart ","vast/variabel","Variabel")+GETPIVOTDATA("Bedrag +/-",$A$5,"maand","maart ","vast/variabel","Vast")</calculatedColumnFormula>
    </tableColumn>
    <tableColumn id="4" xr3:uid="{F67F1809-C26C-49B3-A7C4-62824A4E95A9}" name="Kolom4" dataDxfId="152">
      <calculatedColumnFormula>GETPIVOTDATA("Bedrag +/-",$A$5,"maand","april ","vast/variabel","Variabel")+GETPIVOTDATA("Bedrag +/-",$A$5,"maand","april ","vast/variabel","Vast")</calculatedColumnFormula>
    </tableColumn>
    <tableColumn id="5" xr3:uid="{455D1D47-349C-4FC3-99AC-6A1587A73287}" name="Kolom5" dataDxfId="151">
      <calculatedColumnFormula>GETPIVOTDATA("Bedrag +/-",$A$5,"maand","mei ","vast/variabel","Variabel")+GETPIVOTDATA("Bedrag +/-",$A$5,"maand","juni ","vast/variabel","Vast")</calculatedColumnFormula>
    </tableColumn>
    <tableColumn id="6" xr3:uid="{C4E57151-F61D-4083-BFD4-49100E53DB6D}" name="Kolom6" dataDxfId="150">
      <calculatedColumnFormula>GETPIVOTDATA("Bedrag +/-",$A$5,"maand","juni ","vast/variabel","Variabel")+GETPIVOTDATA("Bedrag +/-",$A$5,"maand","juni ","vast/variabel","Vast")</calculatedColumnFormula>
    </tableColumn>
    <tableColumn id="7" xr3:uid="{0974AFE0-712F-48B8-836A-6D9C31C3C44D}" name="Kolom7" dataDxfId="149">
      <calculatedColumnFormula>GETPIVOTDATA("Bedrag +/-",$A$5,"maand","juli ","vast/variabel","Variabel")+GETPIVOTDATA("Bedrag +/-",$A$5,"maand","juli ","vast/variabel","Vast")</calculatedColumnFormula>
    </tableColumn>
    <tableColumn id="8" xr3:uid="{3705AA3D-A596-4C26-B933-A84015F921EE}" name="Kolom8" dataDxfId="148">
      <calculatedColumnFormula>GETPIVOTDATA("Bedrag +/-",$A$5,"maand","augustus ","vast/variabel","Variabel")+GETPIVOTDATA("Bedrag +/-",$A$5,"maand","augustus ","vast/variabel","Vast")</calculatedColumnFormula>
    </tableColumn>
    <tableColumn id="9" xr3:uid="{3E77C3A4-1491-4A6B-81BD-49BCD29DCE23}" name="Kolom9" dataDxfId="147">
      <calculatedColumnFormula>GETPIVOTDATA("Bedrag +/-",$A$5,"maand","september ","vast/variabel","Variabel")+GETPIVOTDATA("Bedrag +/-",$A$5,"maand","september ","vast/variabel","Vast")</calculatedColumnFormula>
    </tableColumn>
    <tableColumn id="10" xr3:uid="{A47EA04D-A94E-4CF1-BBF0-A7E18A8E8D7D}" name="Kolom10" dataDxfId="146">
      <calculatedColumnFormula>GETPIVOTDATA("Bedrag +/-",$A$5,"maand","oktober ","vast/variabel","Variabel")+GETPIVOTDATA("Bedrag +/-",$A$5,"maand","oktober ","vast/variabel","Vast")</calculatedColumnFormula>
    </tableColumn>
    <tableColumn id="11" xr3:uid="{6926A437-E3F3-44B6-AB6E-BDA2A7C7B0FE}" name="Kolom11" dataDxfId="145">
      <calculatedColumnFormula>GETPIVOTDATA("Bedrag +/-",$A$5,"maand","november ","vast/variabel","Variabel")+GETPIVOTDATA("Bedrag +/-",$A$5,"maand","november ","vast/variabel","Vast")</calculatedColumnFormula>
    </tableColumn>
    <tableColumn id="12" xr3:uid="{6B02AAD4-1968-4EB6-BA92-6A3BD36575E9}" name="Kolom12" dataDxfId="144">
      <calculatedColumnFormula>GETPIVOTDATA("Bedrag +/-",$A$5,"maand","december ","vast/variabel","Variabel")+GETPIVOTDATA("Bedrag +/-",$A$5,"maand","december ","vast/variabel","Vast")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DCCB6B-F251-4242-B0A0-8539191F39A0}" name="Tabel2" displayName="Tabel2" ref="A17:BO23" totalsRowShown="0" headerRowDxfId="138" dataDxfId="137">
  <autoFilter ref="A17:BO23" xr:uid="{E5DCCB6B-F251-4242-B0A0-8539191F39A0}"/>
  <tableColumns count="67">
    <tableColumn id="1" xr3:uid="{3FC2E407-5A7C-47F9-8A2F-AFDEB50BD670}" name="Kolom1" dataDxfId="136"/>
    <tableColumn id="2" xr3:uid="{B9E4E47E-6D68-4572-9EED-4746EED5A3A3}" name="Kolom2" dataDxfId="135"/>
    <tableColumn id="3" xr3:uid="{7DBAB659-C572-4F32-B1AF-ED56C683E9B8}" name="Kolom3" dataDxfId="134"/>
    <tableColumn id="4" xr3:uid="{707B4B79-A147-445E-82C5-108CA5047071}" name="Kolom4" dataDxfId="133"/>
    <tableColumn id="5" xr3:uid="{5CC67425-3E1A-4210-98C4-39EFFBA675ED}" name="Kolom5" dataDxfId="132"/>
    <tableColumn id="6" xr3:uid="{CC7F2219-20C9-4C92-9521-CBA6CF301D4D}" name="Kolom6" dataDxfId="131"/>
    <tableColumn id="7" xr3:uid="{199E2475-4588-4714-8BF5-798791095EDB}" name="Kolom7" dataDxfId="130"/>
    <tableColumn id="8" xr3:uid="{9BF1F530-B9AB-4625-A9CB-E2AB9A66BF4B}" name="Kolom8" dataDxfId="129"/>
    <tableColumn id="9" xr3:uid="{4E0D8E91-1C6F-4D2F-A39E-D4B60CD59D3E}" name="Kolom9" dataDxfId="128"/>
    <tableColumn id="10" xr3:uid="{883E0D17-C4B6-4C1B-95B7-6F9E478833DE}" name="Kolom10" dataDxfId="127"/>
    <tableColumn id="11" xr3:uid="{757877F5-146E-4DA3-9CBB-4A158D162BAC}" name="Kolom11" dataDxfId="126"/>
    <tableColumn id="12" xr3:uid="{73518DEE-C393-4B4C-9E24-ECCC6AD1766D}" name="Kolom12" dataDxfId="125"/>
    <tableColumn id="13" xr3:uid="{F5CA7212-9F07-432F-9E1B-BCCC831AA624}" name="Kolom13" dataDxfId="124"/>
    <tableColumn id="14" xr3:uid="{83899EAD-0E5C-48AA-80DA-5EBA9D3D206B}" name="Kolom14" dataDxfId="123"/>
    <tableColumn id="15" xr3:uid="{AB07C597-E7F3-4BE6-9ECE-F455A07476F7}" name="Kolom15" dataDxfId="122"/>
    <tableColumn id="16" xr3:uid="{5CD4EE50-84D9-4582-9061-8CFE0395AC4F}" name="Kolom16" dataDxfId="121"/>
    <tableColumn id="17" xr3:uid="{A71899DC-4A47-4395-9A41-08240D91126C}" name="Kolom17" dataDxfId="120"/>
    <tableColumn id="18" xr3:uid="{EC3E2899-36FF-4FCA-AF8B-CB622DCB3ED9}" name="Kolom18" dataDxfId="119"/>
    <tableColumn id="19" xr3:uid="{7F316728-E2C9-4A68-A7C1-AC61EA27BD8B}" name="Kolom19" dataDxfId="118"/>
    <tableColumn id="20" xr3:uid="{F089124A-8710-4C38-9729-75E24AC7A02A}" name="Kolom20" dataDxfId="117"/>
    <tableColumn id="21" xr3:uid="{BBBE4051-97DF-49B8-BFED-7FAA02C26D08}" name="Kolom21" dataDxfId="116"/>
    <tableColumn id="22" xr3:uid="{F36FE09D-BAD1-4C82-8C8A-2E38F05D8031}" name="Kolom22" dataDxfId="115"/>
    <tableColumn id="23" xr3:uid="{6D0DF192-6813-48A2-814A-E97F0A2A5F4E}" name="Kolom23" dataDxfId="114"/>
    <tableColumn id="24" xr3:uid="{E0AEB8FC-52D5-4F22-A860-E822C7AF275F}" name="Kolom24" dataDxfId="113"/>
    <tableColumn id="25" xr3:uid="{6223EAB1-443F-4103-B90E-3F06513C6823}" name="Kolom25" dataDxfId="112"/>
    <tableColumn id="26" xr3:uid="{330C52B2-91DA-4818-B015-877F2279C142}" name="Kolom26" dataDxfId="111"/>
    <tableColumn id="27" xr3:uid="{304A21C7-555D-4917-B5D0-8C5808B8E4CF}" name="Kolom27" dataDxfId="110"/>
    <tableColumn id="28" xr3:uid="{1B70A8B3-CB80-4208-B3C4-AC944BEC8006}" name="Kolom28" dataDxfId="109"/>
    <tableColumn id="29" xr3:uid="{B56BC01D-A530-42BC-9E90-1A689994C02B}" name="Kolom29" dataDxfId="108"/>
    <tableColumn id="30" xr3:uid="{52A3AA0C-6795-45E2-99C8-92F0077B03C7}" name="Kolom30" dataDxfId="107"/>
    <tableColumn id="31" xr3:uid="{E274C6D7-686A-4E6D-A537-45F51A7B91E8}" name="Kolom31" dataDxfId="106"/>
    <tableColumn id="32" xr3:uid="{A270D521-603F-4B57-93C4-F9FE6F0D8FA4}" name="Kolom32" dataDxfId="105"/>
    <tableColumn id="33" xr3:uid="{31498544-CDB1-4644-BA16-CB824AFE847D}" name="Kolom33" dataDxfId="104"/>
    <tableColumn id="34" xr3:uid="{C3078BB2-1A24-4ED4-834E-68D7B92C764A}" name="Kolom34" dataDxfId="103"/>
    <tableColumn id="35" xr3:uid="{7615FEA2-9608-4E2F-97BF-50993897E2E7}" name="Kolom35" dataDxfId="102"/>
    <tableColumn id="36" xr3:uid="{6BA96595-C363-4C56-81AF-E30C5E76AD54}" name="Kolom36" dataDxfId="101"/>
    <tableColumn id="37" xr3:uid="{EAA63DFA-2D06-45E7-BC2A-E277B58376F1}" name="Kolom37" dataDxfId="100"/>
    <tableColumn id="38" xr3:uid="{9EACBC6B-BF57-45E0-ACB4-C9DA797232C9}" name="Kolom38" dataDxfId="99"/>
    <tableColumn id="39" xr3:uid="{774CFC5F-A471-4E85-A0F6-464CA655A240}" name="Kolom39" dataDxfId="98"/>
    <tableColumn id="40" xr3:uid="{C5C0EB8C-1F58-4816-BA30-B0754A430F19}" name="Kolom40" dataDxfId="97"/>
    <tableColumn id="41" xr3:uid="{F369C847-C63C-42D9-80CF-F706CDCFE25E}" name="Kolom41" dataDxfId="96"/>
    <tableColumn id="42" xr3:uid="{7880D1A0-4892-41CA-862C-2E7E9CE0BDBA}" name="Kolom42" dataDxfId="95"/>
    <tableColumn id="43" xr3:uid="{6549EEAB-2A18-41D7-9127-A01657FCBA72}" name="Kolom43" dataDxfId="94"/>
    <tableColumn id="44" xr3:uid="{24A3538E-A4E4-4134-B5B0-15FF4FB4770B}" name="Kolom44" dataDxfId="93"/>
    <tableColumn id="45" xr3:uid="{0EDFC65E-9B65-4570-98E4-64690D5944C7}" name="Kolom45" dataDxfId="92"/>
    <tableColumn id="46" xr3:uid="{F9943F72-D28E-4805-9626-A93631CCC2AE}" name="Kolom46" dataDxfId="91"/>
    <tableColumn id="47" xr3:uid="{6420A58D-D7A3-407E-A045-02304231485E}" name="Kolom47" dataDxfId="90"/>
    <tableColumn id="48" xr3:uid="{080E72CB-3C37-41F9-88CF-A5A94FAB69C3}" name="Kolom48" dataDxfId="89"/>
    <tableColumn id="49" xr3:uid="{C029B547-52BA-4646-AC0F-0040A01F9C69}" name="Kolom49" dataDxfId="88"/>
    <tableColumn id="50" xr3:uid="{81256AFC-0018-4239-952C-BDEDE18CBAD0}" name="Kolom50" dataDxfId="87"/>
    <tableColumn id="51" xr3:uid="{43C90A7F-D83B-444D-A129-8630542A8439}" name="Kolom51" dataDxfId="86"/>
    <tableColumn id="52" xr3:uid="{28B13369-4157-47B5-A22D-0873969E393E}" name="Kolom52" dataDxfId="85"/>
    <tableColumn id="53" xr3:uid="{BA1397F6-F6DD-4D9C-91EB-FFDB18627470}" name="Kolom53" dataDxfId="84"/>
    <tableColumn id="54" xr3:uid="{76CC4E48-2AFF-4C7F-BB56-511F9E07B9D3}" name="Kolom54" dataDxfId="83"/>
    <tableColumn id="55" xr3:uid="{1432BCE4-8EC7-43FF-B8F9-568543BB2551}" name="Kolom55" dataDxfId="82"/>
    <tableColumn id="56" xr3:uid="{D52DAC28-8CAA-44A0-A1BF-DBC9A51C187B}" name="Kolom56" dataDxfId="81"/>
    <tableColumn id="57" xr3:uid="{37820B6A-5DF7-4C60-B954-A8666C87D3E8}" name="Kolom57" dataDxfId="80"/>
    <tableColumn id="58" xr3:uid="{E2887BAB-C414-47AD-B58F-A70B2DF591C2}" name="Kolom58" dataDxfId="79"/>
    <tableColumn id="59" xr3:uid="{8DD26D38-FE5C-4414-B7F5-792494993681}" name="Kolom59" dataDxfId="78"/>
    <tableColumn id="60" xr3:uid="{C388C763-FFC8-4297-AC9D-BA0818A3D809}" name="Kolom60" dataDxfId="77"/>
    <tableColumn id="61" xr3:uid="{C1227F14-8494-4489-9459-491F04DD2785}" name="Kolom61" dataDxfId="76"/>
    <tableColumn id="62" xr3:uid="{4CA693F8-0DD7-45EA-9477-86189A91FB6D}" name="Kolom62" dataDxfId="75"/>
    <tableColumn id="63" xr3:uid="{D2E4D5E9-4C6F-4A61-98B8-DA8746BE73E4}" name="Kolom63" dataDxfId="74"/>
    <tableColumn id="64" xr3:uid="{9A5CEE9C-BFC7-464F-BF30-1D6680EB5D38}" name="Kolom64" dataDxfId="73"/>
    <tableColumn id="65" xr3:uid="{7D3583D6-0E98-4DB2-92DA-859322E1D494}" name="Kolom65" dataDxfId="72"/>
    <tableColumn id="66" xr3:uid="{93E7F95D-9626-4AF0-BFE1-1EC3EB893AB3}" name="Kolom66" dataDxfId="71"/>
    <tableColumn id="67" xr3:uid="{B70AB678-41C6-4EAB-96BD-71F92346040F}" name="Kolom67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CD8C8-6A92-4B67-A7B2-7756B5A10310}" name="Tabel3" displayName="Tabel3" ref="A1:D13" totalsRowShown="0">
  <autoFilter ref="A1:D13" xr:uid="{97DCD8C8-6A92-4B67-A7B2-7756B5A10310}"/>
  <tableColumns count="4">
    <tableColumn id="1" xr3:uid="{1E7859E6-8DE6-4BA3-B9C9-F84B0BB27A31}" name="maand"/>
    <tableColumn id="7" xr3:uid="{171E3F26-8F97-426B-AC34-7CB8B6CE749D}" name="water (m³)"/>
    <tableColumn id="15" xr3:uid="{A058DDCD-B415-4139-9277-5CAAB646C236}" name="Water (m³) netto" dataDxfId="69">
      <calculatedColumnFormula>Tabel3[[#This Row],[water (m³)]]-B1</calculatedColumnFormula>
    </tableColumn>
    <tableColumn id="8" xr3:uid="{930414B7-BA55-4910-A2AB-C724167FAC25}" name="opmerki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3.bin"/><Relationship Id="rId1" Type="http://schemas.openxmlformats.org/officeDocument/2006/relationships/pivotTable" Target="../pivotTables/pivotTable3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12EA-86EB-4284-8E89-C223DB69FCF3}">
  <dimension ref="A1:I2258"/>
  <sheetViews>
    <sheetView workbookViewId="0">
      <selection activeCell="A239" sqref="A2:XFD239"/>
    </sheetView>
  </sheetViews>
  <sheetFormatPr defaultRowHeight="14.4" x14ac:dyDescent="0.3"/>
  <cols>
    <col min="1" max="1" width="12.5546875" bestFit="1" customWidth="1"/>
    <col min="2" max="2" width="13.6640625" bestFit="1" customWidth="1"/>
    <col min="4" max="4" width="13.5546875" bestFit="1" customWidth="1"/>
    <col min="5" max="5" width="71.44140625" customWidth="1"/>
    <col min="6" max="6" width="11.44140625" bestFit="1" customWidth="1"/>
    <col min="7" max="7" width="11.6640625" bestFit="1" customWidth="1"/>
    <col min="14" max="14" width="11.33203125" bestFit="1" customWidth="1"/>
  </cols>
  <sheetData>
    <row r="1" spans="1:9" x14ac:dyDescent="0.3">
      <c r="A1" t="s">
        <v>15</v>
      </c>
      <c r="B1" t="s">
        <v>5</v>
      </c>
      <c r="C1" t="s">
        <v>6</v>
      </c>
      <c r="D1" t="s">
        <v>210</v>
      </c>
      <c r="E1" t="s">
        <v>7</v>
      </c>
      <c r="F1" t="s">
        <v>16</v>
      </c>
      <c r="G1" s="3" t="s">
        <v>324</v>
      </c>
      <c r="H1" t="s">
        <v>20</v>
      </c>
      <c r="I1" t="s">
        <v>57</v>
      </c>
    </row>
    <row r="2" spans="1:9" hidden="1" x14ac:dyDescent="0.3">
      <c r="A2" s="2">
        <v>45658</v>
      </c>
      <c r="B2" t="str">
        <f t="shared" ref="B2:B34" si="0">TEXT(A2,"mmmm ")</f>
        <v xml:space="preserve">januari </v>
      </c>
      <c r="C2">
        <v>2693.39</v>
      </c>
      <c r="D2" t="str" cm="1">
        <f t="array" ref="D2">IFERROR(
  _xlfn.XLOOKUP(TRUE, ISNUMBER(FIND(Trefwoorden!$A$2:$A$99, E2)), Trefwoorden!$B$2:$B$99),
  "Onbekend"
)</f>
        <v>Inkomsten Loon</v>
      </c>
      <c r="E2" t="s">
        <v>134</v>
      </c>
      <c r="F2" t="str">
        <f>VLOOKUP(Tabel1[[#This Row],[categorie]],Lijst!A:C,3,FALSE)</f>
        <v>Inkomst</v>
      </c>
      <c r="G2">
        <f t="shared" ref="G2:G34" si="1">IF(F2="Uitgave", -ABS(C2), ABS(C2))</f>
        <v>2693.39</v>
      </c>
      <c r="H2" t="str">
        <f>VLOOKUP(Tabel1[[#This Row],[categorie]],Lijst!A:B,2,FALSE)</f>
        <v>Inkomsten</v>
      </c>
      <c r="I2" t="str">
        <f t="shared" ref="I2:I34" si="2">IF(OR(AND(F2="Uitgave", C2&lt;0), AND(F2="Inkomst", C2&gt;0)), "OK", "FOUT")</f>
        <v>OK</v>
      </c>
    </row>
    <row r="3" spans="1:9" hidden="1" x14ac:dyDescent="0.3">
      <c r="A3" s="2">
        <v>45658</v>
      </c>
      <c r="B3" t="str">
        <f t="shared" si="0"/>
        <v xml:space="preserve">januari </v>
      </c>
      <c r="C3">
        <v>2186.96</v>
      </c>
      <c r="D3" t="str" cm="1">
        <f t="array" ref="D3">IFERROR(
  _xlfn.XLOOKUP(TRUE, ISNUMBER(FIND(Trefwoorden!$A$2:$A$99, E3)), Trefwoorden!$B$2:$B$99),
  "Onbekend"
)</f>
        <v>Inkomsten Loon</v>
      </c>
      <c r="E3" t="s">
        <v>132</v>
      </c>
      <c r="F3" t="s">
        <v>65</v>
      </c>
      <c r="G3">
        <f t="shared" si="1"/>
        <v>2186.96</v>
      </c>
      <c r="H3" t="str">
        <f>VLOOKUP(Tabel1[[#This Row],[categorie]],Lijst!A:B,2,FALSE)</f>
        <v>Inkomsten</v>
      </c>
      <c r="I3" t="str">
        <f t="shared" si="2"/>
        <v>OK</v>
      </c>
    </row>
    <row r="4" spans="1:9" hidden="1" x14ac:dyDescent="0.3">
      <c r="A4" s="2">
        <v>45658</v>
      </c>
      <c r="B4" t="str">
        <f t="shared" si="0"/>
        <v xml:space="preserve">januari </v>
      </c>
      <c r="C4">
        <v>70</v>
      </c>
      <c r="D4" t="s">
        <v>69</v>
      </c>
      <c r="F4" t="s">
        <v>17</v>
      </c>
      <c r="G4">
        <f t="shared" si="1"/>
        <v>70</v>
      </c>
      <c r="H4" t="str">
        <f>VLOOKUP(Tabel1[[#This Row],[categorie]],Lijst!A:B,2,FALSE)</f>
        <v>Variabel</v>
      </c>
      <c r="I4" t="str">
        <f t="shared" si="2"/>
        <v>OK</v>
      </c>
    </row>
    <row r="5" spans="1:9" hidden="1" x14ac:dyDescent="0.3">
      <c r="A5" s="2">
        <v>45659</v>
      </c>
      <c r="B5" t="str">
        <f t="shared" si="0"/>
        <v xml:space="preserve">januari </v>
      </c>
      <c r="C5">
        <v>-65.849999999999994</v>
      </c>
      <c r="D5" t="s">
        <v>3</v>
      </c>
      <c r="F5" t="s">
        <v>18</v>
      </c>
      <c r="G5">
        <f t="shared" si="1"/>
        <v>-65.849999999999994</v>
      </c>
      <c r="H5" t="str">
        <f>VLOOKUP(Tabel1[[#This Row],[categorie]],Lijst!A:B,2,FALSE)</f>
        <v>Vast</v>
      </c>
      <c r="I5" t="str">
        <f t="shared" si="2"/>
        <v>OK</v>
      </c>
    </row>
    <row r="6" spans="1:9" hidden="1" x14ac:dyDescent="0.3">
      <c r="A6" s="2">
        <v>45659</v>
      </c>
      <c r="B6" t="str">
        <f t="shared" si="0"/>
        <v xml:space="preserve">januari </v>
      </c>
      <c r="C6">
        <v>-42.81</v>
      </c>
      <c r="D6" t="s">
        <v>3</v>
      </c>
      <c r="F6" t="s">
        <v>18</v>
      </c>
      <c r="G6">
        <f t="shared" si="1"/>
        <v>-42.81</v>
      </c>
      <c r="H6" t="str">
        <f>VLOOKUP(Tabel1[[#This Row],[categorie]],Lijst!A:B,2,FALSE)</f>
        <v>Vast</v>
      </c>
      <c r="I6" t="str">
        <f t="shared" si="2"/>
        <v>OK</v>
      </c>
    </row>
    <row r="7" spans="1:9" hidden="1" x14ac:dyDescent="0.3">
      <c r="A7" s="2">
        <v>45659</v>
      </c>
      <c r="B7" t="str">
        <f t="shared" si="0"/>
        <v xml:space="preserve">januari </v>
      </c>
      <c r="C7">
        <v>-40.619999999999997</v>
      </c>
      <c r="D7" t="s">
        <v>209</v>
      </c>
      <c r="F7" t="s">
        <v>18</v>
      </c>
      <c r="G7">
        <f t="shared" si="1"/>
        <v>-40.619999999999997</v>
      </c>
      <c r="H7" t="str">
        <f>VLOOKUP(Tabel1[[#This Row],[categorie]],Lijst!A:B,2,FALSE)</f>
        <v>Vast</v>
      </c>
      <c r="I7" t="str">
        <f t="shared" si="2"/>
        <v>OK</v>
      </c>
    </row>
    <row r="8" spans="1:9" hidden="1" x14ac:dyDescent="0.3">
      <c r="A8" s="2">
        <v>45659</v>
      </c>
      <c r="B8" t="str">
        <f t="shared" si="0"/>
        <v xml:space="preserve">januari </v>
      </c>
      <c r="C8">
        <v>-30.79</v>
      </c>
      <c r="D8" t="s">
        <v>3</v>
      </c>
      <c r="F8" t="s">
        <v>18</v>
      </c>
      <c r="G8">
        <f t="shared" si="1"/>
        <v>-30.79</v>
      </c>
      <c r="H8" t="str">
        <f>VLOOKUP(Tabel1[[#This Row],[categorie]],Lijst!A:B,2,FALSE)</f>
        <v>Vast</v>
      </c>
      <c r="I8" t="str">
        <f t="shared" si="2"/>
        <v>OK</v>
      </c>
    </row>
    <row r="9" spans="1:9" hidden="1" x14ac:dyDescent="0.3">
      <c r="A9" s="2">
        <v>45659</v>
      </c>
      <c r="B9" t="str">
        <f t="shared" si="0"/>
        <v xml:space="preserve">januari </v>
      </c>
      <c r="C9">
        <v>-13.15</v>
      </c>
      <c r="D9" t="s">
        <v>13</v>
      </c>
      <c r="F9" t="s">
        <v>18</v>
      </c>
      <c r="G9">
        <f t="shared" si="1"/>
        <v>-13.15</v>
      </c>
      <c r="H9" t="str">
        <f>VLOOKUP(Tabel1[[#This Row],[categorie]],Lijst!A:B,2,FALSE)</f>
        <v>Vast</v>
      </c>
      <c r="I9" t="str">
        <f t="shared" si="2"/>
        <v>OK</v>
      </c>
    </row>
    <row r="10" spans="1:9" hidden="1" x14ac:dyDescent="0.3">
      <c r="A10" s="2">
        <v>45659</v>
      </c>
      <c r="B10" t="str">
        <f t="shared" si="0"/>
        <v xml:space="preserve">januari </v>
      </c>
      <c r="C10">
        <v>-11.25</v>
      </c>
      <c r="D10" t="s">
        <v>3</v>
      </c>
      <c r="F10" t="s">
        <v>18</v>
      </c>
      <c r="G10">
        <f t="shared" si="1"/>
        <v>-11.25</v>
      </c>
      <c r="H10" t="str">
        <f>VLOOKUP(Tabel1[[#This Row],[categorie]],Lijst!A:B,2,FALSE)</f>
        <v>Vast</v>
      </c>
      <c r="I10" t="str">
        <f t="shared" si="2"/>
        <v>OK</v>
      </c>
    </row>
    <row r="11" spans="1:9" hidden="1" x14ac:dyDescent="0.3">
      <c r="A11" s="2">
        <v>45659</v>
      </c>
      <c r="B11" t="str">
        <f t="shared" si="0"/>
        <v xml:space="preserve">januari </v>
      </c>
      <c r="C11">
        <v>-5</v>
      </c>
      <c r="D11" t="s">
        <v>13</v>
      </c>
      <c r="F11" t="s">
        <v>18</v>
      </c>
      <c r="G11">
        <f t="shared" si="1"/>
        <v>-5</v>
      </c>
      <c r="H11" t="str">
        <f>VLOOKUP(Tabel1[[#This Row],[categorie]],Lijst!A:B,2,FALSE)</f>
        <v>Vast</v>
      </c>
      <c r="I11" t="str">
        <f t="shared" si="2"/>
        <v>OK</v>
      </c>
    </row>
    <row r="12" spans="1:9" hidden="1" x14ac:dyDescent="0.3">
      <c r="A12" s="2">
        <v>45659</v>
      </c>
      <c r="B12" t="str">
        <f t="shared" si="0"/>
        <v xml:space="preserve">januari </v>
      </c>
      <c r="C12">
        <v>-3.27</v>
      </c>
      <c r="D12" t="s">
        <v>3</v>
      </c>
      <c r="F12" t="s">
        <v>18</v>
      </c>
      <c r="G12">
        <f t="shared" si="1"/>
        <v>-3.27</v>
      </c>
      <c r="H12" t="str">
        <f>VLOOKUP(Tabel1[[#This Row],[categorie]],Lijst!A:B,2,FALSE)</f>
        <v>Vast</v>
      </c>
      <c r="I12" t="str">
        <f t="shared" si="2"/>
        <v>OK</v>
      </c>
    </row>
    <row r="13" spans="1:9" hidden="1" x14ac:dyDescent="0.3">
      <c r="A13" s="2">
        <v>45659</v>
      </c>
      <c r="B13" t="str">
        <f t="shared" si="0"/>
        <v xml:space="preserve">januari </v>
      </c>
      <c r="C13">
        <v>-1</v>
      </c>
      <c r="D13" t="s">
        <v>22</v>
      </c>
      <c r="F13" t="s">
        <v>18</v>
      </c>
      <c r="G13">
        <f t="shared" si="1"/>
        <v>-1</v>
      </c>
      <c r="H13" t="str">
        <f>VLOOKUP(Tabel1[[#This Row],[categorie]],Lijst!A:B,2,FALSE)</f>
        <v>Variabel</v>
      </c>
      <c r="I13" t="str">
        <f t="shared" si="2"/>
        <v>OK</v>
      </c>
    </row>
    <row r="14" spans="1:9" hidden="1" x14ac:dyDescent="0.3">
      <c r="A14" s="2">
        <v>45660</v>
      </c>
      <c r="B14" t="str">
        <f t="shared" si="0"/>
        <v xml:space="preserve">januari </v>
      </c>
      <c r="C14">
        <v>-121.5</v>
      </c>
      <c r="D14" t="s">
        <v>11</v>
      </c>
      <c r="F14" t="s">
        <v>18</v>
      </c>
      <c r="G14">
        <f t="shared" si="1"/>
        <v>-121.5</v>
      </c>
      <c r="H14" t="str">
        <f>VLOOKUP(Tabel1[[#This Row],[categorie]],Lijst!A:B,2,FALSE)</f>
        <v>Vast</v>
      </c>
      <c r="I14" t="str">
        <f t="shared" si="2"/>
        <v>OK</v>
      </c>
    </row>
    <row r="15" spans="1:9" hidden="1" x14ac:dyDescent="0.3">
      <c r="A15" s="2">
        <v>45660</v>
      </c>
      <c r="B15" t="str">
        <f t="shared" si="0"/>
        <v xml:space="preserve">januari </v>
      </c>
      <c r="C15">
        <v>-65.95</v>
      </c>
      <c r="D15" t="s">
        <v>35</v>
      </c>
      <c r="F15" t="s">
        <v>18</v>
      </c>
      <c r="G15">
        <f t="shared" si="1"/>
        <v>-65.95</v>
      </c>
      <c r="H15" t="str">
        <f>VLOOKUP(Tabel1[[#This Row],[categorie]],Lijst!A:B,2,FALSE)</f>
        <v>Variabel</v>
      </c>
      <c r="I15" t="str">
        <f t="shared" si="2"/>
        <v>OK</v>
      </c>
    </row>
    <row r="16" spans="1:9" hidden="1" x14ac:dyDescent="0.3">
      <c r="A16" s="2">
        <v>45660</v>
      </c>
      <c r="B16" t="str">
        <f t="shared" si="0"/>
        <v xml:space="preserve">januari </v>
      </c>
      <c r="C16">
        <v>-56.7</v>
      </c>
      <c r="D16" t="s">
        <v>21</v>
      </c>
      <c r="F16" t="s">
        <v>18</v>
      </c>
      <c r="G16">
        <f t="shared" si="1"/>
        <v>-56.7</v>
      </c>
      <c r="H16" t="str">
        <f>VLOOKUP(Tabel1[[#This Row],[categorie]],Lijst!A:B,2,FALSE)</f>
        <v>Variabel</v>
      </c>
      <c r="I16" t="str">
        <f t="shared" si="2"/>
        <v>OK</v>
      </c>
    </row>
    <row r="17" spans="1:9" hidden="1" x14ac:dyDescent="0.3">
      <c r="A17" s="2">
        <v>45660</v>
      </c>
      <c r="B17" t="str">
        <f t="shared" si="0"/>
        <v xml:space="preserve">januari </v>
      </c>
      <c r="C17">
        <v>-25</v>
      </c>
      <c r="D17" t="s">
        <v>35</v>
      </c>
      <c r="F17" t="s">
        <v>18</v>
      </c>
      <c r="G17">
        <f t="shared" si="1"/>
        <v>-25</v>
      </c>
      <c r="H17" t="str">
        <f>VLOOKUP(Tabel1[[#This Row],[categorie]],Lijst!A:B,2,FALSE)</f>
        <v>Variabel</v>
      </c>
      <c r="I17" t="str">
        <f t="shared" si="2"/>
        <v>OK</v>
      </c>
    </row>
    <row r="18" spans="1:9" hidden="1" x14ac:dyDescent="0.3">
      <c r="A18" s="2">
        <v>45660</v>
      </c>
      <c r="B18" t="str">
        <f t="shared" si="0"/>
        <v xml:space="preserve">januari </v>
      </c>
      <c r="C18">
        <v>-21.94</v>
      </c>
      <c r="D18" t="s">
        <v>9</v>
      </c>
      <c r="F18" t="s">
        <v>18</v>
      </c>
      <c r="G18">
        <f t="shared" si="1"/>
        <v>-21.94</v>
      </c>
      <c r="H18" t="str">
        <f>VLOOKUP(Tabel1[[#This Row],[categorie]],Lijst!A:B,2,FALSE)</f>
        <v>Variabel</v>
      </c>
      <c r="I18" t="str">
        <f t="shared" si="2"/>
        <v>OK</v>
      </c>
    </row>
    <row r="19" spans="1:9" hidden="1" x14ac:dyDescent="0.3">
      <c r="A19" s="2">
        <v>45660</v>
      </c>
      <c r="B19" t="str">
        <f t="shared" si="0"/>
        <v xml:space="preserve">januari </v>
      </c>
      <c r="C19">
        <v>-19.95</v>
      </c>
      <c r="D19" t="s">
        <v>14</v>
      </c>
      <c r="F19" t="s">
        <v>18</v>
      </c>
      <c r="G19">
        <f t="shared" si="1"/>
        <v>-19.95</v>
      </c>
      <c r="H19" t="str">
        <f>VLOOKUP(Tabel1[[#This Row],[categorie]],Lijst!A:B,2,FALSE)</f>
        <v>Variabel</v>
      </c>
      <c r="I19" t="str">
        <f t="shared" si="2"/>
        <v>OK</v>
      </c>
    </row>
    <row r="20" spans="1:9" hidden="1" x14ac:dyDescent="0.3">
      <c r="A20" s="2">
        <v>45660</v>
      </c>
      <c r="B20" t="str">
        <f t="shared" si="0"/>
        <v xml:space="preserve">januari </v>
      </c>
      <c r="C20">
        <v>-14</v>
      </c>
      <c r="D20" t="s">
        <v>14</v>
      </c>
      <c r="F20" t="s">
        <v>18</v>
      </c>
      <c r="G20">
        <f t="shared" si="1"/>
        <v>-14</v>
      </c>
      <c r="H20" t="str">
        <f>VLOOKUP(Tabel1[[#This Row],[categorie]],Lijst!A:B,2,FALSE)</f>
        <v>Variabel</v>
      </c>
      <c r="I20" t="str">
        <f t="shared" si="2"/>
        <v>OK</v>
      </c>
    </row>
    <row r="21" spans="1:9" hidden="1" x14ac:dyDescent="0.3">
      <c r="A21" s="2">
        <v>45660</v>
      </c>
      <c r="B21" t="str">
        <f t="shared" si="0"/>
        <v xml:space="preserve">januari </v>
      </c>
      <c r="C21">
        <v>-10.37</v>
      </c>
      <c r="D21" t="s">
        <v>13</v>
      </c>
      <c r="F21" t="s">
        <v>18</v>
      </c>
      <c r="G21">
        <f t="shared" si="1"/>
        <v>-10.37</v>
      </c>
      <c r="H21" t="str">
        <f>VLOOKUP(Tabel1[[#This Row],[categorie]],Lijst!A:B,2,FALSE)</f>
        <v>Vast</v>
      </c>
      <c r="I21" t="str">
        <f t="shared" si="2"/>
        <v>OK</v>
      </c>
    </row>
    <row r="22" spans="1:9" hidden="1" x14ac:dyDescent="0.3">
      <c r="A22" s="2">
        <v>45660</v>
      </c>
      <c r="B22" t="str">
        <f t="shared" si="0"/>
        <v xml:space="preserve">januari </v>
      </c>
      <c r="C22">
        <v>-5</v>
      </c>
      <c r="D22" t="s">
        <v>13</v>
      </c>
      <c r="F22" t="s">
        <v>18</v>
      </c>
      <c r="G22">
        <f t="shared" si="1"/>
        <v>-5</v>
      </c>
      <c r="H22" t="str">
        <f>VLOOKUP(Tabel1[[#This Row],[categorie]],Lijst!A:B,2,FALSE)</f>
        <v>Vast</v>
      </c>
      <c r="I22" t="str">
        <f t="shared" si="2"/>
        <v>OK</v>
      </c>
    </row>
    <row r="23" spans="1:9" hidden="1" x14ac:dyDescent="0.3">
      <c r="A23" s="2">
        <v>45660</v>
      </c>
      <c r="B23" t="str">
        <f t="shared" si="0"/>
        <v xml:space="preserve">januari </v>
      </c>
      <c r="C23">
        <v>-4.2</v>
      </c>
      <c r="D23" t="s">
        <v>3</v>
      </c>
      <c r="F23" t="s">
        <v>18</v>
      </c>
      <c r="G23">
        <f t="shared" si="1"/>
        <v>-4.2</v>
      </c>
      <c r="H23" t="str">
        <f>VLOOKUP(Tabel1[[#This Row],[categorie]],Lijst!A:B,2,FALSE)</f>
        <v>Vast</v>
      </c>
      <c r="I23" t="str">
        <f t="shared" si="2"/>
        <v>OK</v>
      </c>
    </row>
    <row r="24" spans="1:9" hidden="1" x14ac:dyDescent="0.3">
      <c r="A24" s="2">
        <v>45660</v>
      </c>
      <c r="B24" t="str">
        <f t="shared" si="0"/>
        <v xml:space="preserve">januari </v>
      </c>
      <c r="C24">
        <v>-2.75</v>
      </c>
      <c r="D24" t="s">
        <v>3</v>
      </c>
      <c r="F24" t="s">
        <v>18</v>
      </c>
      <c r="G24">
        <f t="shared" si="1"/>
        <v>-2.75</v>
      </c>
      <c r="H24" t="str">
        <f>VLOOKUP(Tabel1[[#This Row],[categorie]],Lijst!A:B,2,FALSE)</f>
        <v>Vast</v>
      </c>
      <c r="I24" t="str">
        <f t="shared" si="2"/>
        <v>OK</v>
      </c>
    </row>
    <row r="25" spans="1:9" hidden="1" x14ac:dyDescent="0.3">
      <c r="A25" s="2">
        <v>45660</v>
      </c>
      <c r="B25" t="str">
        <f t="shared" si="0"/>
        <v xml:space="preserve">januari </v>
      </c>
      <c r="C25">
        <v>-1.5</v>
      </c>
      <c r="D25" t="s">
        <v>26</v>
      </c>
      <c r="F25" t="s">
        <v>18</v>
      </c>
      <c r="G25">
        <f t="shared" si="1"/>
        <v>-1.5</v>
      </c>
      <c r="H25" t="str">
        <f>VLOOKUP(Tabel1[[#This Row],[categorie]],Lijst!A:B,2,FALSE)</f>
        <v>Variabel</v>
      </c>
      <c r="I25" t="str">
        <f t="shared" si="2"/>
        <v>OK</v>
      </c>
    </row>
    <row r="26" spans="1:9" hidden="1" x14ac:dyDescent="0.3">
      <c r="A26" s="2">
        <v>45660</v>
      </c>
      <c r="B26" t="str">
        <f t="shared" si="0"/>
        <v xml:space="preserve">januari </v>
      </c>
      <c r="C26">
        <v>-1.5</v>
      </c>
      <c r="D26" t="s">
        <v>26</v>
      </c>
      <c r="F26" t="s">
        <v>18</v>
      </c>
      <c r="G26">
        <f t="shared" si="1"/>
        <v>-1.5</v>
      </c>
      <c r="H26" t="str">
        <f>VLOOKUP(Tabel1[[#This Row],[categorie]],Lijst!A:B,2,FALSE)</f>
        <v>Variabel</v>
      </c>
      <c r="I26" t="str">
        <f t="shared" si="2"/>
        <v>OK</v>
      </c>
    </row>
    <row r="27" spans="1:9" hidden="1" x14ac:dyDescent="0.3">
      <c r="A27" s="2">
        <v>45660</v>
      </c>
      <c r="B27" t="str">
        <f t="shared" si="0"/>
        <v xml:space="preserve">januari </v>
      </c>
      <c r="C27">
        <v>-0.94</v>
      </c>
      <c r="D27" t="s">
        <v>32</v>
      </c>
      <c r="F27" t="s">
        <v>18</v>
      </c>
      <c r="G27">
        <f t="shared" si="1"/>
        <v>-0.94</v>
      </c>
      <c r="H27" t="str">
        <f>VLOOKUP(Tabel1[[#This Row],[categorie]],Lijst!A:B,2,FALSE)</f>
        <v>Variabel</v>
      </c>
      <c r="I27" t="str">
        <f t="shared" si="2"/>
        <v>OK</v>
      </c>
    </row>
    <row r="28" spans="1:9" hidden="1" x14ac:dyDescent="0.3">
      <c r="A28" s="2">
        <v>45661</v>
      </c>
      <c r="B28" t="str">
        <f t="shared" si="0"/>
        <v xml:space="preserve">januari </v>
      </c>
      <c r="C28">
        <v>-25</v>
      </c>
      <c r="D28" t="s">
        <v>43</v>
      </c>
      <c r="F28" t="s">
        <v>18</v>
      </c>
      <c r="G28">
        <f t="shared" si="1"/>
        <v>-25</v>
      </c>
      <c r="H28" t="str">
        <f>VLOOKUP(Tabel1[[#This Row],[categorie]],Lijst!A:B,2,FALSE)</f>
        <v>Vast</v>
      </c>
      <c r="I28" t="str">
        <f t="shared" si="2"/>
        <v>OK</v>
      </c>
    </row>
    <row r="29" spans="1:9" hidden="1" x14ac:dyDescent="0.3">
      <c r="A29" s="2">
        <v>45661</v>
      </c>
      <c r="B29" t="str">
        <f t="shared" si="0"/>
        <v xml:space="preserve">januari </v>
      </c>
      <c r="C29">
        <v>-8.1</v>
      </c>
      <c r="D29" t="s">
        <v>3</v>
      </c>
      <c r="F29" t="s">
        <v>18</v>
      </c>
      <c r="G29">
        <f t="shared" si="1"/>
        <v>-8.1</v>
      </c>
      <c r="H29" t="str">
        <f>VLOOKUP(Tabel1[[#This Row],[categorie]],Lijst!A:B,2,FALSE)</f>
        <v>Vast</v>
      </c>
      <c r="I29" t="str">
        <f t="shared" si="2"/>
        <v>OK</v>
      </c>
    </row>
    <row r="30" spans="1:9" hidden="1" x14ac:dyDescent="0.3">
      <c r="A30" s="2">
        <v>45661</v>
      </c>
      <c r="B30" t="str">
        <f t="shared" si="0"/>
        <v xml:space="preserve">januari </v>
      </c>
      <c r="C30">
        <v>-5.99</v>
      </c>
      <c r="D30" t="s">
        <v>48</v>
      </c>
      <c r="F30" t="s">
        <v>18</v>
      </c>
      <c r="G30">
        <f t="shared" si="1"/>
        <v>-5.99</v>
      </c>
      <c r="H30" t="str">
        <f>VLOOKUP(Tabel1[[#This Row],[categorie]],Lijst!A:B,2,FALSE)</f>
        <v>Variabel</v>
      </c>
      <c r="I30" t="str">
        <f t="shared" si="2"/>
        <v>OK</v>
      </c>
    </row>
    <row r="31" spans="1:9" hidden="1" x14ac:dyDescent="0.3">
      <c r="A31" s="2">
        <v>45661</v>
      </c>
      <c r="B31" t="str">
        <f t="shared" si="0"/>
        <v xml:space="preserve">januari </v>
      </c>
      <c r="C31">
        <v>6</v>
      </c>
      <c r="D31" t="s">
        <v>48</v>
      </c>
      <c r="F31" t="s">
        <v>17</v>
      </c>
      <c r="G31">
        <f t="shared" si="1"/>
        <v>6</v>
      </c>
      <c r="H31" t="str">
        <f>VLOOKUP(Tabel1[[#This Row],[categorie]],Lijst!A:B,2,FALSE)</f>
        <v>Variabel</v>
      </c>
      <c r="I31" t="str">
        <f t="shared" si="2"/>
        <v>OK</v>
      </c>
    </row>
    <row r="32" spans="1:9" hidden="1" x14ac:dyDescent="0.3">
      <c r="A32" s="2">
        <v>45662</v>
      </c>
      <c r="B32" t="str">
        <f t="shared" si="0"/>
        <v xml:space="preserve">januari </v>
      </c>
      <c r="C32">
        <v>-94.5</v>
      </c>
      <c r="D32" t="s">
        <v>21</v>
      </c>
      <c r="F32" t="s">
        <v>18</v>
      </c>
      <c r="G32">
        <f t="shared" si="1"/>
        <v>-94.5</v>
      </c>
      <c r="H32" t="str">
        <f>VLOOKUP(Tabel1[[#This Row],[categorie]],Lijst!A:B,2,FALSE)</f>
        <v>Variabel</v>
      </c>
      <c r="I32" t="str">
        <f t="shared" si="2"/>
        <v>OK</v>
      </c>
    </row>
    <row r="33" spans="1:9" hidden="1" x14ac:dyDescent="0.3">
      <c r="A33" s="2">
        <v>45662</v>
      </c>
      <c r="B33" t="str">
        <f t="shared" si="0"/>
        <v xml:space="preserve">januari </v>
      </c>
      <c r="C33">
        <v>-5.36</v>
      </c>
      <c r="D33" t="s">
        <v>32</v>
      </c>
      <c r="F33" t="s">
        <v>18</v>
      </c>
      <c r="G33">
        <f t="shared" si="1"/>
        <v>-5.36</v>
      </c>
      <c r="H33" t="str">
        <f>VLOOKUP(Tabel1[[#This Row],[categorie]],Lijst!A:B,2,FALSE)</f>
        <v>Variabel</v>
      </c>
      <c r="I33" t="str">
        <f t="shared" si="2"/>
        <v>OK</v>
      </c>
    </row>
    <row r="34" spans="1:9" hidden="1" x14ac:dyDescent="0.3">
      <c r="A34" s="2">
        <v>45663</v>
      </c>
      <c r="B34" t="str">
        <f t="shared" si="0"/>
        <v xml:space="preserve">januari </v>
      </c>
      <c r="C34">
        <v>-632.77</v>
      </c>
      <c r="D34" t="s">
        <v>14</v>
      </c>
      <c r="F34" t="s">
        <v>18</v>
      </c>
      <c r="G34">
        <f t="shared" si="1"/>
        <v>-632.77</v>
      </c>
      <c r="H34" t="str">
        <f>VLOOKUP(Tabel1[[#This Row],[categorie]],Lijst!A:B,2,FALSE)</f>
        <v>Variabel</v>
      </c>
      <c r="I34" t="str">
        <f t="shared" si="2"/>
        <v>OK</v>
      </c>
    </row>
    <row r="35" spans="1:9" hidden="1" x14ac:dyDescent="0.3">
      <c r="A35" s="2">
        <v>45663</v>
      </c>
      <c r="B35" t="str">
        <f t="shared" ref="B35:B98" si="3">TEXT(A35,"mmmm ")</f>
        <v xml:space="preserve">januari </v>
      </c>
      <c r="C35">
        <v>-92.96</v>
      </c>
      <c r="D35" t="s">
        <v>47</v>
      </c>
      <c r="F35" t="s">
        <v>18</v>
      </c>
      <c r="G35">
        <f t="shared" ref="G35:G98" si="4">IF(F35="Uitgave", -ABS(C35), ABS(C35))</f>
        <v>-92.96</v>
      </c>
      <c r="H35" t="str">
        <f>VLOOKUP(Tabel1[[#This Row],[categorie]],Lijst!A:B,2,FALSE)</f>
        <v>Variabel</v>
      </c>
      <c r="I35" t="str">
        <f t="shared" ref="I35:I98" si="5">IF(OR(AND(F35="Uitgave", C35&lt;0), AND(F35="Inkomst", C35&gt;0)), "OK", "FOUT")</f>
        <v>OK</v>
      </c>
    </row>
    <row r="36" spans="1:9" hidden="1" x14ac:dyDescent="0.3">
      <c r="A36" s="2">
        <v>45663</v>
      </c>
      <c r="B36" t="str">
        <f t="shared" si="3"/>
        <v xml:space="preserve">januari </v>
      </c>
      <c r="C36">
        <v>-19.149999999999999</v>
      </c>
      <c r="D36" t="s">
        <v>35</v>
      </c>
      <c r="F36" t="s">
        <v>18</v>
      </c>
      <c r="G36">
        <f t="shared" si="4"/>
        <v>-19.149999999999999</v>
      </c>
      <c r="H36" t="str">
        <f>VLOOKUP(Tabel1[[#This Row],[categorie]],Lijst!A:B,2,FALSE)</f>
        <v>Variabel</v>
      </c>
      <c r="I36" t="str">
        <f t="shared" si="5"/>
        <v>OK</v>
      </c>
    </row>
    <row r="37" spans="1:9" hidden="1" x14ac:dyDescent="0.3">
      <c r="A37" s="2">
        <v>45663</v>
      </c>
      <c r="B37" t="str">
        <f t="shared" si="3"/>
        <v xml:space="preserve">januari </v>
      </c>
      <c r="C37">
        <v>-18.89</v>
      </c>
      <c r="D37" t="s">
        <v>3</v>
      </c>
      <c r="F37" t="s">
        <v>18</v>
      </c>
      <c r="G37">
        <f t="shared" si="4"/>
        <v>-18.89</v>
      </c>
      <c r="H37" t="str">
        <f>VLOOKUP(Tabel1[[#This Row],[categorie]],Lijst!A:B,2,FALSE)</f>
        <v>Vast</v>
      </c>
      <c r="I37" t="str">
        <f t="shared" si="5"/>
        <v>OK</v>
      </c>
    </row>
    <row r="38" spans="1:9" hidden="1" x14ac:dyDescent="0.3">
      <c r="A38" s="2">
        <v>45663</v>
      </c>
      <c r="B38" t="str">
        <f t="shared" si="3"/>
        <v xml:space="preserve">januari </v>
      </c>
      <c r="C38">
        <v>-8.8800000000000008</v>
      </c>
      <c r="D38" t="s">
        <v>3</v>
      </c>
      <c r="F38" t="s">
        <v>18</v>
      </c>
      <c r="G38">
        <f t="shared" si="4"/>
        <v>-8.8800000000000008</v>
      </c>
      <c r="H38" t="str">
        <f>VLOOKUP(Tabel1[[#This Row],[categorie]],Lijst!A:B,2,FALSE)</f>
        <v>Vast</v>
      </c>
      <c r="I38" t="str">
        <f t="shared" si="5"/>
        <v>OK</v>
      </c>
    </row>
    <row r="39" spans="1:9" hidden="1" x14ac:dyDescent="0.3">
      <c r="A39" s="2">
        <v>45663</v>
      </c>
      <c r="B39" t="str">
        <f t="shared" si="3"/>
        <v xml:space="preserve">januari </v>
      </c>
      <c r="C39">
        <v>-6.99</v>
      </c>
      <c r="D39" t="s">
        <v>13</v>
      </c>
      <c r="F39" t="s">
        <v>18</v>
      </c>
      <c r="G39">
        <f t="shared" si="4"/>
        <v>-6.99</v>
      </c>
      <c r="H39" t="str">
        <f>VLOOKUP(Tabel1[[#This Row],[categorie]],Lijst!A:B,2,FALSE)</f>
        <v>Vast</v>
      </c>
      <c r="I39" t="str">
        <f t="shared" si="5"/>
        <v>OK</v>
      </c>
    </row>
    <row r="40" spans="1:9" hidden="1" x14ac:dyDescent="0.3">
      <c r="A40" s="2">
        <v>45663</v>
      </c>
      <c r="B40" t="str">
        <f t="shared" si="3"/>
        <v xml:space="preserve">januari </v>
      </c>
      <c r="C40">
        <v>-6.95</v>
      </c>
      <c r="D40" t="s">
        <v>3</v>
      </c>
      <c r="F40" t="s">
        <v>18</v>
      </c>
      <c r="G40">
        <f t="shared" si="4"/>
        <v>-6.95</v>
      </c>
      <c r="H40" t="str">
        <f>VLOOKUP(Tabel1[[#This Row],[categorie]],Lijst!A:B,2,FALSE)</f>
        <v>Vast</v>
      </c>
      <c r="I40" t="str">
        <f t="shared" si="5"/>
        <v>OK</v>
      </c>
    </row>
    <row r="41" spans="1:9" hidden="1" x14ac:dyDescent="0.3">
      <c r="A41" s="2">
        <v>45663</v>
      </c>
      <c r="B41" t="str">
        <f t="shared" si="3"/>
        <v xml:space="preserve">januari </v>
      </c>
      <c r="C41">
        <v>-5.85</v>
      </c>
      <c r="D41" t="s">
        <v>3</v>
      </c>
      <c r="F41" t="s">
        <v>18</v>
      </c>
      <c r="G41">
        <f t="shared" si="4"/>
        <v>-5.85</v>
      </c>
      <c r="H41" t="str">
        <f>VLOOKUP(Tabel1[[#This Row],[categorie]],Lijst!A:B,2,FALSE)</f>
        <v>Vast</v>
      </c>
      <c r="I41" t="str">
        <f t="shared" si="5"/>
        <v>OK</v>
      </c>
    </row>
    <row r="42" spans="1:9" hidden="1" x14ac:dyDescent="0.3">
      <c r="A42" s="2">
        <v>45663</v>
      </c>
      <c r="B42" t="str">
        <f t="shared" si="3"/>
        <v xml:space="preserve">januari </v>
      </c>
      <c r="C42">
        <v>-5</v>
      </c>
      <c r="D42" t="s">
        <v>13</v>
      </c>
      <c r="F42" t="s">
        <v>18</v>
      </c>
      <c r="G42">
        <f t="shared" si="4"/>
        <v>-5</v>
      </c>
      <c r="H42" t="str">
        <f>VLOOKUP(Tabel1[[#This Row],[categorie]],Lijst!A:B,2,FALSE)</f>
        <v>Vast</v>
      </c>
      <c r="I42" t="str">
        <f t="shared" si="5"/>
        <v>OK</v>
      </c>
    </row>
    <row r="43" spans="1:9" hidden="1" x14ac:dyDescent="0.3">
      <c r="A43" s="2">
        <v>45663</v>
      </c>
      <c r="B43" t="str">
        <f t="shared" si="3"/>
        <v xml:space="preserve">januari </v>
      </c>
      <c r="C43">
        <v>-5</v>
      </c>
      <c r="D43" t="s">
        <v>13</v>
      </c>
      <c r="F43" t="s">
        <v>18</v>
      </c>
      <c r="G43">
        <f t="shared" si="4"/>
        <v>-5</v>
      </c>
      <c r="H43" t="str">
        <f>VLOOKUP(Tabel1[[#This Row],[categorie]],Lijst!A:B,2,FALSE)</f>
        <v>Vast</v>
      </c>
      <c r="I43" t="str">
        <f t="shared" si="5"/>
        <v>OK</v>
      </c>
    </row>
    <row r="44" spans="1:9" hidden="1" x14ac:dyDescent="0.3">
      <c r="A44" s="2">
        <v>45663</v>
      </c>
      <c r="B44" t="str">
        <f t="shared" si="3"/>
        <v xml:space="preserve">januari </v>
      </c>
      <c r="C44">
        <v>-4.99</v>
      </c>
      <c r="D44" t="s">
        <v>3</v>
      </c>
      <c r="F44" t="s">
        <v>18</v>
      </c>
      <c r="G44">
        <f t="shared" si="4"/>
        <v>-4.99</v>
      </c>
      <c r="H44" t="str">
        <f>VLOOKUP(Tabel1[[#This Row],[categorie]],Lijst!A:B,2,FALSE)</f>
        <v>Vast</v>
      </c>
      <c r="I44" t="str">
        <f t="shared" si="5"/>
        <v>OK</v>
      </c>
    </row>
    <row r="45" spans="1:9" hidden="1" x14ac:dyDescent="0.3">
      <c r="A45" s="2">
        <v>45663</v>
      </c>
      <c r="B45" t="str">
        <f t="shared" si="3"/>
        <v xml:space="preserve">januari </v>
      </c>
      <c r="C45">
        <v>-3.9</v>
      </c>
      <c r="D45" t="s">
        <v>82</v>
      </c>
      <c r="F45" t="s">
        <v>18</v>
      </c>
      <c r="G45">
        <f t="shared" si="4"/>
        <v>-3.9</v>
      </c>
      <c r="H45" t="str">
        <f>VLOOKUP(Tabel1[[#This Row],[categorie]],Lijst!A:B,2,FALSE)</f>
        <v>Vast</v>
      </c>
      <c r="I45" t="str">
        <f t="shared" si="5"/>
        <v>OK</v>
      </c>
    </row>
    <row r="46" spans="1:9" hidden="1" x14ac:dyDescent="0.3">
      <c r="A46" s="2">
        <v>45663</v>
      </c>
      <c r="B46" t="str">
        <f t="shared" si="3"/>
        <v xml:space="preserve">januari </v>
      </c>
      <c r="C46">
        <v>-3.85</v>
      </c>
      <c r="D46" t="s">
        <v>13</v>
      </c>
      <c r="F46" t="s">
        <v>18</v>
      </c>
      <c r="G46">
        <f t="shared" si="4"/>
        <v>-3.85</v>
      </c>
      <c r="H46" t="str">
        <f>VLOOKUP(Tabel1[[#This Row],[categorie]],Lijst!A:B,2,FALSE)</f>
        <v>Vast</v>
      </c>
      <c r="I46" t="str">
        <f t="shared" si="5"/>
        <v>OK</v>
      </c>
    </row>
    <row r="47" spans="1:9" hidden="1" x14ac:dyDescent="0.3">
      <c r="A47" s="2">
        <v>45663</v>
      </c>
      <c r="B47" t="str">
        <f t="shared" si="3"/>
        <v xml:space="preserve">januari </v>
      </c>
      <c r="C47">
        <v>-2.1</v>
      </c>
      <c r="D47" t="s">
        <v>35</v>
      </c>
      <c r="F47" t="s">
        <v>18</v>
      </c>
      <c r="G47">
        <f t="shared" si="4"/>
        <v>-2.1</v>
      </c>
      <c r="H47" t="str">
        <f>VLOOKUP(Tabel1[[#This Row],[categorie]],Lijst!A:B,2,FALSE)</f>
        <v>Variabel</v>
      </c>
      <c r="I47" t="str">
        <f t="shared" si="5"/>
        <v>OK</v>
      </c>
    </row>
    <row r="48" spans="1:9" hidden="1" x14ac:dyDescent="0.3">
      <c r="A48" s="2">
        <v>45663</v>
      </c>
      <c r="B48" t="str">
        <f t="shared" si="3"/>
        <v xml:space="preserve">januari </v>
      </c>
      <c r="C48">
        <v>-1.5</v>
      </c>
      <c r="D48" t="s">
        <v>26</v>
      </c>
      <c r="F48" t="s">
        <v>18</v>
      </c>
      <c r="G48">
        <f t="shared" si="4"/>
        <v>-1.5</v>
      </c>
      <c r="H48" t="str">
        <f>VLOOKUP(Tabel1[[#This Row],[categorie]],Lijst!A:B,2,FALSE)</f>
        <v>Variabel</v>
      </c>
      <c r="I48" t="str">
        <f t="shared" si="5"/>
        <v>OK</v>
      </c>
    </row>
    <row r="49" spans="1:9" hidden="1" x14ac:dyDescent="0.3">
      <c r="A49" s="2">
        <v>45663</v>
      </c>
      <c r="B49" t="str">
        <f t="shared" si="3"/>
        <v xml:space="preserve">januari </v>
      </c>
      <c r="C49">
        <v>-1.5</v>
      </c>
      <c r="D49" t="s">
        <v>26</v>
      </c>
      <c r="F49" t="s">
        <v>18</v>
      </c>
      <c r="G49">
        <f t="shared" si="4"/>
        <v>-1.5</v>
      </c>
      <c r="H49" t="str">
        <f>VLOOKUP(Tabel1[[#This Row],[categorie]],Lijst!A:B,2,FALSE)</f>
        <v>Variabel</v>
      </c>
      <c r="I49" t="str">
        <f t="shared" si="5"/>
        <v>OK</v>
      </c>
    </row>
    <row r="50" spans="1:9" hidden="1" x14ac:dyDescent="0.3">
      <c r="A50" s="2">
        <v>45663</v>
      </c>
      <c r="B50" t="str">
        <f t="shared" si="3"/>
        <v xml:space="preserve">januari </v>
      </c>
      <c r="C50">
        <v>-0.74</v>
      </c>
      <c r="D50" t="s">
        <v>22</v>
      </c>
      <c r="F50" t="s">
        <v>18</v>
      </c>
      <c r="G50">
        <f t="shared" si="4"/>
        <v>-0.74</v>
      </c>
      <c r="H50" t="str">
        <f>VLOOKUP(Tabel1[[#This Row],[categorie]],Lijst!A:B,2,FALSE)</f>
        <v>Variabel</v>
      </c>
      <c r="I50" t="str">
        <f t="shared" si="5"/>
        <v>OK</v>
      </c>
    </row>
    <row r="51" spans="1:9" hidden="1" x14ac:dyDescent="0.3">
      <c r="A51" s="2">
        <v>45663</v>
      </c>
      <c r="B51" t="str">
        <f t="shared" si="3"/>
        <v xml:space="preserve">januari </v>
      </c>
      <c r="C51">
        <v>-0.1</v>
      </c>
      <c r="D51" t="s">
        <v>75</v>
      </c>
      <c r="F51" t="s">
        <v>18</v>
      </c>
      <c r="G51">
        <f t="shared" si="4"/>
        <v>-0.1</v>
      </c>
      <c r="H51" t="str">
        <f>VLOOKUP(Tabel1[[#This Row],[categorie]],Lijst!A:B,2,FALSE)</f>
        <v>Variabel</v>
      </c>
      <c r="I51" t="str">
        <f t="shared" si="5"/>
        <v>OK</v>
      </c>
    </row>
    <row r="52" spans="1:9" hidden="1" x14ac:dyDescent="0.3">
      <c r="A52" s="2">
        <v>45664</v>
      </c>
      <c r="B52" t="str">
        <f t="shared" si="3"/>
        <v xml:space="preserve">januari </v>
      </c>
      <c r="C52">
        <v>-50</v>
      </c>
      <c r="D52" t="s">
        <v>75</v>
      </c>
      <c r="F52" t="s">
        <v>18</v>
      </c>
      <c r="G52">
        <f t="shared" si="4"/>
        <v>-50</v>
      </c>
      <c r="H52" t="str">
        <f>VLOOKUP(Tabel1[[#This Row],[categorie]],Lijst!A:B,2,FALSE)</f>
        <v>Variabel</v>
      </c>
      <c r="I52" t="str">
        <f t="shared" si="5"/>
        <v>OK</v>
      </c>
    </row>
    <row r="53" spans="1:9" hidden="1" x14ac:dyDescent="0.3">
      <c r="A53" s="2">
        <v>45664</v>
      </c>
      <c r="B53" t="str">
        <f t="shared" si="3"/>
        <v xml:space="preserve">januari </v>
      </c>
      <c r="C53">
        <v>-28.51</v>
      </c>
      <c r="D53" t="s">
        <v>3</v>
      </c>
      <c r="F53" t="s">
        <v>18</v>
      </c>
      <c r="G53">
        <f t="shared" si="4"/>
        <v>-28.51</v>
      </c>
      <c r="H53" t="str">
        <f>VLOOKUP(Tabel1[[#This Row],[categorie]],Lijst!A:B,2,FALSE)</f>
        <v>Vast</v>
      </c>
      <c r="I53" t="str">
        <f t="shared" si="5"/>
        <v>OK</v>
      </c>
    </row>
    <row r="54" spans="1:9" hidden="1" x14ac:dyDescent="0.3">
      <c r="A54" s="2">
        <v>45664</v>
      </c>
      <c r="B54" t="str">
        <f t="shared" si="3"/>
        <v xml:space="preserve">januari </v>
      </c>
      <c r="C54">
        <v>-25</v>
      </c>
      <c r="D54" t="s">
        <v>74</v>
      </c>
      <c r="F54" t="s">
        <v>18</v>
      </c>
      <c r="G54">
        <f t="shared" si="4"/>
        <v>-25</v>
      </c>
      <c r="H54" t="str">
        <f>VLOOKUP(Tabel1[[#This Row],[categorie]],Lijst!A:B,2,FALSE)</f>
        <v>Variabel</v>
      </c>
      <c r="I54" t="str">
        <f t="shared" si="5"/>
        <v>OK</v>
      </c>
    </row>
    <row r="55" spans="1:9" hidden="1" x14ac:dyDescent="0.3">
      <c r="A55" s="2">
        <v>45664</v>
      </c>
      <c r="B55" t="str">
        <f t="shared" si="3"/>
        <v xml:space="preserve">januari </v>
      </c>
      <c r="C55">
        <v>-21.94</v>
      </c>
      <c r="D55" t="s">
        <v>9</v>
      </c>
      <c r="F55" t="s">
        <v>18</v>
      </c>
      <c r="G55">
        <f t="shared" si="4"/>
        <v>-21.94</v>
      </c>
      <c r="H55" t="str">
        <f>VLOOKUP(Tabel1[[#This Row],[categorie]],Lijst!A:B,2,FALSE)</f>
        <v>Variabel</v>
      </c>
      <c r="I55" t="str">
        <f t="shared" si="5"/>
        <v>OK</v>
      </c>
    </row>
    <row r="56" spans="1:9" hidden="1" x14ac:dyDescent="0.3">
      <c r="A56" s="2">
        <v>45664</v>
      </c>
      <c r="B56" t="str">
        <f t="shared" si="3"/>
        <v xml:space="preserve">januari </v>
      </c>
      <c r="C56">
        <v>-7.19</v>
      </c>
      <c r="D56" t="s">
        <v>3</v>
      </c>
      <c r="F56" t="s">
        <v>18</v>
      </c>
      <c r="G56">
        <f t="shared" si="4"/>
        <v>-7.19</v>
      </c>
      <c r="H56" t="str">
        <f>VLOOKUP(Tabel1[[#This Row],[categorie]],Lijst!A:B,2,FALSE)</f>
        <v>Vast</v>
      </c>
      <c r="I56" t="str">
        <f t="shared" si="5"/>
        <v>OK</v>
      </c>
    </row>
    <row r="57" spans="1:9" hidden="1" x14ac:dyDescent="0.3">
      <c r="A57" s="2">
        <v>45664</v>
      </c>
      <c r="B57" t="str">
        <f t="shared" si="3"/>
        <v xml:space="preserve">januari </v>
      </c>
      <c r="C57">
        <v>-5.5</v>
      </c>
      <c r="D57" t="s">
        <v>3</v>
      </c>
      <c r="F57" t="s">
        <v>18</v>
      </c>
      <c r="G57">
        <f t="shared" si="4"/>
        <v>-5.5</v>
      </c>
      <c r="H57" t="str">
        <f>VLOOKUP(Tabel1[[#This Row],[categorie]],Lijst!A:B,2,FALSE)</f>
        <v>Vast</v>
      </c>
      <c r="I57" t="str">
        <f t="shared" si="5"/>
        <v>OK</v>
      </c>
    </row>
    <row r="58" spans="1:9" hidden="1" x14ac:dyDescent="0.3">
      <c r="A58" s="2">
        <v>45664</v>
      </c>
      <c r="B58" t="str">
        <f t="shared" si="3"/>
        <v xml:space="preserve">januari </v>
      </c>
      <c r="C58">
        <v>-3.85</v>
      </c>
      <c r="D58" t="s">
        <v>3</v>
      </c>
      <c r="F58" t="s">
        <v>18</v>
      </c>
      <c r="G58">
        <f t="shared" si="4"/>
        <v>-3.85</v>
      </c>
      <c r="H58" t="str">
        <f>VLOOKUP(Tabel1[[#This Row],[categorie]],Lijst!A:B,2,FALSE)</f>
        <v>Vast</v>
      </c>
      <c r="I58" t="str">
        <f t="shared" si="5"/>
        <v>OK</v>
      </c>
    </row>
    <row r="59" spans="1:9" hidden="1" x14ac:dyDescent="0.3">
      <c r="A59" s="2">
        <v>45665</v>
      </c>
      <c r="B59" t="str">
        <f t="shared" si="3"/>
        <v xml:space="preserve">januari </v>
      </c>
      <c r="C59">
        <v>-810.65</v>
      </c>
      <c r="D59" t="s">
        <v>10</v>
      </c>
      <c r="F59" t="s">
        <v>18</v>
      </c>
      <c r="G59">
        <f t="shared" si="4"/>
        <v>-810.65</v>
      </c>
      <c r="H59" t="str">
        <f>VLOOKUP(Tabel1[[#This Row],[categorie]],Lijst!A:B,2,FALSE)</f>
        <v>Vast</v>
      </c>
      <c r="I59" t="str">
        <f t="shared" si="5"/>
        <v>OK</v>
      </c>
    </row>
    <row r="60" spans="1:9" hidden="1" x14ac:dyDescent="0.3">
      <c r="A60" s="2">
        <v>45665</v>
      </c>
      <c r="B60" t="str">
        <f t="shared" si="3"/>
        <v xml:space="preserve">januari </v>
      </c>
      <c r="C60">
        <v>-158.61000000000001</v>
      </c>
      <c r="D60" t="s">
        <v>48</v>
      </c>
      <c r="F60" t="s">
        <v>18</v>
      </c>
      <c r="G60">
        <f t="shared" si="4"/>
        <v>-158.61000000000001</v>
      </c>
      <c r="H60" t="str">
        <f>VLOOKUP(Tabel1[[#This Row],[categorie]],Lijst!A:B,2,FALSE)</f>
        <v>Variabel</v>
      </c>
      <c r="I60" t="str">
        <f t="shared" si="5"/>
        <v>OK</v>
      </c>
    </row>
    <row r="61" spans="1:9" hidden="1" x14ac:dyDescent="0.3">
      <c r="A61" s="2">
        <v>45665</v>
      </c>
      <c r="B61" t="str">
        <f t="shared" si="3"/>
        <v xml:space="preserve">januari </v>
      </c>
      <c r="C61">
        <v>-50.95</v>
      </c>
      <c r="D61" t="s">
        <v>14</v>
      </c>
      <c r="F61" t="s">
        <v>18</v>
      </c>
      <c r="G61">
        <f t="shared" si="4"/>
        <v>-50.95</v>
      </c>
      <c r="H61" t="str">
        <f>VLOOKUP(Tabel1[[#This Row],[categorie]],Lijst!A:B,2,FALSE)</f>
        <v>Variabel</v>
      </c>
      <c r="I61" t="str">
        <f t="shared" si="5"/>
        <v>OK</v>
      </c>
    </row>
    <row r="62" spans="1:9" hidden="1" x14ac:dyDescent="0.3">
      <c r="A62" s="2">
        <v>45665</v>
      </c>
      <c r="B62" t="str">
        <f t="shared" si="3"/>
        <v xml:space="preserve">januari </v>
      </c>
      <c r="C62">
        <v>-44.98</v>
      </c>
      <c r="D62" t="s">
        <v>13</v>
      </c>
      <c r="F62" t="s">
        <v>18</v>
      </c>
      <c r="G62">
        <f t="shared" si="4"/>
        <v>-44.98</v>
      </c>
      <c r="H62" t="str">
        <f>VLOOKUP(Tabel1[[#This Row],[categorie]],Lijst!A:B,2,FALSE)</f>
        <v>Vast</v>
      </c>
      <c r="I62" t="str">
        <f t="shared" si="5"/>
        <v>OK</v>
      </c>
    </row>
    <row r="63" spans="1:9" hidden="1" x14ac:dyDescent="0.3">
      <c r="A63" s="2">
        <v>45665</v>
      </c>
      <c r="B63" t="str">
        <f t="shared" si="3"/>
        <v xml:space="preserve">januari </v>
      </c>
      <c r="C63">
        <v>-33.450000000000003</v>
      </c>
      <c r="D63" t="s">
        <v>14</v>
      </c>
      <c r="F63" t="s">
        <v>18</v>
      </c>
      <c r="G63">
        <f t="shared" si="4"/>
        <v>-33.450000000000003</v>
      </c>
      <c r="H63" t="str">
        <f>VLOOKUP(Tabel1[[#This Row],[categorie]],Lijst!A:B,2,FALSE)</f>
        <v>Variabel</v>
      </c>
      <c r="I63" t="str">
        <f t="shared" si="5"/>
        <v>OK</v>
      </c>
    </row>
    <row r="64" spans="1:9" hidden="1" x14ac:dyDescent="0.3">
      <c r="A64" s="2">
        <v>45665</v>
      </c>
      <c r="B64" t="str">
        <f t="shared" si="3"/>
        <v xml:space="preserve">januari </v>
      </c>
      <c r="C64">
        <v>-25.95</v>
      </c>
      <c r="D64" t="s">
        <v>82</v>
      </c>
      <c r="F64" t="s">
        <v>18</v>
      </c>
      <c r="G64">
        <f t="shared" si="4"/>
        <v>-25.95</v>
      </c>
      <c r="H64" t="str">
        <f>VLOOKUP(Tabel1[[#This Row],[categorie]],Lijst!A:B,2,FALSE)</f>
        <v>Vast</v>
      </c>
      <c r="I64" t="str">
        <f t="shared" si="5"/>
        <v>OK</v>
      </c>
    </row>
    <row r="65" spans="1:9" hidden="1" x14ac:dyDescent="0.3">
      <c r="A65" s="2">
        <v>45665</v>
      </c>
      <c r="B65" t="str">
        <f t="shared" si="3"/>
        <v xml:space="preserve">januari </v>
      </c>
      <c r="C65">
        <v>-25.95</v>
      </c>
      <c r="D65" t="s">
        <v>82</v>
      </c>
      <c r="F65" t="s">
        <v>18</v>
      </c>
      <c r="G65">
        <f t="shared" si="4"/>
        <v>-25.95</v>
      </c>
      <c r="H65" t="str">
        <f>VLOOKUP(Tabel1[[#This Row],[categorie]],Lijst!A:B,2,FALSE)</f>
        <v>Vast</v>
      </c>
      <c r="I65" t="str">
        <f t="shared" si="5"/>
        <v>OK</v>
      </c>
    </row>
    <row r="66" spans="1:9" hidden="1" x14ac:dyDescent="0.3">
      <c r="A66" s="2">
        <v>45665</v>
      </c>
      <c r="B66" t="str">
        <f t="shared" si="3"/>
        <v xml:space="preserve">januari </v>
      </c>
      <c r="C66">
        <v>-20.71</v>
      </c>
      <c r="D66" t="s">
        <v>38</v>
      </c>
      <c r="F66" t="s">
        <v>18</v>
      </c>
      <c r="G66">
        <f t="shared" si="4"/>
        <v>-20.71</v>
      </c>
      <c r="H66" t="str">
        <f>VLOOKUP(Tabel1[[#This Row],[categorie]],Lijst!A:B,2,FALSE)</f>
        <v>Vast</v>
      </c>
      <c r="I66" t="str">
        <f t="shared" si="5"/>
        <v>OK</v>
      </c>
    </row>
    <row r="67" spans="1:9" hidden="1" x14ac:dyDescent="0.3">
      <c r="A67" s="2">
        <v>45665</v>
      </c>
      <c r="B67" t="str">
        <f t="shared" si="3"/>
        <v xml:space="preserve">januari </v>
      </c>
      <c r="C67">
        <v>-12.01</v>
      </c>
      <c r="D67" t="s">
        <v>46</v>
      </c>
      <c r="F67" t="s">
        <v>18</v>
      </c>
      <c r="G67">
        <f t="shared" si="4"/>
        <v>-12.01</v>
      </c>
      <c r="H67" t="str">
        <f>VLOOKUP(Tabel1[[#This Row],[categorie]],Lijst!A:B,2,FALSE)</f>
        <v>Vast</v>
      </c>
      <c r="I67" t="str">
        <f t="shared" si="5"/>
        <v>OK</v>
      </c>
    </row>
    <row r="68" spans="1:9" hidden="1" x14ac:dyDescent="0.3">
      <c r="A68" s="2">
        <v>45665</v>
      </c>
      <c r="B68" t="str">
        <f t="shared" si="3"/>
        <v xml:space="preserve">januari </v>
      </c>
      <c r="C68">
        <v>-8.1999999999999993</v>
      </c>
      <c r="D68" t="s">
        <v>3</v>
      </c>
      <c r="F68" t="s">
        <v>18</v>
      </c>
      <c r="G68">
        <f t="shared" si="4"/>
        <v>-8.1999999999999993</v>
      </c>
      <c r="H68" t="str">
        <f>VLOOKUP(Tabel1[[#This Row],[categorie]],Lijst!A:B,2,FALSE)</f>
        <v>Vast</v>
      </c>
      <c r="I68" t="str">
        <f t="shared" si="5"/>
        <v>OK</v>
      </c>
    </row>
    <row r="69" spans="1:9" hidden="1" x14ac:dyDescent="0.3">
      <c r="A69" s="2">
        <v>45665</v>
      </c>
      <c r="B69" t="str">
        <f t="shared" si="3"/>
        <v xml:space="preserve">januari </v>
      </c>
      <c r="C69">
        <v>0.93</v>
      </c>
      <c r="D69" t="s">
        <v>32</v>
      </c>
      <c r="F69" t="s">
        <v>17</v>
      </c>
      <c r="G69">
        <f t="shared" si="4"/>
        <v>0.93</v>
      </c>
      <c r="H69" t="str">
        <f>VLOOKUP(Tabel1[[#This Row],[categorie]],Lijst!A:B,2,FALSE)</f>
        <v>Variabel</v>
      </c>
      <c r="I69" t="str">
        <f t="shared" si="5"/>
        <v>OK</v>
      </c>
    </row>
    <row r="70" spans="1:9" hidden="1" x14ac:dyDescent="0.3">
      <c r="A70" s="2">
        <v>45665</v>
      </c>
      <c r="B70" t="str">
        <f t="shared" si="3"/>
        <v xml:space="preserve">januari </v>
      </c>
      <c r="C70">
        <v>4.5999999999999996</v>
      </c>
      <c r="D70" t="s">
        <v>3</v>
      </c>
      <c r="F70" t="s">
        <v>17</v>
      </c>
      <c r="G70">
        <f t="shared" si="4"/>
        <v>4.5999999999999996</v>
      </c>
      <c r="H70" t="str">
        <f>VLOOKUP(Tabel1[[#This Row],[categorie]],Lijst!A:B,2,FALSE)</f>
        <v>Vast</v>
      </c>
      <c r="I70" t="str">
        <f t="shared" si="5"/>
        <v>OK</v>
      </c>
    </row>
    <row r="71" spans="1:9" hidden="1" x14ac:dyDescent="0.3">
      <c r="A71" s="2">
        <v>45665</v>
      </c>
      <c r="B71" t="str">
        <f t="shared" si="3"/>
        <v xml:space="preserve">januari </v>
      </c>
      <c r="C71">
        <v>159</v>
      </c>
      <c r="D71" t="s">
        <v>48</v>
      </c>
      <c r="F71" t="s">
        <v>17</v>
      </c>
      <c r="G71">
        <f t="shared" si="4"/>
        <v>159</v>
      </c>
      <c r="H71" t="str">
        <f>VLOOKUP(Tabel1[[#This Row],[categorie]],Lijst!A:B,2,FALSE)</f>
        <v>Variabel</v>
      </c>
      <c r="I71" t="str">
        <f t="shared" si="5"/>
        <v>OK</v>
      </c>
    </row>
    <row r="72" spans="1:9" hidden="1" x14ac:dyDescent="0.3">
      <c r="A72" s="2">
        <v>45666</v>
      </c>
      <c r="B72" t="str">
        <f t="shared" si="3"/>
        <v xml:space="preserve">januari </v>
      </c>
      <c r="C72">
        <v>-29.6</v>
      </c>
      <c r="D72" t="s">
        <v>9</v>
      </c>
      <c r="F72" t="s">
        <v>18</v>
      </c>
      <c r="G72">
        <f t="shared" si="4"/>
        <v>-29.6</v>
      </c>
      <c r="H72" t="str">
        <f>VLOOKUP(Tabel1[[#This Row],[categorie]],Lijst!A:B,2,FALSE)</f>
        <v>Variabel</v>
      </c>
      <c r="I72" t="str">
        <f t="shared" si="5"/>
        <v>OK</v>
      </c>
    </row>
    <row r="73" spans="1:9" hidden="1" x14ac:dyDescent="0.3">
      <c r="A73" s="2">
        <v>45666</v>
      </c>
      <c r="B73" t="str">
        <f t="shared" si="3"/>
        <v xml:space="preserve">januari </v>
      </c>
      <c r="C73">
        <v>-14.35</v>
      </c>
      <c r="D73" t="s">
        <v>3</v>
      </c>
      <c r="F73" t="s">
        <v>18</v>
      </c>
      <c r="G73">
        <f t="shared" si="4"/>
        <v>-14.35</v>
      </c>
      <c r="H73" t="str">
        <f>VLOOKUP(Tabel1[[#This Row],[categorie]],Lijst!A:B,2,FALSE)</f>
        <v>Vast</v>
      </c>
      <c r="I73" t="str">
        <f t="shared" si="5"/>
        <v>OK</v>
      </c>
    </row>
    <row r="74" spans="1:9" hidden="1" x14ac:dyDescent="0.3">
      <c r="A74" s="2">
        <v>45666</v>
      </c>
      <c r="B74" t="str">
        <f t="shared" si="3"/>
        <v xml:space="preserve">januari </v>
      </c>
      <c r="C74">
        <v>-11.5</v>
      </c>
      <c r="D74" t="s">
        <v>13</v>
      </c>
      <c r="F74" t="s">
        <v>18</v>
      </c>
      <c r="G74">
        <f t="shared" si="4"/>
        <v>-11.5</v>
      </c>
      <c r="H74" t="str">
        <f>VLOOKUP(Tabel1[[#This Row],[categorie]],Lijst!A:B,2,FALSE)</f>
        <v>Vast</v>
      </c>
      <c r="I74" t="str">
        <f t="shared" si="5"/>
        <v>OK</v>
      </c>
    </row>
    <row r="75" spans="1:9" hidden="1" x14ac:dyDescent="0.3">
      <c r="A75" s="2">
        <v>45666</v>
      </c>
      <c r="B75" t="str">
        <f t="shared" si="3"/>
        <v xml:space="preserve">januari </v>
      </c>
      <c r="C75">
        <v>-9.59</v>
      </c>
      <c r="D75" t="s">
        <v>3</v>
      </c>
      <c r="F75" t="s">
        <v>18</v>
      </c>
      <c r="G75">
        <f t="shared" si="4"/>
        <v>-9.59</v>
      </c>
      <c r="H75" t="str">
        <f>VLOOKUP(Tabel1[[#This Row],[categorie]],Lijst!A:B,2,FALSE)</f>
        <v>Vast</v>
      </c>
      <c r="I75" t="str">
        <f t="shared" si="5"/>
        <v>OK</v>
      </c>
    </row>
    <row r="76" spans="1:9" hidden="1" x14ac:dyDescent="0.3">
      <c r="A76" s="2">
        <v>45666</v>
      </c>
      <c r="B76" t="str">
        <f t="shared" si="3"/>
        <v xml:space="preserve">januari </v>
      </c>
      <c r="C76">
        <v>-5.54</v>
      </c>
      <c r="D76" t="s">
        <v>3</v>
      </c>
      <c r="F76" t="s">
        <v>18</v>
      </c>
      <c r="G76">
        <f t="shared" si="4"/>
        <v>-5.54</v>
      </c>
      <c r="H76" t="str">
        <f>VLOOKUP(Tabel1[[#This Row],[categorie]],Lijst!A:B,2,FALSE)</f>
        <v>Vast</v>
      </c>
      <c r="I76" t="str">
        <f t="shared" si="5"/>
        <v>OK</v>
      </c>
    </row>
    <row r="77" spans="1:9" hidden="1" x14ac:dyDescent="0.3">
      <c r="A77" s="2">
        <v>45666</v>
      </c>
      <c r="B77" t="str">
        <f t="shared" si="3"/>
        <v xml:space="preserve">januari </v>
      </c>
      <c r="C77">
        <v>50</v>
      </c>
      <c r="D77" t="s">
        <v>75</v>
      </c>
      <c r="F77" t="s">
        <v>17</v>
      </c>
      <c r="G77">
        <f t="shared" si="4"/>
        <v>50</v>
      </c>
      <c r="H77" t="str">
        <f>VLOOKUP(Tabel1[[#This Row],[categorie]],Lijst!A:B,2,FALSE)</f>
        <v>Variabel</v>
      </c>
      <c r="I77" t="str">
        <f t="shared" si="5"/>
        <v>OK</v>
      </c>
    </row>
    <row r="78" spans="1:9" hidden="1" x14ac:dyDescent="0.3">
      <c r="A78" s="2">
        <v>45667</v>
      </c>
      <c r="B78" t="str">
        <f t="shared" si="3"/>
        <v xml:space="preserve">januari </v>
      </c>
      <c r="C78">
        <v>-8.1199999999999992</v>
      </c>
      <c r="D78" t="s">
        <v>3</v>
      </c>
      <c r="F78" t="s">
        <v>18</v>
      </c>
      <c r="G78">
        <f t="shared" si="4"/>
        <v>-8.1199999999999992</v>
      </c>
      <c r="H78" t="str">
        <f>VLOOKUP(Tabel1[[#This Row],[categorie]],Lijst!A:B,2,FALSE)</f>
        <v>Vast</v>
      </c>
      <c r="I78" t="str">
        <f t="shared" si="5"/>
        <v>OK</v>
      </c>
    </row>
    <row r="79" spans="1:9" hidden="1" x14ac:dyDescent="0.3">
      <c r="A79" s="2">
        <v>45667</v>
      </c>
      <c r="B79" t="str">
        <f t="shared" si="3"/>
        <v xml:space="preserve">januari </v>
      </c>
      <c r="C79">
        <v>-5.99</v>
      </c>
      <c r="D79" t="s">
        <v>3</v>
      </c>
      <c r="F79" t="s">
        <v>18</v>
      </c>
      <c r="G79">
        <f t="shared" si="4"/>
        <v>-5.99</v>
      </c>
      <c r="H79" t="str">
        <f>VLOOKUP(Tabel1[[#This Row],[categorie]],Lijst!A:B,2,FALSE)</f>
        <v>Vast</v>
      </c>
      <c r="I79" t="str">
        <f t="shared" si="5"/>
        <v>OK</v>
      </c>
    </row>
    <row r="80" spans="1:9" hidden="1" x14ac:dyDescent="0.3">
      <c r="A80" s="2">
        <v>45667</v>
      </c>
      <c r="B80" t="str">
        <f t="shared" si="3"/>
        <v xml:space="preserve">januari </v>
      </c>
      <c r="C80">
        <v>-5.45</v>
      </c>
      <c r="D80" t="s">
        <v>3</v>
      </c>
      <c r="F80" t="s">
        <v>18</v>
      </c>
      <c r="G80">
        <f t="shared" si="4"/>
        <v>-5.45</v>
      </c>
      <c r="H80" t="str">
        <f>VLOOKUP(Tabel1[[#This Row],[categorie]],Lijst!A:B,2,FALSE)</f>
        <v>Vast</v>
      </c>
      <c r="I80" t="str">
        <f t="shared" si="5"/>
        <v>OK</v>
      </c>
    </row>
    <row r="81" spans="1:9" hidden="1" x14ac:dyDescent="0.3">
      <c r="A81" s="2">
        <v>45667</v>
      </c>
      <c r="B81" t="str">
        <f t="shared" si="3"/>
        <v xml:space="preserve">januari </v>
      </c>
      <c r="C81">
        <v>-1.9</v>
      </c>
      <c r="D81" t="s">
        <v>3</v>
      </c>
      <c r="F81" t="s">
        <v>18</v>
      </c>
      <c r="G81">
        <f t="shared" si="4"/>
        <v>-1.9</v>
      </c>
      <c r="H81" t="str">
        <f>VLOOKUP(Tabel1[[#This Row],[categorie]],Lijst!A:B,2,FALSE)</f>
        <v>Vast</v>
      </c>
      <c r="I81" t="str">
        <f t="shared" si="5"/>
        <v>OK</v>
      </c>
    </row>
    <row r="82" spans="1:9" hidden="1" x14ac:dyDescent="0.3">
      <c r="A82" s="2">
        <v>45667</v>
      </c>
      <c r="B82" t="str">
        <f t="shared" si="3"/>
        <v xml:space="preserve">januari </v>
      </c>
      <c r="C82">
        <v>-1.5</v>
      </c>
      <c r="D82" t="s">
        <v>26</v>
      </c>
      <c r="F82" t="s">
        <v>18</v>
      </c>
      <c r="G82">
        <f t="shared" si="4"/>
        <v>-1.5</v>
      </c>
      <c r="H82" t="str">
        <f>VLOOKUP(Tabel1[[#This Row],[categorie]],Lijst!A:B,2,FALSE)</f>
        <v>Variabel</v>
      </c>
      <c r="I82" t="str">
        <f t="shared" si="5"/>
        <v>OK</v>
      </c>
    </row>
    <row r="83" spans="1:9" hidden="1" x14ac:dyDescent="0.3">
      <c r="A83" s="2">
        <v>45668</v>
      </c>
      <c r="B83" t="str">
        <f t="shared" si="3"/>
        <v xml:space="preserve">januari </v>
      </c>
      <c r="C83">
        <v>-49.5</v>
      </c>
      <c r="D83" t="s">
        <v>35</v>
      </c>
      <c r="F83" t="s">
        <v>18</v>
      </c>
      <c r="G83">
        <f t="shared" si="4"/>
        <v>-49.5</v>
      </c>
      <c r="H83" t="str">
        <f>VLOOKUP(Tabel1[[#This Row],[categorie]],Lijst!A:B,2,FALSE)</f>
        <v>Variabel</v>
      </c>
      <c r="I83" t="str">
        <f t="shared" si="5"/>
        <v>OK</v>
      </c>
    </row>
    <row r="84" spans="1:9" hidden="1" x14ac:dyDescent="0.3">
      <c r="A84" s="2">
        <v>45669</v>
      </c>
      <c r="B84" t="str">
        <f t="shared" si="3"/>
        <v xml:space="preserve">januari </v>
      </c>
      <c r="C84">
        <v>-49</v>
      </c>
      <c r="D84" t="s">
        <v>75</v>
      </c>
      <c r="F84" t="s">
        <v>18</v>
      </c>
      <c r="G84">
        <f t="shared" si="4"/>
        <v>-49</v>
      </c>
      <c r="H84" t="str">
        <f>VLOOKUP(Tabel1[[#This Row],[categorie]],Lijst!A:B,2,FALSE)</f>
        <v>Variabel</v>
      </c>
      <c r="I84" t="str">
        <f t="shared" si="5"/>
        <v>OK</v>
      </c>
    </row>
    <row r="85" spans="1:9" hidden="1" x14ac:dyDescent="0.3">
      <c r="A85" s="2">
        <v>45669</v>
      </c>
      <c r="B85" t="str">
        <f t="shared" si="3"/>
        <v xml:space="preserve">januari </v>
      </c>
      <c r="C85">
        <v>-41.5</v>
      </c>
      <c r="D85" t="s">
        <v>21</v>
      </c>
      <c r="F85" t="s">
        <v>18</v>
      </c>
      <c r="G85">
        <f t="shared" si="4"/>
        <v>-41.5</v>
      </c>
      <c r="H85" t="str">
        <f>VLOOKUP(Tabel1[[#This Row],[categorie]],Lijst!A:B,2,FALSE)</f>
        <v>Variabel</v>
      </c>
      <c r="I85" t="str">
        <f t="shared" si="5"/>
        <v>OK</v>
      </c>
    </row>
    <row r="86" spans="1:9" hidden="1" x14ac:dyDescent="0.3">
      <c r="A86" s="2">
        <v>45669</v>
      </c>
      <c r="B86" t="str">
        <f t="shared" si="3"/>
        <v xml:space="preserve">januari </v>
      </c>
      <c r="C86">
        <v>-6.6</v>
      </c>
      <c r="D86" t="s">
        <v>22</v>
      </c>
      <c r="F86" t="s">
        <v>18</v>
      </c>
      <c r="G86">
        <f t="shared" si="4"/>
        <v>-6.6</v>
      </c>
      <c r="H86" t="str">
        <f>VLOOKUP(Tabel1[[#This Row],[categorie]],Lijst!A:B,2,FALSE)</f>
        <v>Variabel</v>
      </c>
      <c r="I86" t="str">
        <f t="shared" si="5"/>
        <v>OK</v>
      </c>
    </row>
    <row r="87" spans="1:9" hidden="1" x14ac:dyDescent="0.3">
      <c r="A87" s="2">
        <v>45669</v>
      </c>
      <c r="B87" t="str">
        <f t="shared" si="3"/>
        <v xml:space="preserve">januari </v>
      </c>
      <c r="C87">
        <v>600</v>
      </c>
      <c r="D87" t="s">
        <v>48</v>
      </c>
      <c r="F87" t="s">
        <v>17</v>
      </c>
      <c r="G87">
        <f t="shared" si="4"/>
        <v>600</v>
      </c>
      <c r="H87" t="str">
        <f>VLOOKUP(Tabel1[[#This Row],[categorie]],Lijst!A:B,2,FALSE)</f>
        <v>Variabel</v>
      </c>
      <c r="I87" t="str">
        <f t="shared" si="5"/>
        <v>OK</v>
      </c>
    </row>
    <row r="88" spans="1:9" hidden="1" x14ac:dyDescent="0.3">
      <c r="A88" s="2">
        <v>45670</v>
      </c>
      <c r="B88" t="str">
        <f t="shared" si="3"/>
        <v xml:space="preserve">januari </v>
      </c>
      <c r="C88">
        <v>-399.25</v>
      </c>
      <c r="D88" t="s">
        <v>14</v>
      </c>
      <c r="F88" t="s">
        <v>18</v>
      </c>
      <c r="G88">
        <f t="shared" si="4"/>
        <v>-399.25</v>
      </c>
      <c r="H88" t="str">
        <f>VLOOKUP(Tabel1[[#This Row],[categorie]],Lijst!A:B,2,FALSE)</f>
        <v>Variabel</v>
      </c>
      <c r="I88" t="str">
        <f t="shared" si="5"/>
        <v>OK</v>
      </c>
    </row>
    <row r="89" spans="1:9" hidden="1" x14ac:dyDescent="0.3">
      <c r="A89" s="2">
        <v>45670</v>
      </c>
      <c r="B89" t="str">
        <f t="shared" si="3"/>
        <v xml:space="preserve">januari </v>
      </c>
      <c r="C89">
        <v>-106.99</v>
      </c>
      <c r="D89" t="s">
        <v>14</v>
      </c>
      <c r="F89" t="s">
        <v>18</v>
      </c>
      <c r="G89">
        <f t="shared" si="4"/>
        <v>-106.99</v>
      </c>
      <c r="H89" t="str">
        <f>VLOOKUP(Tabel1[[#This Row],[categorie]],Lijst!A:B,2,FALSE)</f>
        <v>Variabel</v>
      </c>
      <c r="I89" t="str">
        <f t="shared" si="5"/>
        <v>OK</v>
      </c>
    </row>
    <row r="90" spans="1:9" hidden="1" x14ac:dyDescent="0.3">
      <c r="A90" s="2">
        <v>45670</v>
      </c>
      <c r="B90" t="str">
        <f t="shared" si="3"/>
        <v xml:space="preserve">januari </v>
      </c>
      <c r="C90">
        <v>-51.95</v>
      </c>
      <c r="D90" t="s">
        <v>14</v>
      </c>
      <c r="F90" t="s">
        <v>18</v>
      </c>
      <c r="G90">
        <f t="shared" si="4"/>
        <v>-51.95</v>
      </c>
      <c r="H90" t="str">
        <f>VLOOKUP(Tabel1[[#This Row],[categorie]],Lijst!A:B,2,FALSE)</f>
        <v>Variabel</v>
      </c>
      <c r="I90" t="str">
        <f t="shared" si="5"/>
        <v>OK</v>
      </c>
    </row>
    <row r="91" spans="1:9" hidden="1" x14ac:dyDescent="0.3">
      <c r="A91" s="2">
        <v>45670</v>
      </c>
      <c r="B91" t="str">
        <f t="shared" si="3"/>
        <v xml:space="preserve">januari </v>
      </c>
      <c r="C91">
        <v>-38.950000000000003</v>
      </c>
      <c r="D91" t="s">
        <v>14</v>
      </c>
      <c r="F91" t="s">
        <v>18</v>
      </c>
      <c r="G91">
        <f t="shared" si="4"/>
        <v>-38.950000000000003</v>
      </c>
      <c r="H91" t="str">
        <f>VLOOKUP(Tabel1[[#This Row],[categorie]],Lijst!A:B,2,FALSE)</f>
        <v>Variabel</v>
      </c>
      <c r="I91" t="str">
        <f t="shared" si="5"/>
        <v>OK</v>
      </c>
    </row>
    <row r="92" spans="1:9" hidden="1" x14ac:dyDescent="0.3">
      <c r="A92" s="2">
        <v>45670</v>
      </c>
      <c r="B92" t="str">
        <f t="shared" si="3"/>
        <v xml:space="preserve">januari </v>
      </c>
      <c r="C92">
        <v>-33.6</v>
      </c>
      <c r="D92" t="s">
        <v>14</v>
      </c>
      <c r="F92" t="s">
        <v>18</v>
      </c>
      <c r="G92">
        <f t="shared" si="4"/>
        <v>-33.6</v>
      </c>
      <c r="H92" t="str">
        <f>VLOOKUP(Tabel1[[#This Row],[categorie]],Lijst!A:B,2,FALSE)</f>
        <v>Variabel</v>
      </c>
      <c r="I92" t="str">
        <f t="shared" si="5"/>
        <v>OK</v>
      </c>
    </row>
    <row r="93" spans="1:9" hidden="1" x14ac:dyDescent="0.3">
      <c r="A93" s="2">
        <v>45670</v>
      </c>
      <c r="B93" t="str">
        <f t="shared" si="3"/>
        <v xml:space="preserve">januari </v>
      </c>
      <c r="C93">
        <v>-29.15</v>
      </c>
      <c r="D93" t="s">
        <v>56</v>
      </c>
      <c r="F93" t="s">
        <v>18</v>
      </c>
      <c r="G93">
        <f t="shared" si="4"/>
        <v>-29.15</v>
      </c>
      <c r="H93" t="str">
        <f>VLOOKUP(Tabel1[[#This Row],[categorie]],Lijst!A:B,2,FALSE)</f>
        <v>Variabel</v>
      </c>
      <c r="I93" t="str">
        <f t="shared" si="5"/>
        <v>OK</v>
      </c>
    </row>
    <row r="94" spans="1:9" hidden="1" x14ac:dyDescent="0.3">
      <c r="A94" s="2">
        <v>45670</v>
      </c>
      <c r="B94" t="str">
        <f t="shared" si="3"/>
        <v xml:space="preserve">januari </v>
      </c>
      <c r="C94">
        <v>-28.65</v>
      </c>
      <c r="D94" t="s">
        <v>9</v>
      </c>
      <c r="F94" t="s">
        <v>18</v>
      </c>
      <c r="G94">
        <f t="shared" si="4"/>
        <v>-28.65</v>
      </c>
      <c r="H94" t="str">
        <f>VLOOKUP(Tabel1[[#This Row],[categorie]],Lijst!A:B,2,FALSE)</f>
        <v>Variabel</v>
      </c>
      <c r="I94" t="str">
        <f t="shared" si="5"/>
        <v>OK</v>
      </c>
    </row>
    <row r="95" spans="1:9" hidden="1" x14ac:dyDescent="0.3">
      <c r="A95" s="2">
        <v>45670</v>
      </c>
      <c r="B95" t="str">
        <f t="shared" si="3"/>
        <v xml:space="preserve">januari </v>
      </c>
      <c r="C95">
        <v>-22.59</v>
      </c>
      <c r="D95" t="s">
        <v>14</v>
      </c>
      <c r="F95" t="s">
        <v>18</v>
      </c>
      <c r="G95">
        <f t="shared" si="4"/>
        <v>-22.59</v>
      </c>
      <c r="H95" t="str">
        <f>VLOOKUP(Tabel1[[#This Row],[categorie]],Lijst!A:B,2,FALSE)</f>
        <v>Variabel</v>
      </c>
      <c r="I95" t="str">
        <f t="shared" si="5"/>
        <v>OK</v>
      </c>
    </row>
    <row r="96" spans="1:9" hidden="1" x14ac:dyDescent="0.3">
      <c r="A96" s="2">
        <v>45670</v>
      </c>
      <c r="B96" t="str">
        <f t="shared" si="3"/>
        <v xml:space="preserve">januari </v>
      </c>
      <c r="C96">
        <v>-14.9</v>
      </c>
      <c r="D96" t="s">
        <v>52</v>
      </c>
      <c r="F96" t="s">
        <v>18</v>
      </c>
      <c r="G96">
        <f t="shared" si="4"/>
        <v>-14.9</v>
      </c>
      <c r="H96" t="str">
        <f>VLOOKUP(Tabel1[[#This Row],[categorie]],Lijst!A:B,2,FALSE)</f>
        <v>Variabel</v>
      </c>
      <c r="I96" t="str">
        <f t="shared" si="5"/>
        <v>OK</v>
      </c>
    </row>
    <row r="97" spans="1:9" hidden="1" x14ac:dyDescent="0.3">
      <c r="A97" s="2">
        <v>45670</v>
      </c>
      <c r="B97" t="str">
        <f t="shared" si="3"/>
        <v xml:space="preserve">januari </v>
      </c>
      <c r="C97">
        <v>-12.95</v>
      </c>
      <c r="D97" t="s">
        <v>49</v>
      </c>
      <c r="F97" t="s">
        <v>18</v>
      </c>
      <c r="G97">
        <f t="shared" si="4"/>
        <v>-12.95</v>
      </c>
      <c r="H97" t="str">
        <f>VLOOKUP(Tabel1[[#This Row],[categorie]],Lijst!A:B,2,FALSE)</f>
        <v>Variabel</v>
      </c>
      <c r="I97" t="str">
        <f t="shared" si="5"/>
        <v>OK</v>
      </c>
    </row>
    <row r="98" spans="1:9" hidden="1" x14ac:dyDescent="0.3">
      <c r="A98" s="2">
        <v>45670</v>
      </c>
      <c r="B98" t="str">
        <f t="shared" si="3"/>
        <v xml:space="preserve">januari </v>
      </c>
      <c r="C98">
        <v>-8</v>
      </c>
      <c r="D98" t="s">
        <v>13</v>
      </c>
      <c r="F98" t="s">
        <v>18</v>
      </c>
      <c r="G98">
        <f t="shared" si="4"/>
        <v>-8</v>
      </c>
      <c r="H98" t="str">
        <f>VLOOKUP(Tabel1[[#This Row],[categorie]],Lijst!A:B,2,FALSE)</f>
        <v>Vast</v>
      </c>
      <c r="I98" t="str">
        <f t="shared" si="5"/>
        <v>OK</v>
      </c>
    </row>
    <row r="99" spans="1:9" hidden="1" x14ac:dyDescent="0.3">
      <c r="A99" s="2">
        <v>45670</v>
      </c>
      <c r="B99" t="str">
        <f t="shared" ref="B99:B162" si="6">TEXT(A99,"mmmm ")</f>
        <v xml:space="preserve">januari </v>
      </c>
      <c r="C99">
        <v>-7.68</v>
      </c>
      <c r="D99" t="s">
        <v>13</v>
      </c>
      <c r="F99" t="s">
        <v>18</v>
      </c>
      <c r="G99">
        <f t="shared" ref="G99:G162" si="7">IF(F99="Uitgave", -ABS(C99), ABS(C99))</f>
        <v>-7.68</v>
      </c>
      <c r="H99" t="str">
        <f>VLOOKUP(Tabel1[[#This Row],[categorie]],Lijst!A:B,2,FALSE)</f>
        <v>Vast</v>
      </c>
      <c r="I99" t="str">
        <f t="shared" ref="I99:I162" si="8">IF(OR(AND(F99="Uitgave", C99&lt;0), AND(F99="Inkomst", C99&gt;0)), "OK", "FOUT")</f>
        <v>OK</v>
      </c>
    </row>
    <row r="100" spans="1:9" hidden="1" x14ac:dyDescent="0.3">
      <c r="A100" s="2">
        <v>45670</v>
      </c>
      <c r="B100" t="str">
        <f t="shared" si="6"/>
        <v xml:space="preserve">januari </v>
      </c>
      <c r="C100">
        <v>-5.93</v>
      </c>
      <c r="D100" t="s">
        <v>13</v>
      </c>
      <c r="F100" t="s">
        <v>18</v>
      </c>
      <c r="G100">
        <f t="shared" si="7"/>
        <v>-5.93</v>
      </c>
      <c r="H100" t="str">
        <f>VLOOKUP(Tabel1[[#This Row],[categorie]],Lijst!A:B,2,FALSE)</f>
        <v>Vast</v>
      </c>
      <c r="I100" t="str">
        <f t="shared" si="8"/>
        <v>OK</v>
      </c>
    </row>
    <row r="101" spans="1:9" hidden="1" x14ac:dyDescent="0.3">
      <c r="A101" s="2">
        <v>45670</v>
      </c>
      <c r="B101" t="str">
        <f t="shared" si="6"/>
        <v xml:space="preserve">januari </v>
      </c>
      <c r="C101">
        <v>-5</v>
      </c>
      <c r="D101" t="s">
        <v>13</v>
      </c>
      <c r="F101" t="s">
        <v>18</v>
      </c>
      <c r="G101">
        <f t="shared" si="7"/>
        <v>-5</v>
      </c>
      <c r="H101" t="str">
        <f>VLOOKUP(Tabel1[[#This Row],[categorie]],Lijst!A:B,2,FALSE)</f>
        <v>Vast</v>
      </c>
      <c r="I101" t="str">
        <f t="shared" si="8"/>
        <v>OK</v>
      </c>
    </row>
    <row r="102" spans="1:9" hidden="1" x14ac:dyDescent="0.3">
      <c r="A102" s="2">
        <v>45670</v>
      </c>
      <c r="B102" t="str">
        <f t="shared" si="6"/>
        <v xml:space="preserve">januari </v>
      </c>
      <c r="C102">
        <v>-5</v>
      </c>
      <c r="D102" t="s">
        <v>13</v>
      </c>
      <c r="F102" t="s">
        <v>18</v>
      </c>
      <c r="G102">
        <f t="shared" si="7"/>
        <v>-5</v>
      </c>
      <c r="H102" t="str">
        <f>VLOOKUP(Tabel1[[#This Row],[categorie]],Lijst!A:B,2,FALSE)</f>
        <v>Vast</v>
      </c>
      <c r="I102" t="str">
        <f t="shared" si="8"/>
        <v>OK</v>
      </c>
    </row>
    <row r="103" spans="1:9" hidden="1" x14ac:dyDescent="0.3">
      <c r="A103" s="2">
        <v>45670</v>
      </c>
      <c r="B103" t="str">
        <f t="shared" si="6"/>
        <v xml:space="preserve">januari </v>
      </c>
      <c r="C103">
        <v>-4.59</v>
      </c>
      <c r="D103" t="s">
        <v>3</v>
      </c>
      <c r="F103" t="s">
        <v>18</v>
      </c>
      <c r="G103">
        <f t="shared" si="7"/>
        <v>-4.59</v>
      </c>
      <c r="H103" t="str">
        <f>VLOOKUP(Tabel1[[#This Row],[categorie]],Lijst!A:B,2,FALSE)</f>
        <v>Vast</v>
      </c>
      <c r="I103" t="str">
        <f t="shared" si="8"/>
        <v>OK</v>
      </c>
    </row>
    <row r="104" spans="1:9" hidden="1" x14ac:dyDescent="0.3">
      <c r="A104" s="2">
        <v>45670</v>
      </c>
      <c r="B104" t="str">
        <f t="shared" si="6"/>
        <v xml:space="preserve">januari </v>
      </c>
      <c r="C104">
        <v>-3.98</v>
      </c>
      <c r="D104" t="s">
        <v>3</v>
      </c>
      <c r="F104" t="s">
        <v>18</v>
      </c>
      <c r="G104">
        <f t="shared" si="7"/>
        <v>-3.98</v>
      </c>
      <c r="H104" t="str">
        <f>VLOOKUP(Tabel1[[#This Row],[categorie]],Lijst!A:B,2,FALSE)</f>
        <v>Vast</v>
      </c>
      <c r="I104" t="str">
        <f t="shared" si="8"/>
        <v>OK</v>
      </c>
    </row>
    <row r="105" spans="1:9" hidden="1" x14ac:dyDescent="0.3">
      <c r="A105" s="2">
        <v>45670</v>
      </c>
      <c r="B105" t="str">
        <f t="shared" si="6"/>
        <v xml:space="preserve">januari </v>
      </c>
      <c r="C105">
        <v>-3.86</v>
      </c>
      <c r="D105" t="s">
        <v>3</v>
      </c>
      <c r="F105" t="s">
        <v>18</v>
      </c>
      <c r="G105">
        <f t="shared" si="7"/>
        <v>-3.86</v>
      </c>
      <c r="H105" t="str">
        <f>VLOOKUP(Tabel1[[#This Row],[categorie]],Lijst!A:B,2,FALSE)</f>
        <v>Vast</v>
      </c>
      <c r="I105" t="str">
        <f t="shared" si="8"/>
        <v>OK</v>
      </c>
    </row>
    <row r="106" spans="1:9" hidden="1" x14ac:dyDescent="0.3">
      <c r="A106" s="2">
        <v>45670</v>
      </c>
      <c r="B106" t="str">
        <f t="shared" si="6"/>
        <v xml:space="preserve">januari </v>
      </c>
      <c r="C106">
        <v>-3.67</v>
      </c>
      <c r="D106" t="s">
        <v>3</v>
      </c>
      <c r="F106" t="s">
        <v>18</v>
      </c>
      <c r="G106">
        <f t="shared" si="7"/>
        <v>-3.67</v>
      </c>
      <c r="H106" t="str">
        <f>VLOOKUP(Tabel1[[#This Row],[categorie]],Lijst!A:B,2,FALSE)</f>
        <v>Vast</v>
      </c>
      <c r="I106" t="str">
        <f t="shared" si="8"/>
        <v>OK</v>
      </c>
    </row>
    <row r="107" spans="1:9" hidden="1" x14ac:dyDescent="0.3">
      <c r="A107" s="2">
        <v>45670</v>
      </c>
      <c r="B107" t="str">
        <f t="shared" si="6"/>
        <v xml:space="preserve">januari </v>
      </c>
      <c r="C107">
        <v>-1.5</v>
      </c>
      <c r="D107" t="s">
        <v>26</v>
      </c>
      <c r="F107" t="s">
        <v>18</v>
      </c>
      <c r="G107">
        <f t="shared" si="7"/>
        <v>-1.5</v>
      </c>
      <c r="H107" t="str">
        <f>VLOOKUP(Tabel1[[#This Row],[categorie]],Lijst!A:B,2,FALSE)</f>
        <v>Variabel</v>
      </c>
      <c r="I107" t="str">
        <f t="shared" si="8"/>
        <v>OK</v>
      </c>
    </row>
    <row r="108" spans="1:9" hidden="1" x14ac:dyDescent="0.3">
      <c r="A108" s="2">
        <v>45671</v>
      </c>
      <c r="B108" t="str">
        <f t="shared" si="6"/>
        <v xml:space="preserve">januari </v>
      </c>
      <c r="C108">
        <v>-13.76</v>
      </c>
      <c r="D108" t="s">
        <v>3</v>
      </c>
      <c r="F108" t="s">
        <v>18</v>
      </c>
      <c r="G108">
        <f t="shared" si="7"/>
        <v>-13.76</v>
      </c>
      <c r="H108" t="str">
        <f>VLOOKUP(Tabel1[[#This Row],[categorie]],Lijst!A:B,2,FALSE)</f>
        <v>Vast</v>
      </c>
      <c r="I108" t="str">
        <f t="shared" si="8"/>
        <v>OK</v>
      </c>
    </row>
    <row r="109" spans="1:9" hidden="1" x14ac:dyDescent="0.3">
      <c r="A109" s="2">
        <v>45671</v>
      </c>
      <c r="B109" t="str">
        <f t="shared" si="6"/>
        <v xml:space="preserve">januari </v>
      </c>
      <c r="C109">
        <v>-12.48</v>
      </c>
      <c r="D109" t="s">
        <v>55</v>
      </c>
      <c r="F109" t="s">
        <v>18</v>
      </c>
      <c r="G109">
        <f t="shared" si="7"/>
        <v>-12.48</v>
      </c>
      <c r="H109" t="str">
        <f>VLOOKUP(Tabel1[[#This Row],[categorie]],Lijst!A:B,2,FALSE)</f>
        <v>Variabel</v>
      </c>
      <c r="I109" t="str">
        <f t="shared" si="8"/>
        <v>OK</v>
      </c>
    </row>
    <row r="110" spans="1:9" hidden="1" x14ac:dyDescent="0.3">
      <c r="A110" s="2">
        <v>45671</v>
      </c>
      <c r="B110" t="str">
        <f t="shared" si="6"/>
        <v xml:space="preserve">januari </v>
      </c>
      <c r="C110">
        <v>-6.29</v>
      </c>
      <c r="D110" t="s">
        <v>53</v>
      </c>
      <c r="F110" t="s">
        <v>18</v>
      </c>
      <c r="G110">
        <f t="shared" si="7"/>
        <v>-6.29</v>
      </c>
      <c r="H110" t="str">
        <f>VLOOKUP(Tabel1[[#This Row],[categorie]],Lijst!A:B,2,FALSE)</f>
        <v>Variabel</v>
      </c>
      <c r="I110" t="str">
        <f t="shared" si="8"/>
        <v>OK</v>
      </c>
    </row>
    <row r="111" spans="1:9" hidden="1" x14ac:dyDescent="0.3">
      <c r="A111" s="2">
        <v>45671</v>
      </c>
      <c r="B111" t="str">
        <f t="shared" si="6"/>
        <v xml:space="preserve">januari </v>
      </c>
      <c r="C111">
        <v>-5.6</v>
      </c>
      <c r="D111" t="s">
        <v>3</v>
      </c>
      <c r="F111" t="s">
        <v>18</v>
      </c>
      <c r="G111">
        <f t="shared" si="7"/>
        <v>-5.6</v>
      </c>
      <c r="H111" t="str">
        <f>VLOOKUP(Tabel1[[#This Row],[categorie]],Lijst!A:B,2,FALSE)</f>
        <v>Vast</v>
      </c>
      <c r="I111" t="str">
        <f t="shared" si="8"/>
        <v>OK</v>
      </c>
    </row>
    <row r="112" spans="1:9" hidden="1" x14ac:dyDescent="0.3">
      <c r="A112" s="2">
        <v>45671</v>
      </c>
      <c r="B112" t="str">
        <f t="shared" si="6"/>
        <v xml:space="preserve">januari </v>
      </c>
      <c r="C112">
        <v>-5.49</v>
      </c>
      <c r="D112" t="s">
        <v>3</v>
      </c>
      <c r="F112" t="s">
        <v>18</v>
      </c>
      <c r="G112">
        <f t="shared" si="7"/>
        <v>-5.49</v>
      </c>
      <c r="H112" t="str">
        <f>VLOOKUP(Tabel1[[#This Row],[categorie]],Lijst!A:B,2,FALSE)</f>
        <v>Vast</v>
      </c>
      <c r="I112" t="str">
        <f t="shared" si="8"/>
        <v>OK</v>
      </c>
    </row>
    <row r="113" spans="1:9" hidden="1" x14ac:dyDescent="0.3">
      <c r="A113" s="2">
        <v>45671</v>
      </c>
      <c r="B113" t="str">
        <f t="shared" si="6"/>
        <v xml:space="preserve">januari </v>
      </c>
      <c r="C113">
        <v>-1.5</v>
      </c>
      <c r="D113" t="s">
        <v>26</v>
      </c>
      <c r="F113" t="s">
        <v>18</v>
      </c>
      <c r="G113">
        <f t="shared" si="7"/>
        <v>-1.5</v>
      </c>
      <c r="H113" t="str">
        <f>VLOOKUP(Tabel1[[#This Row],[categorie]],Lijst!A:B,2,FALSE)</f>
        <v>Variabel</v>
      </c>
      <c r="I113" t="str">
        <f t="shared" si="8"/>
        <v>OK</v>
      </c>
    </row>
    <row r="114" spans="1:9" hidden="1" x14ac:dyDescent="0.3">
      <c r="A114" s="2">
        <v>45671</v>
      </c>
      <c r="B114" t="str">
        <f t="shared" si="6"/>
        <v xml:space="preserve">januari </v>
      </c>
      <c r="C114">
        <v>17.5</v>
      </c>
      <c r="D114" t="s">
        <v>75</v>
      </c>
      <c r="F114" t="s">
        <v>17</v>
      </c>
      <c r="G114">
        <f t="shared" si="7"/>
        <v>17.5</v>
      </c>
      <c r="H114" t="str">
        <f>VLOOKUP(Tabel1[[#This Row],[categorie]],Lijst!A:B,2,FALSE)</f>
        <v>Variabel</v>
      </c>
      <c r="I114" t="str">
        <f t="shared" si="8"/>
        <v>OK</v>
      </c>
    </row>
    <row r="115" spans="1:9" hidden="1" x14ac:dyDescent="0.3">
      <c r="A115" s="2">
        <v>45672</v>
      </c>
      <c r="B115" t="str">
        <f t="shared" si="6"/>
        <v xml:space="preserve">januari </v>
      </c>
      <c r="C115">
        <v>-30.99</v>
      </c>
      <c r="D115" t="s">
        <v>52</v>
      </c>
      <c r="F115" t="s">
        <v>18</v>
      </c>
      <c r="G115">
        <f t="shared" si="7"/>
        <v>-30.99</v>
      </c>
      <c r="H115" t="str">
        <f>VLOOKUP(Tabel1[[#This Row],[categorie]],Lijst!A:B,2,FALSE)</f>
        <v>Variabel</v>
      </c>
      <c r="I115" t="str">
        <f t="shared" si="8"/>
        <v>OK</v>
      </c>
    </row>
    <row r="116" spans="1:9" hidden="1" x14ac:dyDescent="0.3">
      <c r="A116" s="2">
        <v>45672</v>
      </c>
      <c r="B116" t="str">
        <f t="shared" si="6"/>
        <v xml:space="preserve">januari </v>
      </c>
      <c r="C116">
        <v>-15</v>
      </c>
      <c r="D116" t="s">
        <v>75</v>
      </c>
      <c r="F116" t="s">
        <v>18</v>
      </c>
      <c r="G116">
        <f t="shared" si="7"/>
        <v>-15</v>
      </c>
      <c r="H116" t="str">
        <f>VLOOKUP(Tabel1[[#This Row],[categorie]],Lijst!A:B,2,FALSE)</f>
        <v>Variabel</v>
      </c>
      <c r="I116" t="str">
        <f t="shared" si="8"/>
        <v>OK</v>
      </c>
    </row>
    <row r="117" spans="1:9" hidden="1" x14ac:dyDescent="0.3">
      <c r="A117" s="2">
        <v>45672</v>
      </c>
      <c r="B117" t="str">
        <f t="shared" si="6"/>
        <v xml:space="preserve">januari </v>
      </c>
      <c r="C117">
        <v>-14.22</v>
      </c>
      <c r="D117" t="s">
        <v>3</v>
      </c>
      <c r="F117" t="s">
        <v>18</v>
      </c>
      <c r="G117">
        <f t="shared" si="7"/>
        <v>-14.22</v>
      </c>
      <c r="H117" t="str">
        <f>VLOOKUP(Tabel1[[#This Row],[categorie]],Lijst!A:B,2,FALSE)</f>
        <v>Vast</v>
      </c>
      <c r="I117" t="str">
        <f t="shared" si="8"/>
        <v>OK</v>
      </c>
    </row>
    <row r="118" spans="1:9" hidden="1" x14ac:dyDescent="0.3">
      <c r="A118" s="2">
        <v>45672</v>
      </c>
      <c r="B118" t="str">
        <f t="shared" si="6"/>
        <v xml:space="preserve">januari </v>
      </c>
      <c r="C118">
        <v>-11.55</v>
      </c>
      <c r="D118" t="s">
        <v>3</v>
      </c>
      <c r="F118" t="s">
        <v>18</v>
      </c>
      <c r="G118">
        <f t="shared" si="7"/>
        <v>-11.55</v>
      </c>
      <c r="H118" t="str">
        <f>VLOOKUP(Tabel1[[#This Row],[categorie]],Lijst!A:B,2,FALSE)</f>
        <v>Vast</v>
      </c>
      <c r="I118" t="str">
        <f t="shared" si="8"/>
        <v>OK</v>
      </c>
    </row>
    <row r="119" spans="1:9" hidden="1" x14ac:dyDescent="0.3">
      <c r="A119" s="2">
        <v>45672</v>
      </c>
      <c r="B119" t="str">
        <f t="shared" si="6"/>
        <v xml:space="preserve">januari </v>
      </c>
      <c r="C119">
        <v>-9.7100000000000009</v>
      </c>
      <c r="D119" t="s">
        <v>82</v>
      </c>
      <c r="F119" t="s">
        <v>18</v>
      </c>
      <c r="G119">
        <f t="shared" si="7"/>
        <v>-9.7100000000000009</v>
      </c>
      <c r="H119" t="str">
        <f>VLOOKUP(Tabel1[[#This Row],[categorie]],Lijst!A:B,2,FALSE)</f>
        <v>Vast</v>
      </c>
      <c r="I119" t="str">
        <f t="shared" si="8"/>
        <v>OK</v>
      </c>
    </row>
    <row r="120" spans="1:9" hidden="1" x14ac:dyDescent="0.3">
      <c r="A120" s="2">
        <v>45672</v>
      </c>
      <c r="B120" t="str">
        <f t="shared" si="6"/>
        <v xml:space="preserve">januari </v>
      </c>
      <c r="C120">
        <v>-3.14</v>
      </c>
      <c r="D120" t="s">
        <v>3</v>
      </c>
      <c r="F120" t="s">
        <v>18</v>
      </c>
      <c r="G120">
        <f t="shared" si="7"/>
        <v>-3.14</v>
      </c>
      <c r="H120" t="str">
        <f>VLOOKUP(Tabel1[[#This Row],[categorie]],Lijst!A:B,2,FALSE)</f>
        <v>Vast</v>
      </c>
      <c r="I120" t="str">
        <f t="shared" si="8"/>
        <v>OK</v>
      </c>
    </row>
    <row r="121" spans="1:9" hidden="1" x14ac:dyDescent="0.3">
      <c r="A121" s="2">
        <v>45672</v>
      </c>
      <c r="B121" t="str">
        <f t="shared" si="6"/>
        <v xml:space="preserve">januari </v>
      </c>
      <c r="C121">
        <v>-1.5</v>
      </c>
      <c r="D121" t="s">
        <v>26</v>
      </c>
      <c r="F121" t="s">
        <v>18</v>
      </c>
      <c r="G121">
        <f t="shared" si="7"/>
        <v>-1.5</v>
      </c>
      <c r="H121" t="str">
        <f>VLOOKUP(Tabel1[[#This Row],[categorie]],Lijst!A:B,2,FALSE)</f>
        <v>Variabel</v>
      </c>
      <c r="I121" t="str">
        <f t="shared" si="8"/>
        <v>OK</v>
      </c>
    </row>
    <row r="122" spans="1:9" hidden="1" x14ac:dyDescent="0.3">
      <c r="A122" s="2">
        <v>45672</v>
      </c>
      <c r="B122" t="str">
        <f t="shared" si="6"/>
        <v xml:space="preserve">januari </v>
      </c>
      <c r="C122">
        <v>17.5</v>
      </c>
      <c r="D122" t="s">
        <v>75</v>
      </c>
      <c r="F122" t="s">
        <v>17</v>
      </c>
      <c r="G122">
        <f t="shared" si="7"/>
        <v>17.5</v>
      </c>
      <c r="H122" t="str">
        <f>VLOOKUP(Tabel1[[#This Row],[categorie]],Lijst!A:B,2,FALSE)</f>
        <v>Variabel</v>
      </c>
      <c r="I122" t="str">
        <f t="shared" si="8"/>
        <v>OK</v>
      </c>
    </row>
    <row r="123" spans="1:9" hidden="1" x14ac:dyDescent="0.3">
      <c r="A123" s="2">
        <v>45673</v>
      </c>
      <c r="B123" t="str">
        <f t="shared" si="6"/>
        <v xml:space="preserve">januari </v>
      </c>
      <c r="C123">
        <v>-85</v>
      </c>
      <c r="D123" t="s">
        <v>33</v>
      </c>
      <c r="F123" t="s">
        <v>18</v>
      </c>
      <c r="G123">
        <f t="shared" si="7"/>
        <v>-85</v>
      </c>
      <c r="H123" t="str">
        <f>VLOOKUP(Tabel1[[#This Row],[categorie]],Lijst!A:B,2,FALSE)</f>
        <v>Vast</v>
      </c>
      <c r="I123" t="str">
        <f t="shared" si="8"/>
        <v>OK</v>
      </c>
    </row>
    <row r="124" spans="1:9" hidden="1" x14ac:dyDescent="0.3">
      <c r="A124" s="2">
        <v>45673</v>
      </c>
      <c r="B124" t="str">
        <f t="shared" si="6"/>
        <v xml:space="preserve">januari </v>
      </c>
      <c r="C124">
        <v>-81.66</v>
      </c>
      <c r="D124" t="s">
        <v>33</v>
      </c>
      <c r="F124" t="s">
        <v>18</v>
      </c>
      <c r="G124">
        <f t="shared" si="7"/>
        <v>-81.66</v>
      </c>
      <c r="H124" t="str">
        <f>VLOOKUP(Tabel1[[#This Row],[categorie]],Lijst!A:B,2,FALSE)</f>
        <v>Vast</v>
      </c>
      <c r="I124" t="str">
        <f t="shared" si="8"/>
        <v>OK</v>
      </c>
    </row>
    <row r="125" spans="1:9" hidden="1" x14ac:dyDescent="0.3">
      <c r="A125" s="2">
        <v>45673</v>
      </c>
      <c r="B125" t="str">
        <f t="shared" si="6"/>
        <v xml:space="preserve">januari </v>
      </c>
      <c r="C125">
        <v>-74.989999999999995</v>
      </c>
      <c r="D125" t="s">
        <v>48</v>
      </c>
      <c r="F125" t="s">
        <v>18</v>
      </c>
      <c r="G125">
        <f t="shared" si="7"/>
        <v>-74.989999999999995</v>
      </c>
      <c r="H125" t="str">
        <f>VLOOKUP(Tabel1[[#This Row],[categorie]],Lijst!A:B,2,FALSE)</f>
        <v>Variabel</v>
      </c>
      <c r="I125" t="str">
        <f t="shared" si="8"/>
        <v>OK</v>
      </c>
    </row>
    <row r="126" spans="1:9" hidden="1" x14ac:dyDescent="0.3">
      <c r="A126" s="2">
        <v>45673</v>
      </c>
      <c r="B126" t="str">
        <f t="shared" si="6"/>
        <v xml:space="preserve">januari </v>
      </c>
      <c r="C126">
        <v>-47.6</v>
      </c>
      <c r="D126" t="s">
        <v>14</v>
      </c>
      <c r="F126" t="s">
        <v>18</v>
      </c>
      <c r="G126">
        <f t="shared" si="7"/>
        <v>-47.6</v>
      </c>
      <c r="H126" t="str">
        <f>VLOOKUP(Tabel1[[#This Row],[categorie]],Lijst!A:B,2,FALSE)</f>
        <v>Variabel</v>
      </c>
      <c r="I126" t="str">
        <f t="shared" si="8"/>
        <v>OK</v>
      </c>
    </row>
    <row r="127" spans="1:9" hidden="1" x14ac:dyDescent="0.3">
      <c r="A127" s="2">
        <v>45673</v>
      </c>
      <c r="B127" t="str">
        <f t="shared" si="6"/>
        <v xml:space="preserve">januari </v>
      </c>
      <c r="C127">
        <v>-20.94</v>
      </c>
      <c r="D127" t="s">
        <v>9</v>
      </c>
      <c r="F127" t="s">
        <v>18</v>
      </c>
      <c r="G127">
        <f t="shared" si="7"/>
        <v>-20.94</v>
      </c>
      <c r="H127" t="str">
        <f>VLOOKUP(Tabel1[[#This Row],[categorie]],Lijst!A:B,2,FALSE)</f>
        <v>Variabel</v>
      </c>
      <c r="I127" t="str">
        <f t="shared" si="8"/>
        <v>OK</v>
      </c>
    </row>
    <row r="128" spans="1:9" hidden="1" x14ac:dyDescent="0.3">
      <c r="A128" s="2">
        <v>45673</v>
      </c>
      <c r="B128" t="str">
        <f t="shared" si="6"/>
        <v xml:space="preserve">januari </v>
      </c>
      <c r="C128">
        <v>-12.45</v>
      </c>
      <c r="D128" t="s">
        <v>3</v>
      </c>
      <c r="F128" t="s">
        <v>18</v>
      </c>
      <c r="G128">
        <f t="shared" si="7"/>
        <v>-12.45</v>
      </c>
      <c r="H128" t="str">
        <f>VLOOKUP(Tabel1[[#This Row],[categorie]],Lijst!A:B,2,FALSE)</f>
        <v>Vast</v>
      </c>
      <c r="I128" t="str">
        <f t="shared" si="8"/>
        <v>OK</v>
      </c>
    </row>
    <row r="129" spans="1:9" hidden="1" x14ac:dyDescent="0.3">
      <c r="A129" s="2">
        <v>45673</v>
      </c>
      <c r="B129" t="str">
        <f t="shared" si="6"/>
        <v xml:space="preserve">januari </v>
      </c>
      <c r="C129">
        <v>-11.95</v>
      </c>
      <c r="D129" t="s">
        <v>39</v>
      </c>
      <c r="F129" t="s">
        <v>18</v>
      </c>
      <c r="G129">
        <f t="shared" si="7"/>
        <v>-11.95</v>
      </c>
      <c r="H129" t="str">
        <f>VLOOKUP(Tabel1[[#This Row],[categorie]],Lijst!A:B,2,FALSE)</f>
        <v>Vast</v>
      </c>
      <c r="I129" t="str">
        <f t="shared" si="8"/>
        <v>OK</v>
      </c>
    </row>
    <row r="130" spans="1:9" hidden="1" x14ac:dyDescent="0.3">
      <c r="A130" s="2">
        <v>45673</v>
      </c>
      <c r="B130" t="str">
        <f t="shared" si="6"/>
        <v xml:space="preserve">januari </v>
      </c>
      <c r="C130">
        <v>-8.6199999999999992</v>
      </c>
      <c r="D130" t="s">
        <v>3</v>
      </c>
      <c r="F130" t="s">
        <v>18</v>
      </c>
      <c r="G130">
        <f t="shared" si="7"/>
        <v>-8.6199999999999992</v>
      </c>
      <c r="H130" t="str">
        <f>VLOOKUP(Tabel1[[#This Row],[categorie]],Lijst!A:B,2,FALSE)</f>
        <v>Vast</v>
      </c>
      <c r="I130" t="str">
        <f t="shared" si="8"/>
        <v>OK</v>
      </c>
    </row>
    <row r="131" spans="1:9" hidden="1" x14ac:dyDescent="0.3">
      <c r="A131" s="2">
        <v>45673</v>
      </c>
      <c r="B131" t="str">
        <f t="shared" si="6"/>
        <v xml:space="preserve">januari </v>
      </c>
      <c r="C131">
        <v>-5.49</v>
      </c>
      <c r="D131" t="s">
        <v>3</v>
      </c>
      <c r="F131" t="s">
        <v>18</v>
      </c>
      <c r="G131">
        <f t="shared" si="7"/>
        <v>-5.49</v>
      </c>
      <c r="H131" t="str">
        <f>VLOOKUP(Tabel1[[#This Row],[categorie]],Lijst!A:B,2,FALSE)</f>
        <v>Vast</v>
      </c>
      <c r="I131" t="str">
        <f t="shared" si="8"/>
        <v>OK</v>
      </c>
    </row>
    <row r="132" spans="1:9" hidden="1" x14ac:dyDescent="0.3">
      <c r="A132" s="2">
        <v>45673</v>
      </c>
      <c r="B132" t="str">
        <f t="shared" si="6"/>
        <v xml:space="preserve">januari </v>
      </c>
      <c r="C132">
        <v>-3.8</v>
      </c>
      <c r="D132" t="s">
        <v>3</v>
      </c>
      <c r="F132" t="s">
        <v>18</v>
      </c>
      <c r="G132">
        <f t="shared" si="7"/>
        <v>-3.8</v>
      </c>
      <c r="H132" t="str">
        <f>VLOOKUP(Tabel1[[#This Row],[categorie]],Lijst!A:B,2,FALSE)</f>
        <v>Vast</v>
      </c>
      <c r="I132" t="str">
        <f t="shared" si="8"/>
        <v>OK</v>
      </c>
    </row>
    <row r="133" spans="1:9" hidden="1" x14ac:dyDescent="0.3">
      <c r="A133" s="2">
        <v>45673</v>
      </c>
      <c r="B133" t="str">
        <f t="shared" si="6"/>
        <v xml:space="preserve">januari </v>
      </c>
      <c r="C133">
        <v>-1.5</v>
      </c>
      <c r="D133" t="s">
        <v>26</v>
      </c>
      <c r="F133" t="s">
        <v>18</v>
      </c>
      <c r="G133">
        <f t="shared" si="7"/>
        <v>-1.5</v>
      </c>
      <c r="H133" t="str">
        <f>VLOOKUP(Tabel1[[#This Row],[categorie]],Lijst!A:B,2,FALSE)</f>
        <v>Variabel</v>
      </c>
      <c r="I133" t="str">
        <f t="shared" si="8"/>
        <v>OK</v>
      </c>
    </row>
    <row r="134" spans="1:9" hidden="1" x14ac:dyDescent="0.3">
      <c r="A134" s="2">
        <v>45673</v>
      </c>
      <c r="B134" t="str">
        <f t="shared" si="6"/>
        <v xml:space="preserve">januari </v>
      </c>
      <c r="C134">
        <v>-1.4</v>
      </c>
      <c r="D134" t="s">
        <v>26</v>
      </c>
      <c r="F134" t="s">
        <v>18</v>
      </c>
      <c r="G134">
        <f t="shared" si="7"/>
        <v>-1.4</v>
      </c>
      <c r="H134" t="str">
        <f>VLOOKUP(Tabel1[[#This Row],[categorie]],Lijst!A:B,2,FALSE)</f>
        <v>Variabel</v>
      </c>
      <c r="I134" t="str">
        <f t="shared" si="8"/>
        <v>OK</v>
      </c>
    </row>
    <row r="135" spans="1:9" hidden="1" x14ac:dyDescent="0.3">
      <c r="A135" s="2">
        <v>45674</v>
      </c>
      <c r="B135" t="str">
        <f t="shared" si="6"/>
        <v xml:space="preserve">januari </v>
      </c>
      <c r="C135">
        <v>-54</v>
      </c>
      <c r="D135" t="s">
        <v>14</v>
      </c>
      <c r="F135" t="s">
        <v>18</v>
      </c>
      <c r="G135">
        <f t="shared" si="7"/>
        <v>-54</v>
      </c>
      <c r="H135" t="str">
        <f>VLOOKUP(Tabel1[[#This Row],[categorie]],Lijst!A:B,2,FALSE)</f>
        <v>Variabel</v>
      </c>
      <c r="I135" t="str">
        <f t="shared" si="8"/>
        <v>OK</v>
      </c>
    </row>
    <row r="136" spans="1:9" hidden="1" x14ac:dyDescent="0.3">
      <c r="A136" s="2">
        <v>45674</v>
      </c>
      <c r="B136" t="str">
        <f t="shared" si="6"/>
        <v xml:space="preserve">januari </v>
      </c>
      <c r="C136">
        <v>-9.25</v>
      </c>
      <c r="D136" t="s">
        <v>22</v>
      </c>
      <c r="F136" t="s">
        <v>18</v>
      </c>
      <c r="G136">
        <f t="shared" si="7"/>
        <v>-9.25</v>
      </c>
      <c r="H136" t="str">
        <f>VLOOKUP(Tabel1[[#This Row],[categorie]],Lijst!A:B,2,FALSE)</f>
        <v>Variabel</v>
      </c>
      <c r="I136" t="str">
        <f t="shared" si="8"/>
        <v>OK</v>
      </c>
    </row>
    <row r="137" spans="1:9" hidden="1" x14ac:dyDescent="0.3">
      <c r="A137" s="2">
        <v>45674</v>
      </c>
      <c r="B137" t="str">
        <f t="shared" si="6"/>
        <v xml:space="preserve">januari </v>
      </c>
      <c r="C137">
        <v>-8.48</v>
      </c>
      <c r="D137" t="s">
        <v>3</v>
      </c>
      <c r="F137" t="s">
        <v>18</v>
      </c>
      <c r="G137">
        <f t="shared" si="7"/>
        <v>-8.48</v>
      </c>
      <c r="H137" t="str">
        <f>VLOOKUP(Tabel1[[#This Row],[categorie]],Lijst!A:B,2,FALSE)</f>
        <v>Vast</v>
      </c>
      <c r="I137" t="str">
        <f t="shared" si="8"/>
        <v>OK</v>
      </c>
    </row>
    <row r="138" spans="1:9" hidden="1" x14ac:dyDescent="0.3">
      <c r="A138" s="2">
        <v>45674</v>
      </c>
      <c r="B138" t="str">
        <f t="shared" si="6"/>
        <v xml:space="preserve">januari </v>
      </c>
      <c r="C138">
        <v>-8.1199999999999992</v>
      </c>
      <c r="D138" t="s">
        <v>3</v>
      </c>
      <c r="F138" t="s">
        <v>18</v>
      </c>
      <c r="G138">
        <f t="shared" si="7"/>
        <v>-8.1199999999999992</v>
      </c>
      <c r="H138" t="str">
        <f>VLOOKUP(Tabel1[[#This Row],[categorie]],Lijst!A:B,2,FALSE)</f>
        <v>Vast</v>
      </c>
      <c r="I138" t="str">
        <f t="shared" si="8"/>
        <v>OK</v>
      </c>
    </row>
    <row r="139" spans="1:9" hidden="1" x14ac:dyDescent="0.3">
      <c r="A139" s="2">
        <v>45674</v>
      </c>
      <c r="B139" t="str">
        <f t="shared" si="6"/>
        <v xml:space="preserve">januari </v>
      </c>
      <c r="C139">
        <v>-1.5</v>
      </c>
      <c r="D139" t="s">
        <v>26</v>
      </c>
      <c r="F139" t="s">
        <v>18</v>
      </c>
      <c r="G139">
        <f t="shared" si="7"/>
        <v>-1.5</v>
      </c>
      <c r="H139" t="str">
        <f>VLOOKUP(Tabel1[[#This Row],[categorie]],Lijst!A:B,2,FALSE)</f>
        <v>Variabel</v>
      </c>
      <c r="I139" t="str">
        <f t="shared" si="8"/>
        <v>OK</v>
      </c>
    </row>
    <row r="140" spans="1:9" hidden="1" x14ac:dyDescent="0.3">
      <c r="A140" s="2">
        <v>45674</v>
      </c>
      <c r="B140" t="str">
        <f t="shared" si="6"/>
        <v xml:space="preserve">januari </v>
      </c>
      <c r="C140">
        <v>-1.5</v>
      </c>
      <c r="D140" t="s">
        <v>26</v>
      </c>
      <c r="F140" t="s">
        <v>18</v>
      </c>
      <c r="G140">
        <f t="shared" si="7"/>
        <v>-1.5</v>
      </c>
      <c r="H140" t="str">
        <f>VLOOKUP(Tabel1[[#This Row],[categorie]],Lijst!A:B,2,FALSE)</f>
        <v>Variabel</v>
      </c>
      <c r="I140" t="str">
        <f t="shared" si="8"/>
        <v>OK</v>
      </c>
    </row>
    <row r="141" spans="1:9" hidden="1" x14ac:dyDescent="0.3">
      <c r="A141" s="2">
        <v>45674</v>
      </c>
      <c r="B141" t="str">
        <f t="shared" si="6"/>
        <v xml:space="preserve">januari </v>
      </c>
      <c r="C141">
        <v>-1.5</v>
      </c>
      <c r="D141" t="s">
        <v>26</v>
      </c>
      <c r="F141" t="s">
        <v>18</v>
      </c>
      <c r="G141">
        <f t="shared" si="7"/>
        <v>-1.5</v>
      </c>
      <c r="H141" t="str">
        <f>VLOOKUP(Tabel1[[#This Row],[categorie]],Lijst!A:B,2,FALSE)</f>
        <v>Variabel</v>
      </c>
      <c r="I141" t="str">
        <f t="shared" si="8"/>
        <v>OK</v>
      </c>
    </row>
    <row r="142" spans="1:9" hidden="1" x14ac:dyDescent="0.3">
      <c r="A142" s="2">
        <v>45674</v>
      </c>
      <c r="B142" t="str">
        <f t="shared" si="6"/>
        <v xml:space="preserve">januari </v>
      </c>
      <c r="C142">
        <v>0.94</v>
      </c>
      <c r="D142" t="s">
        <v>32</v>
      </c>
      <c r="F142" t="s">
        <v>17</v>
      </c>
      <c r="G142">
        <f t="shared" si="7"/>
        <v>0.94</v>
      </c>
      <c r="H142" t="str">
        <f>VLOOKUP(Tabel1[[#This Row],[categorie]],Lijst!A:B,2,FALSE)</f>
        <v>Variabel</v>
      </c>
      <c r="I142" t="str">
        <f t="shared" si="8"/>
        <v>OK</v>
      </c>
    </row>
    <row r="143" spans="1:9" hidden="1" x14ac:dyDescent="0.3">
      <c r="A143" s="2">
        <v>45675</v>
      </c>
      <c r="B143" t="str">
        <f t="shared" si="6"/>
        <v xml:space="preserve">januari </v>
      </c>
      <c r="C143">
        <v>-194.4</v>
      </c>
      <c r="D143" t="s">
        <v>9</v>
      </c>
      <c r="E143" t="s">
        <v>81</v>
      </c>
      <c r="F143" t="s">
        <v>18</v>
      </c>
      <c r="G143">
        <f t="shared" si="7"/>
        <v>-194.4</v>
      </c>
      <c r="H143" t="str">
        <f>VLOOKUP(Tabel1[[#This Row],[categorie]],Lijst!A:B,2,FALSE)</f>
        <v>Variabel</v>
      </c>
      <c r="I143" t="str">
        <f t="shared" si="8"/>
        <v>OK</v>
      </c>
    </row>
    <row r="144" spans="1:9" hidden="1" x14ac:dyDescent="0.3">
      <c r="A144" s="2">
        <v>45675</v>
      </c>
      <c r="B144" t="str">
        <f t="shared" si="6"/>
        <v xml:space="preserve">januari </v>
      </c>
      <c r="C144">
        <v>-22.96</v>
      </c>
      <c r="D144" t="s">
        <v>45</v>
      </c>
      <c r="F144" t="s">
        <v>18</v>
      </c>
      <c r="G144">
        <f t="shared" si="7"/>
        <v>-22.96</v>
      </c>
      <c r="H144" t="str">
        <f>VLOOKUP(Tabel1[[#This Row],[categorie]],Lijst!A:B,2,FALSE)</f>
        <v>Variabel</v>
      </c>
      <c r="I144" t="str">
        <f t="shared" si="8"/>
        <v>OK</v>
      </c>
    </row>
    <row r="145" spans="1:9" hidden="1" x14ac:dyDescent="0.3">
      <c r="A145" s="2">
        <v>45675</v>
      </c>
      <c r="B145" t="str">
        <f t="shared" si="6"/>
        <v xml:space="preserve">januari </v>
      </c>
      <c r="C145">
        <v>97</v>
      </c>
      <c r="D145" t="s">
        <v>9</v>
      </c>
      <c r="F145" t="s">
        <v>17</v>
      </c>
      <c r="G145">
        <f t="shared" si="7"/>
        <v>97</v>
      </c>
      <c r="H145" t="str">
        <f>VLOOKUP(Tabel1[[#This Row],[categorie]],Lijst!A:B,2,FALSE)</f>
        <v>Variabel</v>
      </c>
      <c r="I145" t="str">
        <f t="shared" si="8"/>
        <v>OK</v>
      </c>
    </row>
    <row r="146" spans="1:9" hidden="1" x14ac:dyDescent="0.3">
      <c r="A146" s="2">
        <v>45676</v>
      </c>
      <c r="B146" t="str">
        <f t="shared" si="6"/>
        <v xml:space="preserve">januari </v>
      </c>
      <c r="C146">
        <v>-122.14</v>
      </c>
      <c r="D146" t="s">
        <v>35</v>
      </c>
      <c r="F146" t="s">
        <v>18</v>
      </c>
      <c r="G146">
        <f t="shared" si="7"/>
        <v>-122.14</v>
      </c>
      <c r="H146" t="str">
        <f>VLOOKUP(Tabel1[[#This Row],[categorie]],Lijst!A:B,2,FALSE)</f>
        <v>Variabel</v>
      </c>
      <c r="I146" t="str">
        <f t="shared" si="8"/>
        <v>OK</v>
      </c>
    </row>
    <row r="147" spans="1:9" hidden="1" x14ac:dyDescent="0.3">
      <c r="A147" s="2">
        <v>45677</v>
      </c>
      <c r="B147" t="str">
        <f t="shared" si="6"/>
        <v xml:space="preserve">januari </v>
      </c>
      <c r="C147">
        <v>-239.7</v>
      </c>
      <c r="D147" t="s">
        <v>14</v>
      </c>
      <c r="F147" t="s">
        <v>18</v>
      </c>
      <c r="G147">
        <f t="shared" si="7"/>
        <v>-239.7</v>
      </c>
      <c r="H147" t="str">
        <f>VLOOKUP(Tabel1[[#This Row],[categorie]],Lijst!A:B,2,FALSE)</f>
        <v>Variabel</v>
      </c>
      <c r="I147" t="str">
        <f t="shared" si="8"/>
        <v>OK</v>
      </c>
    </row>
    <row r="148" spans="1:9" hidden="1" x14ac:dyDescent="0.3">
      <c r="A148" s="2">
        <v>45677</v>
      </c>
      <c r="B148" t="str">
        <f t="shared" si="6"/>
        <v xml:space="preserve">januari </v>
      </c>
      <c r="C148">
        <v>-95.95</v>
      </c>
      <c r="D148" t="s">
        <v>30</v>
      </c>
      <c r="F148" t="s">
        <v>18</v>
      </c>
      <c r="G148">
        <f t="shared" si="7"/>
        <v>-95.95</v>
      </c>
      <c r="H148" t="str">
        <f>VLOOKUP(Tabel1[[#This Row],[categorie]],Lijst!A:B,2,FALSE)</f>
        <v>Vast</v>
      </c>
      <c r="I148" t="str">
        <f t="shared" si="8"/>
        <v>OK</v>
      </c>
    </row>
    <row r="149" spans="1:9" hidden="1" x14ac:dyDescent="0.3">
      <c r="A149" s="2">
        <v>45677</v>
      </c>
      <c r="B149" t="str">
        <f t="shared" si="6"/>
        <v xml:space="preserve">januari </v>
      </c>
      <c r="C149">
        <v>-42.71</v>
      </c>
      <c r="D149" t="s">
        <v>3</v>
      </c>
      <c r="F149" t="s">
        <v>18</v>
      </c>
      <c r="G149">
        <f t="shared" si="7"/>
        <v>-42.71</v>
      </c>
      <c r="H149" t="str">
        <f>VLOOKUP(Tabel1[[#This Row],[categorie]],Lijst!A:B,2,FALSE)</f>
        <v>Vast</v>
      </c>
      <c r="I149" t="str">
        <f t="shared" si="8"/>
        <v>OK</v>
      </c>
    </row>
    <row r="150" spans="1:9" hidden="1" x14ac:dyDescent="0.3">
      <c r="A150" s="2">
        <v>45677</v>
      </c>
      <c r="B150" t="str">
        <f t="shared" si="6"/>
        <v xml:space="preserve">januari </v>
      </c>
      <c r="C150">
        <v>-33.549999999999997</v>
      </c>
      <c r="D150" t="s">
        <v>50</v>
      </c>
      <c r="F150" t="s">
        <v>18</v>
      </c>
      <c r="G150">
        <f t="shared" si="7"/>
        <v>-33.549999999999997</v>
      </c>
      <c r="H150" t="str">
        <f>VLOOKUP(Tabel1[[#This Row],[categorie]],Lijst!A:B,2,FALSE)</f>
        <v>Vast</v>
      </c>
      <c r="I150" t="str">
        <f t="shared" si="8"/>
        <v>OK</v>
      </c>
    </row>
    <row r="151" spans="1:9" hidden="1" x14ac:dyDescent="0.3">
      <c r="A151" s="2">
        <v>45677</v>
      </c>
      <c r="B151" t="str">
        <f t="shared" si="6"/>
        <v xml:space="preserve">januari </v>
      </c>
      <c r="C151">
        <v>-27.85</v>
      </c>
      <c r="D151" t="s">
        <v>9</v>
      </c>
      <c r="F151" t="s">
        <v>18</v>
      </c>
      <c r="G151">
        <f t="shared" si="7"/>
        <v>-27.85</v>
      </c>
      <c r="H151" t="str">
        <f>VLOOKUP(Tabel1[[#This Row],[categorie]],Lijst!A:B,2,FALSE)</f>
        <v>Variabel</v>
      </c>
      <c r="I151" t="str">
        <f t="shared" si="8"/>
        <v>OK</v>
      </c>
    </row>
    <row r="152" spans="1:9" hidden="1" x14ac:dyDescent="0.3">
      <c r="A152" s="2">
        <v>45677</v>
      </c>
      <c r="B152" t="str">
        <f t="shared" si="6"/>
        <v xml:space="preserve">januari </v>
      </c>
      <c r="C152">
        <v>-16</v>
      </c>
      <c r="D152" t="s">
        <v>35</v>
      </c>
      <c r="F152" t="s">
        <v>18</v>
      </c>
      <c r="G152">
        <f t="shared" si="7"/>
        <v>-16</v>
      </c>
      <c r="H152" t="str">
        <f>VLOOKUP(Tabel1[[#This Row],[categorie]],Lijst!A:B,2,FALSE)</f>
        <v>Variabel</v>
      </c>
      <c r="I152" t="str">
        <f t="shared" si="8"/>
        <v>OK</v>
      </c>
    </row>
    <row r="153" spans="1:9" hidden="1" x14ac:dyDescent="0.3">
      <c r="A153" s="2">
        <v>45677</v>
      </c>
      <c r="B153" t="str">
        <f t="shared" si="6"/>
        <v xml:space="preserve">januari </v>
      </c>
      <c r="C153">
        <v>-13.99</v>
      </c>
      <c r="D153" t="s">
        <v>3</v>
      </c>
      <c r="F153" t="s">
        <v>18</v>
      </c>
      <c r="G153">
        <f t="shared" si="7"/>
        <v>-13.99</v>
      </c>
      <c r="H153" t="str">
        <f>VLOOKUP(Tabel1[[#This Row],[categorie]],Lijst!A:B,2,FALSE)</f>
        <v>Vast</v>
      </c>
      <c r="I153" t="str">
        <f t="shared" si="8"/>
        <v>OK</v>
      </c>
    </row>
    <row r="154" spans="1:9" hidden="1" x14ac:dyDescent="0.3">
      <c r="A154" s="2">
        <v>45677</v>
      </c>
      <c r="B154" t="str">
        <f t="shared" si="6"/>
        <v xml:space="preserve">januari </v>
      </c>
      <c r="C154">
        <v>-11.67</v>
      </c>
      <c r="D154" t="s">
        <v>3</v>
      </c>
      <c r="F154" t="s">
        <v>18</v>
      </c>
      <c r="G154">
        <f t="shared" si="7"/>
        <v>-11.67</v>
      </c>
      <c r="H154" t="str">
        <f>VLOOKUP(Tabel1[[#This Row],[categorie]],Lijst!A:B,2,FALSE)</f>
        <v>Vast</v>
      </c>
      <c r="I154" t="str">
        <f t="shared" si="8"/>
        <v>OK</v>
      </c>
    </row>
    <row r="155" spans="1:9" hidden="1" x14ac:dyDescent="0.3">
      <c r="A155" s="2">
        <v>45677</v>
      </c>
      <c r="B155" t="str">
        <f t="shared" si="6"/>
        <v xml:space="preserve">januari </v>
      </c>
      <c r="C155">
        <v>-9.35</v>
      </c>
      <c r="D155" t="s">
        <v>13</v>
      </c>
      <c r="F155" t="s">
        <v>18</v>
      </c>
      <c r="G155">
        <f t="shared" si="7"/>
        <v>-9.35</v>
      </c>
      <c r="H155" t="str">
        <f>VLOOKUP(Tabel1[[#This Row],[categorie]],Lijst!A:B,2,FALSE)</f>
        <v>Vast</v>
      </c>
      <c r="I155" t="str">
        <f t="shared" si="8"/>
        <v>OK</v>
      </c>
    </row>
    <row r="156" spans="1:9" hidden="1" x14ac:dyDescent="0.3">
      <c r="A156" s="2">
        <v>45677</v>
      </c>
      <c r="B156" t="str">
        <f t="shared" si="6"/>
        <v xml:space="preserve">januari </v>
      </c>
      <c r="C156">
        <v>-7.34</v>
      </c>
      <c r="D156" t="s">
        <v>13</v>
      </c>
      <c r="F156" t="s">
        <v>18</v>
      </c>
      <c r="G156">
        <f t="shared" si="7"/>
        <v>-7.34</v>
      </c>
      <c r="H156" t="str">
        <f>VLOOKUP(Tabel1[[#This Row],[categorie]],Lijst!A:B,2,FALSE)</f>
        <v>Vast</v>
      </c>
      <c r="I156" t="str">
        <f t="shared" si="8"/>
        <v>OK</v>
      </c>
    </row>
    <row r="157" spans="1:9" hidden="1" x14ac:dyDescent="0.3">
      <c r="A157" s="2">
        <v>45677</v>
      </c>
      <c r="B157" t="str">
        <f t="shared" si="6"/>
        <v xml:space="preserve">januari </v>
      </c>
      <c r="C157">
        <v>-6.85</v>
      </c>
      <c r="D157" t="s">
        <v>3</v>
      </c>
      <c r="F157" t="s">
        <v>18</v>
      </c>
      <c r="G157">
        <f t="shared" si="7"/>
        <v>-6.85</v>
      </c>
      <c r="H157" t="str">
        <f>VLOOKUP(Tabel1[[#This Row],[categorie]],Lijst!A:B,2,FALSE)</f>
        <v>Vast</v>
      </c>
      <c r="I157" t="str">
        <f t="shared" si="8"/>
        <v>OK</v>
      </c>
    </row>
    <row r="158" spans="1:9" hidden="1" x14ac:dyDescent="0.3">
      <c r="A158" s="2">
        <v>45677</v>
      </c>
      <c r="B158" t="str">
        <f t="shared" si="6"/>
        <v xml:space="preserve">januari </v>
      </c>
      <c r="C158">
        <v>-6.4</v>
      </c>
      <c r="D158" t="s">
        <v>3</v>
      </c>
      <c r="F158" t="s">
        <v>18</v>
      </c>
      <c r="G158">
        <f t="shared" si="7"/>
        <v>-6.4</v>
      </c>
      <c r="H158" t="str">
        <f>VLOOKUP(Tabel1[[#This Row],[categorie]],Lijst!A:B,2,FALSE)</f>
        <v>Vast</v>
      </c>
      <c r="I158" t="str">
        <f t="shared" si="8"/>
        <v>OK</v>
      </c>
    </row>
    <row r="159" spans="1:9" hidden="1" x14ac:dyDescent="0.3">
      <c r="A159" s="2">
        <v>45677</v>
      </c>
      <c r="B159" t="str">
        <f t="shared" si="6"/>
        <v xml:space="preserve">januari </v>
      </c>
      <c r="C159">
        <v>-5</v>
      </c>
      <c r="D159" t="s">
        <v>13</v>
      </c>
      <c r="F159" t="s">
        <v>18</v>
      </c>
      <c r="G159">
        <f t="shared" si="7"/>
        <v>-5</v>
      </c>
      <c r="H159" t="str">
        <f>VLOOKUP(Tabel1[[#This Row],[categorie]],Lijst!A:B,2,FALSE)</f>
        <v>Vast</v>
      </c>
      <c r="I159" t="str">
        <f t="shared" si="8"/>
        <v>OK</v>
      </c>
    </row>
    <row r="160" spans="1:9" hidden="1" x14ac:dyDescent="0.3">
      <c r="A160" s="2">
        <v>45677</v>
      </c>
      <c r="B160" t="str">
        <f t="shared" si="6"/>
        <v xml:space="preserve">januari </v>
      </c>
      <c r="C160">
        <v>-5</v>
      </c>
      <c r="D160" t="s">
        <v>13</v>
      </c>
      <c r="F160" t="s">
        <v>18</v>
      </c>
      <c r="G160">
        <f t="shared" si="7"/>
        <v>-5</v>
      </c>
      <c r="H160" t="str">
        <f>VLOOKUP(Tabel1[[#This Row],[categorie]],Lijst!A:B,2,FALSE)</f>
        <v>Vast</v>
      </c>
      <c r="I160" t="str">
        <f t="shared" si="8"/>
        <v>OK</v>
      </c>
    </row>
    <row r="161" spans="1:9" hidden="1" x14ac:dyDescent="0.3">
      <c r="A161" s="2">
        <v>45677</v>
      </c>
      <c r="B161" t="str">
        <f t="shared" si="6"/>
        <v xml:space="preserve">januari </v>
      </c>
      <c r="C161">
        <v>-5</v>
      </c>
      <c r="D161" t="s">
        <v>13</v>
      </c>
      <c r="F161" t="s">
        <v>18</v>
      </c>
      <c r="G161">
        <f t="shared" si="7"/>
        <v>-5</v>
      </c>
      <c r="H161" t="str">
        <f>VLOOKUP(Tabel1[[#This Row],[categorie]],Lijst!A:B,2,FALSE)</f>
        <v>Vast</v>
      </c>
      <c r="I161" t="str">
        <f t="shared" si="8"/>
        <v>OK</v>
      </c>
    </row>
    <row r="162" spans="1:9" hidden="1" x14ac:dyDescent="0.3">
      <c r="A162" s="2">
        <v>45677</v>
      </c>
      <c r="B162" t="str">
        <f t="shared" si="6"/>
        <v xml:space="preserve">januari </v>
      </c>
      <c r="C162">
        <v>-3.3</v>
      </c>
      <c r="D162" t="s">
        <v>25</v>
      </c>
      <c r="F162" t="s">
        <v>18</v>
      </c>
      <c r="G162">
        <f t="shared" si="7"/>
        <v>-3.3</v>
      </c>
      <c r="H162" t="str">
        <f>VLOOKUP(Tabel1[[#This Row],[categorie]],Lijst!A:B,2,FALSE)</f>
        <v>Variabel</v>
      </c>
      <c r="I162" t="str">
        <f t="shared" si="8"/>
        <v>OK</v>
      </c>
    </row>
    <row r="163" spans="1:9" hidden="1" x14ac:dyDescent="0.3">
      <c r="A163" s="2">
        <v>45677</v>
      </c>
      <c r="B163" t="str">
        <f t="shared" ref="B163:B226" si="9">TEXT(A163,"mmmm ")</f>
        <v xml:space="preserve">januari </v>
      </c>
      <c r="C163">
        <v>-1.46</v>
      </c>
      <c r="D163" t="s">
        <v>13</v>
      </c>
      <c r="F163" t="s">
        <v>18</v>
      </c>
      <c r="G163">
        <f t="shared" ref="G163:G226" si="10">IF(F163="Uitgave", -ABS(C163), ABS(C163))</f>
        <v>-1.46</v>
      </c>
      <c r="H163" t="str">
        <f>VLOOKUP(Tabel1[[#This Row],[categorie]],Lijst!A:B,2,FALSE)</f>
        <v>Vast</v>
      </c>
      <c r="I163" t="str">
        <f t="shared" ref="I163:I226" si="11">IF(OR(AND(F163="Uitgave", C163&lt;0), AND(F163="Inkomst", C163&gt;0)), "OK", "FOUT")</f>
        <v>OK</v>
      </c>
    </row>
    <row r="164" spans="1:9" hidden="1" x14ac:dyDescent="0.3">
      <c r="A164" s="2">
        <v>45677</v>
      </c>
      <c r="B164" t="str">
        <f t="shared" si="9"/>
        <v xml:space="preserve">januari </v>
      </c>
      <c r="C164">
        <v>5.36</v>
      </c>
      <c r="D164" t="s">
        <v>32</v>
      </c>
      <c r="F164" t="s">
        <v>17</v>
      </c>
      <c r="G164">
        <f t="shared" si="10"/>
        <v>5.36</v>
      </c>
      <c r="H164" t="str">
        <f>VLOOKUP(Tabel1[[#This Row],[categorie]],Lijst!A:B,2,FALSE)</f>
        <v>Variabel</v>
      </c>
      <c r="I164" t="str">
        <f t="shared" si="11"/>
        <v>OK</v>
      </c>
    </row>
    <row r="165" spans="1:9" hidden="1" x14ac:dyDescent="0.3">
      <c r="A165" s="2">
        <v>45678</v>
      </c>
      <c r="B165" t="str">
        <f t="shared" si="9"/>
        <v xml:space="preserve">januari </v>
      </c>
      <c r="C165">
        <v>-37.99</v>
      </c>
      <c r="D165" t="s">
        <v>45</v>
      </c>
      <c r="F165" t="s">
        <v>18</v>
      </c>
      <c r="G165">
        <f t="shared" si="10"/>
        <v>-37.99</v>
      </c>
      <c r="H165" t="str">
        <f>VLOOKUP(Tabel1[[#This Row],[categorie]],Lijst!A:B,2,FALSE)</f>
        <v>Variabel</v>
      </c>
      <c r="I165" t="str">
        <f t="shared" si="11"/>
        <v>OK</v>
      </c>
    </row>
    <row r="166" spans="1:9" hidden="1" x14ac:dyDescent="0.3">
      <c r="A166" s="2">
        <v>45678</v>
      </c>
      <c r="B166" t="str">
        <f t="shared" si="9"/>
        <v xml:space="preserve">januari </v>
      </c>
      <c r="C166">
        <v>-19.95</v>
      </c>
      <c r="D166" t="s">
        <v>9</v>
      </c>
      <c r="F166" t="s">
        <v>18</v>
      </c>
      <c r="G166">
        <f t="shared" si="10"/>
        <v>-19.95</v>
      </c>
      <c r="H166" t="str">
        <f>VLOOKUP(Tabel1[[#This Row],[categorie]],Lijst!A:B,2,FALSE)</f>
        <v>Variabel</v>
      </c>
      <c r="I166" t="str">
        <f t="shared" si="11"/>
        <v>OK</v>
      </c>
    </row>
    <row r="167" spans="1:9" hidden="1" x14ac:dyDescent="0.3">
      <c r="A167" s="2">
        <v>45678</v>
      </c>
      <c r="B167" t="str">
        <f t="shared" si="9"/>
        <v xml:space="preserve">januari </v>
      </c>
      <c r="C167">
        <v>-9.89</v>
      </c>
      <c r="D167" t="s">
        <v>3</v>
      </c>
      <c r="F167" t="s">
        <v>18</v>
      </c>
      <c r="G167">
        <f t="shared" si="10"/>
        <v>-9.89</v>
      </c>
      <c r="H167" t="str">
        <f>VLOOKUP(Tabel1[[#This Row],[categorie]],Lijst!A:B,2,FALSE)</f>
        <v>Vast</v>
      </c>
      <c r="I167" t="str">
        <f t="shared" si="11"/>
        <v>OK</v>
      </c>
    </row>
    <row r="168" spans="1:9" hidden="1" x14ac:dyDescent="0.3">
      <c r="A168" s="2">
        <v>45678</v>
      </c>
      <c r="B168" t="str">
        <f t="shared" si="9"/>
        <v xml:space="preserve">januari </v>
      </c>
      <c r="C168">
        <v>-6.4</v>
      </c>
      <c r="D168" t="s">
        <v>3</v>
      </c>
      <c r="F168" t="s">
        <v>18</v>
      </c>
      <c r="G168">
        <f t="shared" si="10"/>
        <v>-6.4</v>
      </c>
      <c r="H168" t="str">
        <f>VLOOKUP(Tabel1[[#This Row],[categorie]],Lijst!A:B,2,FALSE)</f>
        <v>Vast</v>
      </c>
      <c r="I168" t="str">
        <f t="shared" si="11"/>
        <v>OK</v>
      </c>
    </row>
    <row r="169" spans="1:9" hidden="1" x14ac:dyDescent="0.3">
      <c r="A169" s="2">
        <v>45678</v>
      </c>
      <c r="B169" t="str">
        <f t="shared" si="9"/>
        <v xml:space="preserve">januari </v>
      </c>
      <c r="C169">
        <v>-1.5</v>
      </c>
      <c r="D169" t="s">
        <v>26</v>
      </c>
      <c r="F169" t="s">
        <v>18</v>
      </c>
      <c r="G169">
        <f t="shared" si="10"/>
        <v>-1.5</v>
      </c>
      <c r="H169" t="str">
        <f>VLOOKUP(Tabel1[[#This Row],[categorie]],Lijst!A:B,2,FALSE)</f>
        <v>Variabel</v>
      </c>
      <c r="I169" t="str">
        <f t="shared" si="11"/>
        <v>OK</v>
      </c>
    </row>
    <row r="170" spans="1:9" hidden="1" x14ac:dyDescent="0.3">
      <c r="A170" s="2">
        <v>45678</v>
      </c>
      <c r="B170" t="str">
        <f t="shared" si="9"/>
        <v xml:space="preserve">januari </v>
      </c>
      <c r="C170">
        <v>-0.5</v>
      </c>
      <c r="D170" t="s">
        <v>26</v>
      </c>
      <c r="F170" t="s">
        <v>18</v>
      </c>
      <c r="G170">
        <f t="shared" si="10"/>
        <v>-0.5</v>
      </c>
      <c r="H170" t="str">
        <f>VLOOKUP(Tabel1[[#This Row],[categorie]],Lijst!A:B,2,FALSE)</f>
        <v>Variabel</v>
      </c>
      <c r="I170" t="str">
        <f t="shared" si="11"/>
        <v>OK</v>
      </c>
    </row>
    <row r="171" spans="1:9" hidden="1" x14ac:dyDescent="0.3">
      <c r="A171" s="2">
        <v>45678</v>
      </c>
      <c r="B171" t="str">
        <f t="shared" si="9"/>
        <v xml:space="preserve">januari </v>
      </c>
      <c r="C171">
        <v>-0.5</v>
      </c>
      <c r="D171" t="s">
        <v>26</v>
      </c>
      <c r="F171" t="s">
        <v>18</v>
      </c>
      <c r="G171">
        <f t="shared" si="10"/>
        <v>-0.5</v>
      </c>
      <c r="H171" t="str">
        <f>VLOOKUP(Tabel1[[#This Row],[categorie]],Lijst!A:B,2,FALSE)</f>
        <v>Variabel</v>
      </c>
      <c r="I171" t="str">
        <f t="shared" si="11"/>
        <v>OK</v>
      </c>
    </row>
    <row r="172" spans="1:9" hidden="1" x14ac:dyDescent="0.3">
      <c r="A172" s="2">
        <v>45679</v>
      </c>
      <c r="B172" t="str">
        <f t="shared" si="9"/>
        <v xml:space="preserve">januari </v>
      </c>
      <c r="C172">
        <v>-52.31</v>
      </c>
      <c r="D172" t="s">
        <v>28</v>
      </c>
      <c r="F172" t="s">
        <v>18</v>
      </c>
      <c r="G172">
        <f t="shared" si="10"/>
        <v>-52.31</v>
      </c>
      <c r="H172" t="str">
        <f>VLOOKUP(Tabel1[[#This Row],[categorie]],Lijst!A:B,2,FALSE)</f>
        <v>Vast</v>
      </c>
      <c r="I172" t="str">
        <f t="shared" si="11"/>
        <v>OK</v>
      </c>
    </row>
    <row r="173" spans="1:9" hidden="1" x14ac:dyDescent="0.3">
      <c r="A173" s="2">
        <v>45679</v>
      </c>
      <c r="B173" t="str">
        <f t="shared" si="9"/>
        <v xml:space="preserve">januari </v>
      </c>
      <c r="C173">
        <v>-15.04</v>
      </c>
      <c r="D173" t="s">
        <v>13</v>
      </c>
      <c r="F173" t="s">
        <v>18</v>
      </c>
      <c r="G173">
        <f t="shared" si="10"/>
        <v>-15.04</v>
      </c>
      <c r="H173" t="str">
        <f>VLOOKUP(Tabel1[[#This Row],[categorie]],Lijst!A:B,2,FALSE)</f>
        <v>Vast</v>
      </c>
      <c r="I173" t="str">
        <f t="shared" si="11"/>
        <v>OK</v>
      </c>
    </row>
    <row r="174" spans="1:9" hidden="1" x14ac:dyDescent="0.3">
      <c r="A174" s="2">
        <v>45679</v>
      </c>
      <c r="B174" t="str">
        <f t="shared" si="9"/>
        <v xml:space="preserve">januari </v>
      </c>
      <c r="C174">
        <v>-12.19</v>
      </c>
      <c r="D174" t="s">
        <v>3</v>
      </c>
      <c r="F174" t="s">
        <v>18</v>
      </c>
      <c r="G174">
        <f t="shared" si="10"/>
        <v>-12.19</v>
      </c>
      <c r="H174" t="str">
        <f>VLOOKUP(Tabel1[[#This Row],[categorie]],Lijst!A:B,2,FALSE)</f>
        <v>Vast</v>
      </c>
      <c r="I174" t="str">
        <f t="shared" si="11"/>
        <v>OK</v>
      </c>
    </row>
    <row r="175" spans="1:9" hidden="1" x14ac:dyDescent="0.3">
      <c r="A175" s="2">
        <v>45679</v>
      </c>
      <c r="B175" t="str">
        <f t="shared" si="9"/>
        <v xml:space="preserve">januari </v>
      </c>
      <c r="C175">
        <v>-3.8</v>
      </c>
      <c r="D175" t="s">
        <v>3</v>
      </c>
      <c r="F175" t="s">
        <v>18</v>
      </c>
      <c r="G175">
        <f t="shared" si="10"/>
        <v>-3.8</v>
      </c>
      <c r="H175" t="str">
        <f>VLOOKUP(Tabel1[[#This Row],[categorie]],Lijst!A:B,2,FALSE)</f>
        <v>Vast</v>
      </c>
      <c r="I175" t="str">
        <f t="shared" si="11"/>
        <v>OK</v>
      </c>
    </row>
    <row r="176" spans="1:9" hidden="1" x14ac:dyDescent="0.3">
      <c r="A176" s="2">
        <v>45679</v>
      </c>
      <c r="B176" t="str">
        <f t="shared" si="9"/>
        <v xml:space="preserve">januari </v>
      </c>
      <c r="C176">
        <v>-3.5</v>
      </c>
      <c r="D176" t="s">
        <v>3</v>
      </c>
      <c r="F176" t="s">
        <v>18</v>
      </c>
      <c r="G176">
        <f t="shared" si="10"/>
        <v>-3.5</v>
      </c>
      <c r="H176" t="str">
        <f>VLOOKUP(Tabel1[[#This Row],[categorie]],Lijst!A:B,2,FALSE)</f>
        <v>Vast</v>
      </c>
      <c r="I176" t="str">
        <f t="shared" si="11"/>
        <v>OK</v>
      </c>
    </row>
    <row r="177" spans="1:9" hidden="1" x14ac:dyDescent="0.3">
      <c r="A177" s="2">
        <v>45679</v>
      </c>
      <c r="B177" t="str">
        <f t="shared" si="9"/>
        <v xml:space="preserve">januari </v>
      </c>
      <c r="C177">
        <v>-0.3</v>
      </c>
      <c r="D177" t="s">
        <v>3</v>
      </c>
      <c r="F177" t="s">
        <v>18</v>
      </c>
      <c r="G177">
        <f t="shared" si="10"/>
        <v>-0.3</v>
      </c>
      <c r="H177" t="str">
        <f>VLOOKUP(Tabel1[[#This Row],[categorie]],Lijst!A:B,2,FALSE)</f>
        <v>Vast</v>
      </c>
      <c r="I177" t="str">
        <f t="shared" si="11"/>
        <v>OK</v>
      </c>
    </row>
    <row r="178" spans="1:9" hidden="1" x14ac:dyDescent="0.3">
      <c r="A178" s="2">
        <v>45680</v>
      </c>
      <c r="B178" t="str">
        <f t="shared" si="9"/>
        <v xml:space="preserve">januari </v>
      </c>
      <c r="C178">
        <v>-9.39</v>
      </c>
      <c r="D178" t="s">
        <v>3</v>
      </c>
      <c r="F178" t="s">
        <v>18</v>
      </c>
      <c r="G178">
        <f t="shared" si="10"/>
        <v>-9.39</v>
      </c>
      <c r="H178" t="str">
        <f>VLOOKUP(Tabel1[[#This Row],[categorie]],Lijst!A:B,2,FALSE)</f>
        <v>Vast</v>
      </c>
      <c r="I178" t="str">
        <f t="shared" si="11"/>
        <v>OK</v>
      </c>
    </row>
    <row r="179" spans="1:9" hidden="1" x14ac:dyDescent="0.3">
      <c r="A179" s="2">
        <v>45681</v>
      </c>
      <c r="B179" t="str">
        <f t="shared" si="9"/>
        <v xml:space="preserve">januari </v>
      </c>
      <c r="C179">
        <v>-113.49</v>
      </c>
      <c r="D179" t="s">
        <v>28</v>
      </c>
      <c r="F179" t="s">
        <v>18</v>
      </c>
      <c r="G179">
        <f t="shared" si="10"/>
        <v>-113.49</v>
      </c>
      <c r="H179" t="str">
        <f>VLOOKUP(Tabel1[[#This Row],[categorie]],Lijst!A:B,2,FALSE)</f>
        <v>Vast</v>
      </c>
      <c r="I179" t="str">
        <f t="shared" si="11"/>
        <v>OK</v>
      </c>
    </row>
    <row r="180" spans="1:9" hidden="1" x14ac:dyDescent="0.3">
      <c r="A180" s="2">
        <v>45681</v>
      </c>
      <c r="B180" t="str">
        <f t="shared" si="9"/>
        <v xml:space="preserve">januari </v>
      </c>
      <c r="C180">
        <v>-30.5</v>
      </c>
      <c r="D180" t="s">
        <v>14</v>
      </c>
      <c r="F180" t="s">
        <v>18</v>
      </c>
      <c r="G180">
        <f t="shared" si="10"/>
        <v>-30.5</v>
      </c>
      <c r="H180" t="str">
        <f>VLOOKUP(Tabel1[[#This Row],[categorie]],Lijst!A:B,2,FALSE)</f>
        <v>Variabel</v>
      </c>
      <c r="I180" t="str">
        <f t="shared" si="11"/>
        <v>OK</v>
      </c>
    </row>
    <row r="181" spans="1:9" hidden="1" x14ac:dyDescent="0.3">
      <c r="A181" s="2">
        <v>45681</v>
      </c>
      <c r="B181" t="str">
        <f t="shared" si="9"/>
        <v xml:space="preserve">januari </v>
      </c>
      <c r="C181">
        <v>-24.99</v>
      </c>
      <c r="D181" t="s">
        <v>30</v>
      </c>
      <c r="F181" t="s">
        <v>18</v>
      </c>
      <c r="G181">
        <f t="shared" si="10"/>
        <v>-24.99</v>
      </c>
      <c r="H181" t="str">
        <f>VLOOKUP(Tabel1[[#This Row],[categorie]],Lijst!A:B,2,FALSE)</f>
        <v>Vast</v>
      </c>
      <c r="I181" t="str">
        <f t="shared" si="11"/>
        <v>OK</v>
      </c>
    </row>
    <row r="182" spans="1:9" hidden="1" x14ac:dyDescent="0.3">
      <c r="A182" s="2">
        <v>45681</v>
      </c>
      <c r="B182" t="str">
        <f t="shared" si="9"/>
        <v xml:space="preserve">januari </v>
      </c>
      <c r="C182">
        <v>-18.45</v>
      </c>
      <c r="D182" t="s">
        <v>3</v>
      </c>
      <c r="F182" t="s">
        <v>18</v>
      </c>
      <c r="G182">
        <f t="shared" si="10"/>
        <v>-18.45</v>
      </c>
      <c r="H182" t="str">
        <f>VLOOKUP(Tabel1[[#This Row],[categorie]],Lijst!A:B,2,FALSE)</f>
        <v>Vast</v>
      </c>
      <c r="I182" t="str">
        <f t="shared" si="11"/>
        <v>OK</v>
      </c>
    </row>
    <row r="183" spans="1:9" hidden="1" x14ac:dyDescent="0.3">
      <c r="A183" s="2">
        <v>45681</v>
      </c>
      <c r="B183" t="str">
        <f t="shared" si="9"/>
        <v xml:space="preserve">januari </v>
      </c>
      <c r="C183">
        <v>-9.39</v>
      </c>
      <c r="D183" t="s">
        <v>3</v>
      </c>
      <c r="F183" t="s">
        <v>18</v>
      </c>
      <c r="G183">
        <f t="shared" si="10"/>
        <v>-9.39</v>
      </c>
      <c r="H183" t="str">
        <f>VLOOKUP(Tabel1[[#This Row],[categorie]],Lijst!A:B,2,FALSE)</f>
        <v>Vast</v>
      </c>
      <c r="I183" t="str">
        <f t="shared" si="11"/>
        <v>OK</v>
      </c>
    </row>
    <row r="184" spans="1:9" hidden="1" x14ac:dyDescent="0.3">
      <c r="A184" s="2">
        <v>45681</v>
      </c>
      <c r="B184" t="str">
        <f t="shared" si="9"/>
        <v xml:space="preserve">januari </v>
      </c>
      <c r="C184">
        <v>-8.52</v>
      </c>
      <c r="D184" t="s">
        <v>3</v>
      </c>
      <c r="F184" t="s">
        <v>18</v>
      </c>
      <c r="G184">
        <f t="shared" si="10"/>
        <v>-8.52</v>
      </c>
      <c r="H184" t="str">
        <f>VLOOKUP(Tabel1[[#This Row],[categorie]],Lijst!A:B,2,FALSE)</f>
        <v>Vast</v>
      </c>
      <c r="I184" t="str">
        <f t="shared" si="11"/>
        <v>OK</v>
      </c>
    </row>
    <row r="185" spans="1:9" hidden="1" x14ac:dyDescent="0.3">
      <c r="A185" s="2">
        <v>45681</v>
      </c>
      <c r="B185" t="str">
        <f t="shared" si="9"/>
        <v xml:space="preserve">januari </v>
      </c>
      <c r="C185">
        <v>-1.5</v>
      </c>
      <c r="D185" t="s">
        <v>26</v>
      </c>
      <c r="F185" t="s">
        <v>18</v>
      </c>
      <c r="G185">
        <f t="shared" si="10"/>
        <v>-1.5</v>
      </c>
      <c r="H185" t="str">
        <f>VLOOKUP(Tabel1[[#This Row],[categorie]],Lijst!A:B,2,FALSE)</f>
        <v>Variabel</v>
      </c>
      <c r="I185" t="str">
        <f t="shared" si="11"/>
        <v>OK</v>
      </c>
    </row>
    <row r="186" spans="1:9" hidden="1" x14ac:dyDescent="0.3">
      <c r="A186" s="2">
        <v>45682</v>
      </c>
      <c r="B186" t="str">
        <f t="shared" si="9"/>
        <v xml:space="preserve">januari </v>
      </c>
      <c r="C186">
        <v>-133</v>
      </c>
      <c r="D186" t="s">
        <v>48</v>
      </c>
      <c r="F186" t="s">
        <v>18</v>
      </c>
      <c r="G186">
        <f t="shared" si="10"/>
        <v>-133</v>
      </c>
      <c r="H186" t="str">
        <f>VLOOKUP(Tabel1[[#This Row],[categorie]],Lijst!A:B,2,FALSE)</f>
        <v>Variabel</v>
      </c>
      <c r="I186" t="str">
        <f t="shared" si="11"/>
        <v>OK</v>
      </c>
    </row>
    <row r="187" spans="1:9" hidden="1" x14ac:dyDescent="0.3">
      <c r="A187" s="2">
        <v>45682</v>
      </c>
      <c r="B187" t="str">
        <f t="shared" si="9"/>
        <v xml:space="preserve">januari </v>
      </c>
      <c r="C187">
        <v>-13</v>
      </c>
      <c r="D187" t="s">
        <v>54</v>
      </c>
      <c r="F187" t="s">
        <v>18</v>
      </c>
      <c r="G187">
        <f t="shared" si="10"/>
        <v>-13</v>
      </c>
      <c r="H187" t="str">
        <f>VLOOKUP(Tabel1[[#This Row],[categorie]],Lijst!A:B,2,FALSE)</f>
        <v>Variabel</v>
      </c>
      <c r="I187" t="str">
        <f t="shared" si="11"/>
        <v>OK</v>
      </c>
    </row>
    <row r="188" spans="1:9" hidden="1" x14ac:dyDescent="0.3">
      <c r="A188" s="2">
        <v>45684</v>
      </c>
      <c r="B188" t="str">
        <f t="shared" si="9"/>
        <v xml:space="preserve">januari </v>
      </c>
      <c r="C188">
        <v>-105.21</v>
      </c>
      <c r="D188" t="s">
        <v>14</v>
      </c>
      <c r="F188" t="s">
        <v>18</v>
      </c>
      <c r="G188">
        <f t="shared" si="10"/>
        <v>-105.21</v>
      </c>
      <c r="H188" t="str">
        <f>VLOOKUP(Tabel1[[#This Row],[categorie]],Lijst!A:B,2,FALSE)</f>
        <v>Variabel</v>
      </c>
      <c r="I188" t="str">
        <f t="shared" si="11"/>
        <v>OK</v>
      </c>
    </row>
    <row r="189" spans="1:9" hidden="1" x14ac:dyDescent="0.3">
      <c r="A189" s="2">
        <v>45684</v>
      </c>
      <c r="B189" t="str">
        <f t="shared" si="9"/>
        <v xml:space="preserve">januari </v>
      </c>
      <c r="C189">
        <v>-44.75</v>
      </c>
      <c r="D189" t="s">
        <v>14</v>
      </c>
      <c r="F189" t="s">
        <v>18</v>
      </c>
      <c r="G189">
        <f t="shared" si="10"/>
        <v>-44.75</v>
      </c>
      <c r="H189" t="str">
        <f>VLOOKUP(Tabel1[[#This Row],[categorie]],Lijst!A:B,2,FALSE)</f>
        <v>Variabel</v>
      </c>
      <c r="I189" t="str">
        <f t="shared" si="11"/>
        <v>OK</v>
      </c>
    </row>
    <row r="190" spans="1:9" hidden="1" x14ac:dyDescent="0.3">
      <c r="A190" s="2">
        <v>45684</v>
      </c>
      <c r="B190" t="str">
        <f t="shared" si="9"/>
        <v xml:space="preserve">januari </v>
      </c>
      <c r="C190">
        <v>-32.97</v>
      </c>
      <c r="D190" t="s">
        <v>14</v>
      </c>
      <c r="F190" t="s">
        <v>18</v>
      </c>
      <c r="G190">
        <f t="shared" si="10"/>
        <v>-32.97</v>
      </c>
      <c r="H190" t="str">
        <f>VLOOKUP(Tabel1[[#This Row],[categorie]],Lijst!A:B,2,FALSE)</f>
        <v>Variabel</v>
      </c>
      <c r="I190" t="str">
        <f t="shared" si="11"/>
        <v>OK</v>
      </c>
    </row>
    <row r="191" spans="1:9" hidden="1" x14ac:dyDescent="0.3">
      <c r="A191" s="2">
        <v>45684</v>
      </c>
      <c r="B191" t="str">
        <f t="shared" si="9"/>
        <v xml:space="preserve">januari </v>
      </c>
      <c r="C191">
        <v>-27.4</v>
      </c>
      <c r="D191" t="s">
        <v>9</v>
      </c>
      <c r="F191" t="s">
        <v>18</v>
      </c>
      <c r="G191">
        <f t="shared" si="10"/>
        <v>-27.4</v>
      </c>
      <c r="H191" t="str">
        <f>VLOOKUP(Tabel1[[#This Row],[categorie]],Lijst!A:B,2,FALSE)</f>
        <v>Variabel</v>
      </c>
      <c r="I191" t="str">
        <f t="shared" si="11"/>
        <v>OK</v>
      </c>
    </row>
    <row r="192" spans="1:9" hidden="1" x14ac:dyDescent="0.3">
      <c r="A192" s="2">
        <v>45684</v>
      </c>
      <c r="B192" t="str">
        <f t="shared" si="9"/>
        <v xml:space="preserve">januari </v>
      </c>
      <c r="C192">
        <v>-24.75</v>
      </c>
      <c r="D192" t="s">
        <v>3</v>
      </c>
      <c r="F192" t="s">
        <v>18</v>
      </c>
      <c r="G192">
        <f t="shared" si="10"/>
        <v>-24.75</v>
      </c>
      <c r="H192" t="str">
        <f>VLOOKUP(Tabel1[[#This Row],[categorie]],Lijst!A:B,2,FALSE)</f>
        <v>Vast</v>
      </c>
      <c r="I192" t="str">
        <f t="shared" si="11"/>
        <v>OK</v>
      </c>
    </row>
    <row r="193" spans="1:9" hidden="1" x14ac:dyDescent="0.3">
      <c r="A193" s="2">
        <v>45684</v>
      </c>
      <c r="B193" t="str">
        <f t="shared" si="9"/>
        <v xml:space="preserve">januari </v>
      </c>
      <c r="C193">
        <v>-21.5</v>
      </c>
      <c r="D193" t="s">
        <v>14</v>
      </c>
      <c r="F193" t="s">
        <v>18</v>
      </c>
      <c r="G193">
        <f t="shared" si="10"/>
        <v>-21.5</v>
      </c>
      <c r="H193" t="str">
        <f>VLOOKUP(Tabel1[[#This Row],[categorie]],Lijst!A:B,2,FALSE)</f>
        <v>Variabel</v>
      </c>
      <c r="I193" t="str">
        <f t="shared" si="11"/>
        <v>OK</v>
      </c>
    </row>
    <row r="194" spans="1:9" hidden="1" x14ac:dyDescent="0.3">
      <c r="A194" s="2">
        <v>45684</v>
      </c>
      <c r="B194" t="str">
        <f t="shared" si="9"/>
        <v xml:space="preserve">januari </v>
      </c>
      <c r="C194">
        <v>-15</v>
      </c>
      <c r="D194" t="s">
        <v>14</v>
      </c>
      <c r="F194" t="s">
        <v>18</v>
      </c>
      <c r="G194">
        <f t="shared" si="10"/>
        <v>-15</v>
      </c>
      <c r="H194" t="str">
        <f>VLOOKUP(Tabel1[[#This Row],[categorie]],Lijst!A:B,2,FALSE)</f>
        <v>Variabel</v>
      </c>
      <c r="I194" t="str">
        <f t="shared" si="11"/>
        <v>OK</v>
      </c>
    </row>
    <row r="195" spans="1:9" hidden="1" x14ac:dyDescent="0.3">
      <c r="A195" s="2">
        <v>45684</v>
      </c>
      <c r="B195" t="str">
        <f t="shared" si="9"/>
        <v xml:space="preserve">januari </v>
      </c>
      <c r="C195">
        <v>-14.95</v>
      </c>
      <c r="D195" t="s">
        <v>9</v>
      </c>
      <c r="F195" t="s">
        <v>18</v>
      </c>
      <c r="G195">
        <f t="shared" si="10"/>
        <v>-14.95</v>
      </c>
      <c r="H195" t="str">
        <f>VLOOKUP(Tabel1[[#This Row],[categorie]],Lijst!A:B,2,FALSE)</f>
        <v>Variabel</v>
      </c>
      <c r="I195" t="str">
        <f t="shared" si="11"/>
        <v>OK</v>
      </c>
    </row>
    <row r="196" spans="1:9" hidden="1" x14ac:dyDescent="0.3">
      <c r="A196" s="2">
        <v>45684</v>
      </c>
      <c r="B196" t="str">
        <f t="shared" si="9"/>
        <v xml:space="preserve">januari </v>
      </c>
      <c r="C196">
        <v>-12.7</v>
      </c>
      <c r="D196" t="s">
        <v>14</v>
      </c>
      <c r="F196" t="s">
        <v>18</v>
      </c>
      <c r="G196">
        <f t="shared" si="10"/>
        <v>-12.7</v>
      </c>
      <c r="H196" t="str">
        <f>VLOOKUP(Tabel1[[#This Row],[categorie]],Lijst!A:B,2,FALSE)</f>
        <v>Variabel</v>
      </c>
      <c r="I196" t="str">
        <f t="shared" si="11"/>
        <v>OK</v>
      </c>
    </row>
    <row r="197" spans="1:9" hidden="1" x14ac:dyDescent="0.3">
      <c r="A197" s="2">
        <v>45684</v>
      </c>
      <c r="B197" t="str">
        <f t="shared" si="9"/>
        <v xml:space="preserve">januari </v>
      </c>
      <c r="C197">
        <v>-8.84</v>
      </c>
      <c r="D197" t="s">
        <v>3</v>
      </c>
      <c r="F197" t="s">
        <v>18</v>
      </c>
      <c r="G197">
        <f t="shared" si="10"/>
        <v>-8.84</v>
      </c>
      <c r="H197" t="str">
        <f>VLOOKUP(Tabel1[[#This Row],[categorie]],Lijst!A:B,2,FALSE)</f>
        <v>Vast</v>
      </c>
      <c r="I197" t="str">
        <f t="shared" si="11"/>
        <v>OK</v>
      </c>
    </row>
    <row r="198" spans="1:9" hidden="1" x14ac:dyDescent="0.3">
      <c r="A198" s="2">
        <v>45684</v>
      </c>
      <c r="B198" t="str">
        <f t="shared" si="9"/>
        <v xml:space="preserve">januari </v>
      </c>
      <c r="C198">
        <v>-7.11</v>
      </c>
      <c r="D198" t="s">
        <v>13</v>
      </c>
      <c r="F198" t="s">
        <v>18</v>
      </c>
      <c r="G198">
        <f t="shared" si="10"/>
        <v>-7.11</v>
      </c>
      <c r="H198" t="str">
        <f>VLOOKUP(Tabel1[[#This Row],[categorie]],Lijst!A:B,2,FALSE)</f>
        <v>Vast</v>
      </c>
      <c r="I198" t="str">
        <f t="shared" si="11"/>
        <v>OK</v>
      </c>
    </row>
    <row r="199" spans="1:9" hidden="1" x14ac:dyDescent="0.3">
      <c r="A199" s="2">
        <v>45684</v>
      </c>
      <c r="B199" t="str">
        <f t="shared" si="9"/>
        <v xml:space="preserve">januari </v>
      </c>
      <c r="C199">
        <v>-6.7</v>
      </c>
      <c r="D199" t="s">
        <v>3</v>
      </c>
      <c r="F199" t="s">
        <v>18</v>
      </c>
      <c r="G199">
        <f t="shared" si="10"/>
        <v>-6.7</v>
      </c>
      <c r="H199" t="str">
        <f>VLOOKUP(Tabel1[[#This Row],[categorie]],Lijst!A:B,2,FALSE)</f>
        <v>Vast</v>
      </c>
      <c r="I199" t="str">
        <f t="shared" si="11"/>
        <v>OK</v>
      </c>
    </row>
    <row r="200" spans="1:9" hidden="1" x14ac:dyDescent="0.3">
      <c r="A200" s="2">
        <v>45684</v>
      </c>
      <c r="B200" t="str">
        <f t="shared" si="9"/>
        <v xml:space="preserve">januari </v>
      </c>
      <c r="C200">
        <v>-5.77</v>
      </c>
      <c r="D200" t="s">
        <v>13</v>
      </c>
      <c r="F200" t="s">
        <v>18</v>
      </c>
      <c r="G200">
        <f t="shared" si="10"/>
        <v>-5.77</v>
      </c>
      <c r="H200" t="str">
        <f>VLOOKUP(Tabel1[[#This Row],[categorie]],Lijst!A:B,2,FALSE)</f>
        <v>Vast</v>
      </c>
      <c r="I200" t="str">
        <f t="shared" si="11"/>
        <v>OK</v>
      </c>
    </row>
    <row r="201" spans="1:9" hidden="1" x14ac:dyDescent="0.3">
      <c r="A201" s="2">
        <v>45684</v>
      </c>
      <c r="B201" t="str">
        <f t="shared" si="9"/>
        <v xml:space="preserve">januari </v>
      </c>
      <c r="C201">
        <v>-5.49</v>
      </c>
      <c r="D201" t="s">
        <v>3</v>
      </c>
      <c r="F201" t="s">
        <v>18</v>
      </c>
      <c r="G201">
        <f t="shared" si="10"/>
        <v>-5.49</v>
      </c>
      <c r="H201" t="str">
        <f>VLOOKUP(Tabel1[[#This Row],[categorie]],Lijst!A:B,2,FALSE)</f>
        <v>Vast</v>
      </c>
      <c r="I201" t="str">
        <f t="shared" si="11"/>
        <v>OK</v>
      </c>
    </row>
    <row r="202" spans="1:9" hidden="1" x14ac:dyDescent="0.3">
      <c r="A202" s="2">
        <v>45684</v>
      </c>
      <c r="B202" t="str">
        <f t="shared" si="9"/>
        <v xml:space="preserve">januari </v>
      </c>
      <c r="C202">
        <v>-5</v>
      </c>
      <c r="D202" t="s">
        <v>3</v>
      </c>
      <c r="F202" t="s">
        <v>18</v>
      </c>
      <c r="G202">
        <f t="shared" si="10"/>
        <v>-5</v>
      </c>
      <c r="H202" t="str">
        <f>VLOOKUP(Tabel1[[#This Row],[categorie]],Lijst!A:B,2,FALSE)</f>
        <v>Vast</v>
      </c>
      <c r="I202" t="str">
        <f t="shared" si="11"/>
        <v>OK</v>
      </c>
    </row>
    <row r="203" spans="1:9" hidden="1" x14ac:dyDescent="0.3">
      <c r="A203" s="2">
        <v>45684</v>
      </c>
      <c r="B203" t="str">
        <f t="shared" si="9"/>
        <v xml:space="preserve">januari </v>
      </c>
      <c r="C203">
        <v>-5</v>
      </c>
      <c r="D203" t="s">
        <v>13</v>
      </c>
      <c r="F203" t="s">
        <v>18</v>
      </c>
      <c r="G203">
        <f t="shared" si="10"/>
        <v>-5</v>
      </c>
      <c r="H203" t="str">
        <f>VLOOKUP(Tabel1[[#This Row],[categorie]],Lijst!A:B,2,FALSE)</f>
        <v>Vast</v>
      </c>
      <c r="I203" t="str">
        <f t="shared" si="11"/>
        <v>OK</v>
      </c>
    </row>
    <row r="204" spans="1:9" hidden="1" x14ac:dyDescent="0.3">
      <c r="A204" s="2">
        <v>45684</v>
      </c>
      <c r="B204" t="str">
        <f t="shared" si="9"/>
        <v xml:space="preserve">januari </v>
      </c>
      <c r="C204">
        <v>-5</v>
      </c>
      <c r="D204" t="s">
        <v>13</v>
      </c>
      <c r="F204" t="s">
        <v>18</v>
      </c>
      <c r="G204">
        <f t="shared" si="10"/>
        <v>-5</v>
      </c>
      <c r="H204" t="str">
        <f>VLOOKUP(Tabel1[[#This Row],[categorie]],Lijst!A:B,2,FALSE)</f>
        <v>Vast</v>
      </c>
      <c r="I204" t="str">
        <f t="shared" si="11"/>
        <v>OK</v>
      </c>
    </row>
    <row r="205" spans="1:9" hidden="1" x14ac:dyDescent="0.3">
      <c r="A205" s="2">
        <v>45684</v>
      </c>
      <c r="B205" t="str">
        <f t="shared" si="9"/>
        <v xml:space="preserve">januari </v>
      </c>
      <c r="C205">
        <v>-2.08</v>
      </c>
      <c r="D205" t="s">
        <v>48</v>
      </c>
      <c r="F205" t="s">
        <v>18</v>
      </c>
      <c r="G205">
        <f t="shared" si="10"/>
        <v>-2.08</v>
      </c>
      <c r="H205" t="str">
        <f>VLOOKUP(Tabel1[[#This Row],[categorie]],Lijst!A:B,2,FALSE)</f>
        <v>Variabel</v>
      </c>
      <c r="I205" t="str">
        <f t="shared" si="11"/>
        <v>OK</v>
      </c>
    </row>
    <row r="206" spans="1:9" hidden="1" x14ac:dyDescent="0.3">
      <c r="A206" s="2">
        <v>45684</v>
      </c>
      <c r="B206" t="str">
        <f t="shared" si="9"/>
        <v xml:space="preserve">januari </v>
      </c>
      <c r="C206">
        <v>-1.5</v>
      </c>
      <c r="D206" t="s">
        <v>26</v>
      </c>
      <c r="F206" t="s">
        <v>18</v>
      </c>
      <c r="G206">
        <f t="shared" si="10"/>
        <v>-1.5</v>
      </c>
      <c r="H206" t="str">
        <f>VLOOKUP(Tabel1[[#This Row],[categorie]],Lijst!A:B,2,FALSE)</f>
        <v>Variabel</v>
      </c>
      <c r="I206" t="str">
        <f t="shared" si="11"/>
        <v>OK</v>
      </c>
    </row>
    <row r="207" spans="1:9" hidden="1" x14ac:dyDescent="0.3">
      <c r="A207" s="2">
        <v>45685</v>
      </c>
      <c r="B207" t="str">
        <f t="shared" si="9"/>
        <v xml:space="preserve">januari </v>
      </c>
      <c r="C207">
        <v>-150</v>
      </c>
      <c r="D207" t="s">
        <v>27</v>
      </c>
      <c r="F207" t="s">
        <v>18</v>
      </c>
      <c r="G207">
        <f t="shared" si="10"/>
        <v>-150</v>
      </c>
      <c r="H207" t="str">
        <f>VLOOKUP(Tabel1[[#This Row],[categorie]],Lijst!A:B,2,FALSE)</f>
        <v>Variabel</v>
      </c>
      <c r="I207" t="str">
        <f t="shared" si="11"/>
        <v>OK</v>
      </c>
    </row>
    <row r="208" spans="1:9" hidden="1" x14ac:dyDescent="0.3">
      <c r="A208" s="2">
        <v>45685</v>
      </c>
      <c r="B208" t="str">
        <f t="shared" si="9"/>
        <v xml:space="preserve">januari </v>
      </c>
      <c r="C208">
        <v>-10.42</v>
      </c>
      <c r="D208" t="s">
        <v>35</v>
      </c>
      <c r="F208" t="s">
        <v>18</v>
      </c>
      <c r="G208">
        <f t="shared" si="10"/>
        <v>-10.42</v>
      </c>
      <c r="H208" t="str">
        <f>VLOOKUP(Tabel1[[#This Row],[categorie]],Lijst!A:B,2,FALSE)</f>
        <v>Variabel</v>
      </c>
      <c r="I208" t="str">
        <f t="shared" si="11"/>
        <v>OK</v>
      </c>
    </row>
    <row r="209" spans="1:9" hidden="1" x14ac:dyDescent="0.3">
      <c r="A209" s="2">
        <v>45685</v>
      </c>
      <c r="B209" t="str">
        <f t="shared" si="9"/>
        <v xml:space="preserve">januari </v>
      </c>
      <c r="C209">
        <v>-6.7</v>
      </c>
      <c r="D209" t="s">
        <v>3</v>
      </c>
      <c r="F209" t="s">
        <v>18</v>
      </c>
      <c r="G209">
        <f t="shared" si="10"/>
        <v>-6.7</v>
      </c>
      <c r="H209" t="str">
        <f>VLOOKUP(Tabel1[[#This Row],[categorie]],Lijst!A:B,2,FALSE)</f>
        <v>Vast</v>
      </c>
      <c r="I209" t="str">
        <f t="shared" si="11"/>
        <v>OK</v>
      </c>
    </row>
    <row r="210" spans="1:9" hidden="1" x14ac:dyDescent="0.3">
      <c r="A210" s="2">
        <v>45685</v>
      </c>
      <c r="B210" t="str">
        <f t="shared" si="9"/>
        <v xml:space="preserve">januari </v>
      </c>
      <c r="C210">
        <v>-4.5999999999999996</v>
      </c>
      <c r="D210" t="s">
        <v>3</v>
      </c>
      <c r="F210" t="s">
        <v>18</v>
      </c>
      <c r="G210">
        <f t="shared" si="10"/>
        <v>-4.5999999999999996</v>
      </c>
      <c r="H210" t="str">
        <f>VLOOKUP(Tabel1[[#This Row],[categorie]],Lijst!A:B,2,FALSE)</f>
        <v>Vast</v>
      </c>
      <c r="I210" t="str">
        <f t="shared" si="11"/>
        <v>OK</v>
      </c>
    </row>
    <row r="211" spans="1:9" hidden="1" x14ac:dyDescent="0.3">
      <c r="A211" s="2">
        <v>45685</v>
      </c>
      <c r="B211" t="str">
        <f t="shared" si="9"/>
        <v xml:space="preserve">januari </v>
      </c>
      <c r="C211">
        <v>-3.21</v>
      </c>
      <c r="D211" t="s">
        <v>3</v>
      </c>
      <c r="F211" t="s">
        <v>18</v>
      </c>
      <c r="G211">
        <f t="shared" si="10"/>
        <v>-3.21</v>
      </c>
      <c r="H211" t="str">
        <f>VLOOKUP(Tabel1[[#This Row],[categorie]],Lijst!A:B,2,FALSE)</f>
        <v>Vast</v>
      </c>
      <c r="I211" t="str">
        <f t="shared" si="11"/>
        <v>OK</v>
      </c>
    </row>
    <row r="212" spans="1:9" hidden="1" x14ac:dyDescent="0.3">
      <c r="A212" s="2">
        <v>45685</v>
      </c>
      <c r="B212" t="str">
        <f t="shared" si="9"/>
        <v xml:space="preserve">januari </v>
      </c>
      <c r="C212">
        <v>-1.5</v>
      </c>
      <c r="D212" t="s">
        <v>26</v>
      </c>
      <c r="F212" t="s">
        <v>18</v>
      </c>
      <c r="G212">
        <f t="shared" si="10"/>
        <v>-1.5</v>
      </c>
      <c r="H212" t="str">
        <f>VLOOKUP(Tabel1[[#This Row],[categorie]],Lijst!A:B,2,FALSE)</f>
        <v>Variabel</v>
      </c>
      <c r="I212" t="str">
        <f t="shared" si="11"/>
        <v>OK</v>
      </c>
    </row>
    <row r="213" spans="1:9" hidden="1" x14ac:dyDescent="0.3">
      <c r="A213" s="2">
        <v>45685</v>
      </c>
      <c r="B213" t="str">
        <f t="shared" si="9"/>
        <v xml:space="preserve">januari </v>
      </c>
      <c r="C213">
        <v>20</v>
      </c>
      <c r="D213" t="s">
        <v>82</v>
      </c>
      <c r="F213" t="s">
        <v>17</v>
      </c>
      <c r="G213">
        <f t="shared" si="10"/>
        <v>20</v>
      </c>
      <c r="H213" t="str">
        <f>VLOOKUP(Tabel1[[#This Row],[categorie]],Lijst!A:B,2,FALSE)</f>
        <v>Vast</v>
      </c>
      <c r="I213" t="str">
        <f t="shared" si="11"/>
        <v>OK</v>
      </c>
    </row>
    <row r="214" spans="1:9" hidden="1" x14ac:dyDescent="0.3">
      <c r="A214" s="2">
        <v>45686</v>
      </c>
      <c r="B214" t="str">
        <f t="shared" si="9"/>
        <v xml:space="preserve">januari </v>
      </c>
      <c r="C214">
        <v>-209.35</v>
      </c>
      <c r="D214" t="s">
        <v>14</v>
      </c>
      <c r="F214" t="s">
        <v>18</v>
      </c>
      <c r="G214">
        <f t="shared" si="10"/>
        <v>-209.35</v>
      </c>
      <c r="H214" t="str">
        <f>VLOOKUP(Tabel1[[#This Row],[categorie]],Lijst!A:B,2,FALSE)</f>
        <v>Variabel</v>
      </c>
      <c r="I214" t="str">
        <f t="shared" si="11"/>
        <v>OK</v>
      </c>
    </row>
    <row r="215" spans="1:9" hidden="1" x14ac:dyDescent="0.3">
      <c r="A215" s="2">
        <v>45686</v>
      </c>
      <c r="B215" t="str">
        <f t="shared" si="9"/>
        <v xml:space="preserve">januari </v>
      </c>
      <c r="C215">
        <v>-32.799999999999997</v>
      </c>
      <c r="D215" t="s">
        <v>9</v>
      </c>
      <c r="F215" t="s">
        <v>18</v>
      </c>
      <c r="G215">
        <f t="shared" si="10"/>
        <v>-32.799999999999997</v>
      </c>
      <c r="H215" t="str">
        <f>VLOOKUP(Tabel1[[#This Row],[categorie]],Lijst!A:B,2,FALSE)</f>
        <v>Variabel</v>
      </c>
      <c r="I215" t="str">
        <f t="shared" si="11"/>
        <v>OK</v>
      </c>
    </row>
    <row r="216" spans="1:9" hidden="1" x14ac:dyDescent="0.3">
      <c r="A216" s="2">
        <v>45686</v>
      </c>
      <c r="B216" t="str">
        <f t="shared" si="9"/>
        <v xml:space="preserve">januari </v>
      </c>
      <c r="C216">
        <v>-11.05</v>
      </c>
      <c r="D216" t="s">
        <v>3</v>
      </c>
      <c r="F216" t="s">
        <v>18</v>
      </c>
      <c r="G216">
        <f t="shared" si="10"/>
        <v>-11.05</v>
      </c>
      <c r="H216" t="str">
        <f>VLOOKUP(Tabel1[[#This Row],[categorie]],Lijst!A:B,2,FALSE)</f>
        <v>Vast</v>
      </c>
      <c r="I216" t="str">
        <f t="shared" si="11"/>
        <v>OK</v>
      </c>
    </row>
    <row r="217" spans="1:9" hidden="1" x14ac:dyDescent="0.3">
      <c r="A217" s="2">
        <v>45686</v>
      </c>
      <c r="B217" t="str">
        <f t="shared" si="9"/>
        <v xml:space="preserve">januari </v>
      </c>
      <c r="C217">
        <v>-6.79</v>
      </c>
      <c r="D217" t="s">
        <v>53</v>
      </c>
      <c r="F217" t="s">
        <v>18</v>
      </c>
      <c r="G217">
        <f t="shared" si="10"/>
        <v>-6.79</v>
      </c>
      <c r="H217" t="str">
        <f>VLOOKUP(Tabel1[[#This Row],[categorie]],Lijst!A:B,2,FALSE)</f>
        <v>Variabel</v>
      </c>
      <c r="I217" t="str">
        <f t="shared" si="11"/>
        <v>OK</v>
      </c>
    </row>
    <row r="218" spans="1:9" hidden="1" x14ac:dyDescent="0.3">
      <c r="A218" s="2">
        <v>45687</v>
      </c>
      <c r="B218" t="str">
        <f t="shared" si="9"/>
        <v xml:space="preserve">januari </v>
      </c>
      <c r="C218">
        <v>-449.06</v>
      </c>
      <c r="D218" t="s">
        <v>73</v>
      </c>
      <c r="F218" t="s">
        <v>18</v>
      </c>
      <c r="G218">
        <f t="shared" si="10"/>
        <v>-449.06</v>
      </c>
      <c r="H218" t="str">
        <f>VLOOKUP(Tabel1[[#This Row],[categorie]],Lijst!A:B,2,FALSE)</f>
        <v>Vast</v>
      </c>
      <c r="I218" t="str">
        <f t="shared" si="11"/>
        <v>OK</v>
      </c>
    </row>
    <row r="219" spans="1:9" hidden="1" x14ac:dyDescent="0.3">
      <c r="A219" s="2">
        <v>45687</v>
      </c>
      <c r="B219" t="str">
        <f t="shared" si="9"/>
        <v xml:space="preserve">januari </v>
      </c>
      <c r="C219">
        <v>-137.06</v>
      </c>
      <c r="D219" t="s">
        <v>73</v>
      </c>
      <c r="F219" t="s">
        <v>18</v>
      </c>
      <c r="G219">
        <f t="shared" si="10"/>
        <v>-137.06</v>
      </c>
      <c r="H219" t="str">
        <f>VLOOKUP(Tabel1[[#This Row],[categorie]],Lijst!A:B,2,FALSE)</f>
        <v>Vast</v>
      </c>
      <c r="I219" t="str">
        <f t="shared" si="11"/>
        <v>OK</v>
      </c>
    </row>
    <row r="220" spans="1:9" hidden="1" x14ac:dyDescent="0.3">
      <c r="A220" s="2">
        <v>45687</v>
      </c>
      <c r="B220" t="str">
        <f t="shared" si="9"/>
        <v xml:space="preserve">januari </v>
      </c>
      <c r="C220">
        <v>-66.23</v>
      </c>
      <c r="D220" t="s">
        <v>23</v>
      </c>
      <c r="F220" t="s">
        <v>18</v>
      </c>
      <c r="G220">
        <f t="shared" si="10"/>
        <v>-66.23</v>
      </c>
      <c r="H220" t="str">
        <f>VLOOKUP(Tabel1[[#This Row],[categorie]],Lijst!A:B,2,FALSE)</f>
        <v>Vast</v>
      </c>
      <c r="I220" t="str">
        <f t="shared" si="11"/>
        <v>OK</v>
      </c>
    </row>
    <row r="221" spans="1:9" hidden="1" x14ac:dyDescent="0.3">
      <c r="A221" s="2">
        <v>45687</v>
      </c>
      <c r="B221" t="str">
        <f t="shared" si="9"/>
        <v xml:space="preserve">januari </v>
      </c>
      <c r="C221">
        <v>-10</v>
      </c>
      <c r="D221" t="s">
        <v>35</v>
      </c>
      <c r="F221" t="s">
        <v>18</v>
      </c>
      <c r="G221">
        <f t="shared" si="10"/>
        <v>-10</v>
      </c>
      <c r="H221" t="str">
        <f>VLOOKUP(Tabel1[[#This Row],[categorie]],Lijst!A:B,2,FALSE)</f>
        <v>Variabel</v>
      </c>
      <c r="I221" t="str">
        <f t="shared" si="11"/>
        <v>OK</v>
      </c>
    </row>
    <row r="222" spans="1:9" hidden="1" x14ac:dyDescent="0.3">
      <c r="A222" s="2">
        <v>45687</v>
      </c>
      <c r="B222" t="str">
        <f t="shared" si="9"/>
        <v xml:space="preserve">januari </v>
      </c>
      <c r="C222">
        <v>-9.39</v>
      </c>
      <c r="D222" t="s">
        <v>3</v>
      </c>
      <c r="F222" t="s">
        <v>18</v>
      </c>
      <c r="G222">
        <f t="shared" si="10"/>
        <v>-9.39</v>
      </c>
      <c r="H222" t="str">
        <f>VLOOKUP(Tabel1[[#This Row],[categorie]],Lijst!A:B,2,FALSE)</f>
        <v>Vast</v>
      </c>
      <c r="I222" t="str">
        <f t="shared" si="11"/>
        <v>OK</v>
      </c>
    </row>
    <row r="223" spans="1:9" hidden="1" x14ac:dyDescent="0.3">
      <c r="A223" s="2">
        <v>45687</v>
      </c>
      <c r="B223" t="str">
        <f t="shared" si="9"/>
        <v xml:space="preserve">januari </v>
      </c>
      <c r="C223">
        <v>-6.16</v>
      </c>
      <c r="D223" t="s">
        <v>3</v>
      </c>
      <c r="F223" t="s">
        <v>18</v>
      </c>
      <c r="G223">
        <f t="shared" si="10"/>
        <v>-6.16</v>
      </c>
      <c r="H223" t="str">
        <f>VLOOKUP(Tabel1[[#This Row],[categorie]],Lijst!A:B,2,FALSE)</f>
        <v>Vast</v>
      </c>
      <c r="I223" t="str">
        <f t="shared" si="11"/>
        <v>OK</v>
      </c>
    </row>
    <row r="224" spans="1:9" hidden="1" x14ac:dyDescent="0.3">
      <c r="A224" s="2">
        <v>45687</v>
      </c>
      <c r="B224" t="str">
        <f t="shared" si="9"/>
        <v xml:space="preserve">januari </v>
      </c>
      <c r="C224">
        <v>-5.99</v>
      </c>
      <c r="D224" t="s">
        <v>3</v>
      </c>
      <c r="F224" t="s">
        <v>18</v>
      </c>
      <c r="G224">
        <f t="shared" si="10"/>
        <v>-5.99</v>
      </c>
      <c r="H224" t="str">
        <f>VLOOKUP(Tabel1[[#This Row],[categorie]],Lijst!A:B,2,FALSE)</f>
        <v>Vast</v>
      </c>
      <c r="I224" t="str">
        <f t="shared" si="11"/>
        <v>OK</v>
      </c>
    </row>
    <row r="225" spans="1:9" hidden="1" x14ac:dyDescent="0.3">
      <c r="A225" s="2">
        <v>45687</v>
      </c>
      <c r="B225" t="str">
        <f t="shared" si="9"/>
        <v xml:space="preserve">januari </v>
      </c>
      <c r="C225">
        <v>600</v>
      </c>
      <c r="D225" t="s">
        <v>14</v>
      </c>
      <c r="F225" t="s">
        <v>17</v>
      </c>
      <c r="G225">
        <f t="shared" si="10"/>
        <v>600</v>
      </c>
      <c r="H225" t="str">
        <f>VLOOKUP(Tabel1[[#This Row],[categorie]],Lijst!A:B,2,FALSE)</f>
        <v>Variabel</v>
      </c>
      <c r="I225" t="str">
        <f t="shared" si="11"/>
        <v>OK</v>
      </c>
    </row>
    <row r="226" spans="1:9" hidden="1" x14ac:dyDescent="0.3">
      <c r="A226" s="2">
        <v>45688</v>
      </c>
      <c r="B226" t="str">
        <f t="shared" si="9"/>
        <v xml:space="preserve">januari </v>
      </c>
      <c r="C226">
        <v>-44.64</v>
      </c>
      <c r="D226" t="str" cm="1">
        <f t="array" ref="D226">IFERROR(
  _xlfn.XLOOKUP(TRUE, ISNUMBER(FIND(Trefwoorden!$A$2:$A$99, E226)), Trefwoorden!$B$2:$B$99),
  "Onbekend"
)</f>
        <v>Hospitalisatie</v>
      </c>
      <c r="E226" t="s">
        <v>133</v>
      </c>
      <c r="F226" t="s">
        <v>18</v>
      </c>
      <c r="G226">
        <f t="shared" si="10"/>
        <v>-44.64</v>
      </c>
      <c r="H226" t="str">
        <f>VLOOKUP(Tabel1[[#This Row],[categorie]],Lijst!A:B,2,FALSE)</f>
        <v>Vast</v>
      </c>
      <c r="I226" t="str">
        <f t="shared" si="11"/>
        <v>OK</v>
      </c>
    </row>
    <row r="227" spans="1:9" hidden="1" x14ac:dyDescent="0.3">
      <c r="A227" s="2">
        <v>45688</v>
      </c>
      <c r="B227" t="str">
        <f t="shared" ref="B227:B290" si="12">TEXT(A227,"mmmm ")</f>
        <v xml:space="preserve">januari </v>
      </c>
      <c r="C227">
        <v>-11.45</v>
      </c>
      <c r="D227" t="s">
        <v>3</v>
      </c>
      <c r="F227" t="s">
        <v>18</v>
      </c>
      <c r="G227">
        <f t="shared" ref="G227:G290" si="13">IF(F227="Uitgave", -ABS(C227), ABS(C227))</f>
        <v>-11.45</v>
      </c>
      <c r="H227" t="str">
        <f>VLOOKUP(Tabel1[[#This Row],[categorie]],Lijst!A:B,2,FALSE)</f>
        <v>Vast</v>
      </c>
      <c r="I227" t="str">
        <f t="shared" ref="I227:I290" si="14">IF(OR(AND(F227="Uitgave", C227&lt;0), AND(F227="Inkomst", C227&gt;0)), "OK", "FOUT")</f>
        <v>OK</v>
      </c>
    </row>
    <row r="228" spans="1:9" hidden="1" x14ac:dyDescent="0.3">
      <c r="A228" s="2">
        <v>45688</v>
      </c>
      <c r="B228" t="str">
        <f t="shared" si="12"/>
        <v xml:space="preserve">januari </v>
      </c>
      <c r="C228">
        <v>-6.28</v>
      </c>
      <c r="D228" t="s">
        <v>3</v>
      </c>
      <c r="F228" t="s">
        <v>18</v>
      </c>
      <c r="G228">
        <f t="shared" si="13"/>
        <v>-6.28</v>
      </c>
      <c r="H228" t="str">
        <f>VLOOKUP(Tabel1[[#This Row],[categorie]],Lijst!A:B,2,FALSE)</f>
        <v>Vast</v>
      </c>
      <c r="I228" t="str">
        <f t="shared" si="14"/>
        <v>OK</v>
      </c>
    </row>
    <row r="229" spans="1:9" hidden="1" x14ac:dyDescent="0.3">
      <c r="A229" s="2">
        <v>45688</v>
      </c>
      <c r="B229" t="str">
        <f t="shared" si="12"/>
        <v xml:space="preserve">januari </v>
      </c>
      <c r="C229">
        <v>-5.89</v>
      </c>
      <c r="D229" t="s">
        <v>3</v>
      </c>
      <c r="F229" t="s">
        <v>18</v>
      </c>
      <c r="G229">
        <f t="shared" si="13"/>
        <v>-5.89</v>
      </c>
      <c r="H229" t="str">
        <f>VLOOKUP(Tabel1[[#This Row],[categorie]],Lijst!A:B,2,FALSE)</f>
        <v>Vast</v>
      </c>
      <c r="I229" t="str">
        <f t="shared" si="14"/>
        <v>OK</v>
      </c>
    </row>
    <row r="230" spans="1:9" hidden="1" x14ac:dyDescent="0.3">
      <c r="A230" s="2">
        <v>45688</v>
      </c>
      <c r="B230" t="str">
        <f t="shared" si="12"/>
        <v xml:space="preserve">januari </v>
      </c>
      <c r="C230">
        <v>-4.9000000000000004</v>
      </c>
      <c r="D230" t="s">
        <v>3</v>
      </c>
      <c r="F230" t="s">
        <v>18</v>
      </c>
      <c r="G230">
        <f t="shared" si="13"/>
        <v>-4.9000000000000004</v>
      </c>
      <c r="H230" t="str">
        <f>VLOOKUP(Tabel1[[#This Row],[categorie]],Lijst!A:B,2,FALSE)</f>
        <v>Vast</v>
      </c>
      <c r="I230" t="str">
        <f t="shared" si="14"/>
        <v>OK</v>
      </c>
    </row>
    <row r="231" spans="1:9" hidden="1" x14ac:dyDescent="0.3">
      <c r="A231" s="2">
        <v>45688</v>
      </c>
      <c r="B231" t="str">
        <f t="shared" si="12"/>
        <v xml:space="preserve">januari </v>
      </c>
      <c r="C231">
        <v>-4</v>
      </c>
      <c r="D231" t="s">
        <v>3</v>
      </c>
      <c r="F231" t="s">
        <v>18</v>
      </c>
      <c r="G231">
        <f t="shared" si="13"/>
        <v>-4</v>
      </c>
      <c r="H231" t="str">
        <f>VLOOKUP(Tabel1[[#This Row],[categorie]],Lijst!A:B,2,FALSE)</f>
        <v>Vast</v>
      </c>
      <c r="I231" t="str">
        <f t="shared" si="14"/>
        <v>OK</v>
      </c>
    </row>
    <row r="232" spans="1:9" hidden="1" x14ac:dyDescent="0.3">
      <c r="A232" s="2">
        <v>45688</v>
      </c>
      <c r="B232" t="str">
        <f t="shared" si="12"/>
        <v xml:space="preserve">januari </v>
      </c>
      <c r="C232">
        <v>-3.9</v>
      </c>
      <c r="D232" t="s">
        <v>3</v>
      </c>
      <c r="F232" t="s">
        <v>18</v>
      </c>
      <c r="G232">
        <f t="shared" si="13"/>
        <v>-3.9</v>
      </c>
      <c r="H232" t="str">
        <f>VLOOKUP(Tabel1[[#This Row],[categorie]],Lijst!A:B,2,FALSE)</f>
        <v>Vast</v>
      </c>
      <c r="I232" t="str">
        <f t="shared" si="14"/>
        <v>OK</v>
      </c>
    </row>
    <row r="233" spans="1:9" hidden="1" x14ac:dyDescent="0.3">
      <c r="A233" s="2">
        <v>45688</v>
      </c>
      <c r="B233" t="str">
        <f t="shared" si="12"/>
        <v xml:space="preserve">januari </v>
      </c>
      <c r="C233">
        <v>-1.5</v>
      </c>
      <c r="D233" t="s">
        <v>26</v>
      </c>
      <c r="F233" t="s">
        <v>18</v>
      </c>
      <c r="G233">
        <f t="shared" si="13"/>
        <v>-1.5</v>
      </c>
      <c r="H233" t="str">
        <f>VLOOKUP(Tabel1[[#This Row],[categorie]],Lijst!A:B,2,FALSE)</f>
        <v>Variabel</v>
      </c>
      <c r="I233" t="str">
        <f t="shared" si="14"/>
        <v>OK</v>
      </c>
    </row>
    <row r="234" spans="1:9" hidden="1" x14ac:dyDescent="0.3">
      <c r="A234" s="2">
        <v>45689</v>
      </c>
      <c r="B234" t="str">
        <f t="shared" si="12"/>
        <v xml:space="preserve">februari </v>
      </c>
      <c r="C234">
        <v>2206.9299999999998</v>
      </c>
      <c r="D234" t="s">
        <v>83</v>
      </c>
      <c r="F234" t="s">
        <v>17</v>
      </c>
      <c r="G234">
        <f t="shared" si="13"/>
        <v>2206.9299999999998</v>
      </c>
      <c r="H234" t="str">
        <f>VLOOKUP(Tabel1[[#This Row],[categorie]],Lijst!A:B,2,FALSE)</f>
        <v>Inkomsten</v>
      </c>
      <c r="I234" t="str">
        <f t="shared" si="14"/>
        <v>OK</v>
      </c>
    </row>
    <row r="235" spans="1:9" hidden="1" x14ac:dyDescent="0.3">
      <c r="A235" s="2">
        <v>45689</v>
      </c>
      <c r="B235" t="str">
        <f t="shared" si="12"/>
        <v xml:space="preserve">februari </v>
      </c>
      <c r="C235">
        <v>2449.6</v>
      </c>
      <c r="D235" t="s">
        <v>83</v>
      </c>
      <c r="F235" t="s">
        <v>17</v>
      </c>
      <c r="G235">
        <f t="shared" si="13"/>
        <v>2449.6</v>
      </c>
      <c r="H235" t="str">
        <f>VLOOKUP(Tabel1[[#This Row],[categorie]],Lijst!A:B,2,FALSE)</f>
        <v>Inkomsten</v>
      </c>
      <c r="I235" t="str">
        <f t="shared" si="14"/>
        <v>OK</v>
      </c>
    </row>
    <row r="236" spans="1:9" hidden="1" x14ac:dyDescent="0.3">
      <c r="A236" s="2">
        <v>45689</v>
      </c>
      <c r="B236" t="str">
        <f t="shared" si="12"/>
        <v xml:space="preserve">februari </v>
      </c>
      <c r="C236">
        <v>-22.89</v>
      </c>
      <c r="D236" t="s">
        <v>52</v>
      </c>
      <c r="F236" t="s">
        <v>18</v>
      </c>
      <c r="G236">
        <f t="shared" si="13"/>
        <v>-22.89</v>
      </c>
      <c r="H236" t="str">
        <f>VLOOKUP(Tabel1[[#This Row],[categorie]],Lijst!A:B,2,FALSE)</f>
        <v>Variabel</v>
      </c>
      <c r="I236" t="str">
        <f t="shared" si="14"/>
        <v>OK</v>
      </c>
    </row>
    <row r="237" spans="1:9" hidden="1" x14ac:dyDescent="0.3">
      <c r="A237" s="2">
        <v>45689</v>
      </c>
      <c r="B237" t="str">
        <f t="shared" si="12"/>
        <v xml:space="preserve">februari </v>
      </c>
      <c r="C237">
        <v>-25</v>
      </c>
      <c r="D237" t="s">
        <v>43</v>
      </c>
      <c r="F237" t="s">
        <v>18</v>
      </c>
      <c r="G237">
        <f t="shared" si="13"/>
        <v>-25</v>
      </c>
      <c r="H237" t="str">
        <f>VLOOKUP(Tabel1[[#This Row],[categorie]],Lijst!A:B,2,FALSE)</f>
        <v>Vast</v>
      </c>
      <c r="I237" t="str">
        <f t="shared" si="14"/>
        <v>OK</v>
      </c>
    </row>
    <row r="238" spans="1:9" hidden="1" x14ac:dyDescent="0.3">
      <c r="A238" s="2">
        <v>45689</v>
      </c>
      <c r="B238" t="str">
        <f t="shared" si="12"/>
        <v xml:space="preserve">februari </v>
      </c>
      <c r="C238">
        <v>-13.2</v>
      </c>
      <c r="D238" t="s">
        <v>9</v>
      </c>
      <c r="F238" t="s">
        <v>18</v>
      </c>
      <c r="G238">
        <f t="shared" si="13"/>
        <v>-13.2</v>
      </c>
      <c r="H238" t="str">
        <f>VLOOKUP(Tabel1[[#This Row],[categorie]],Lijst!A:B,2,FALSE)</f>
        <v>Variabel</v>
      </c>
      <c r="I238" t="str">
        <f t="shared" si="14"/>
        <v>OK</v>
      </c>
    </row>
    <row r="239" spans="1:9" hidden="1" x14ac:dyDescent="0.3">
      <c r="A239" s="2">
        <v>45690</v>
      </c>
      <c r="B239" t="str">
        <f t="shared" si="12"/>
        <v xml:space="preserve">februari </v>
      </c>
      <c r="C239">
        <v>-13.99</v>
      </c>
      <c r="D239" t="s">
        <v>45</v>
      </c>
      <c r="F239" t="s">
        <v>18</v>
      </c>
      <c r="G239">
        <f t="shared" si="13"/>
        <v>-13.99</v>
      </c>
      <c r="H239" t="str">
        <f>VLOOKUP(Tabel1[[#This Row],[categorie]],Lijst!A:B,2,FALSE)</f>
        <v>Variabel</v>
      </c>
      <c r="I239" t="str">
        <f t="shared" si="14"/>
        <v>OK</v>
      </c>
    </row>
    <row r="240" spans="1:9" hidden="1" x14ac:dyDescent="0.3">
      <c r="A240" s="2">
        <v>45691</v>
      </c>
      <c r="B240" t="str">
        <f t="shared" si="12"/>
        <v xml:space="preserve">februari </v>
      </c>
      <c r="C240">
        <v>-88.5</v>
      </c>
      <c r="D240" t="s">
        <v>9</v>
      </c>
      <c r="F240" t="s">
        <v>18</v>
      </c>
      <c r="G240">
        <f t="shared" si="13"/>
        <v>-88.5</v>
      </c>
      <c r="H240" t="str">
        <f>VLOOKUP(Tabel1[[#This Row],[categorie]],Lijst!A:B,2,FALSE)</f>
        <v>Variabel</v>
      </c>
      <c r="I240" t="str">
        <f t="shared" si="14"/>
        <v>OK</v>
      </c>
    </row>
    <row r="241" spans="1:9" hidden="1" x14ac:dyDescent="0.3">
      <c r="A241" s="2">
        <v>45691</v>
      </c>
      <c r="B241" t="str">
        <f t="shared" si="12"/>
        <v xml:space="preserve">februari </v>
      </c>
      <c r="C241">
        <v>-95.86</v>
      </c>
      <c r="D241" t="s">
        <v>12</v>
      </c>
      <c r="F241" t="s">
        <v>18</v>
      </c>
      <c r="G241">
        <f t="shared" si="13"/>
        <v>-95.86</v>
      </c>
      <c r="H241" t="str">
        <f>VLOOKUP(Tabel1[[#This Row],[categorie]],Lijst!A:B,2,FALSE)</f>
        <v>Vast</v>
      </c>
      <c r="I241" t="str">
        <f t="shared" si="14"/>
        <v>OK</v>
      </c>
    </row>
    <row r="242" spans="1:9" hidden="1" x14ac:dyDescent="0.3">
      <c r="A242" s="2">
        <v>45691</v>
      </c>
      <c r="B242" t="str">
        <f t="shared" si="12"/>
        <v xml:space="preserve">februari </v>
      </c>
      <c r="C242">
        <v>-5</v>
      </c>
      <c r="D242" t="s">
        <v>3</v>
      </c>
      <c r="F242" t="s">
        <v>18</v>
      </c>
      <c r="G242">
        <f t="shared" si="13"/>
        <v>-5</v>
      </c>
      <c r="H242" t="str">
        <f>VLOOKUP(Tabel1[[#This Row],[categorie]],Lijst!A:B,2,FALSE)</f>
        <v>Vast</v>
      </c>
      <c r="I242" t="str">
        <f t="shared" si="14"/>
        <v>OK</v>
      </c>
    </row>
    <row r="243" spans="1:9" hidden="1" x14ac:dyDescent="0.3">
      <c r="A243" s="2">
        <v>45691</v>
      </c>
      <c r="B243" t="str">
        <f t="shared" si="12"/>
        <v xml:space="preserve">februari </v>
      </c>
      <c r="C243">
        <v>-9.35</v>
      </c>
      <c r="D243" t="s">
        <v>13</v>
      </c>
      <c r="F243" t="s">
        <v>18</v>
      </c>
      <c r="G243">
        <f t="shared" si="13"/>
        <v>-9.35</v>
      </c>
      <c r="H243" t="str">
        <f>VLOOKUP(Tabel1[[#This Row],[categorie]],Lijst!A:B,2,FALSE)</f>
        <v>Vast</v>
      </c>
      <c r="I243" t="str">
        <f t="shared" si="14"/>
        <v>OK</v>
      </c>
    </row>
    <row r="244" spans="1:9" hidden="1" x14ac:dyDescent="0.3">
      <c r="A244" s="2">
        <v>45691</v>
      </c>
      <c r="B244" t="str">
        <f t="shared" si="12"/>
        <v xml:space="preserve">februari </v>
      </c>
      <c r="C244">
        <v>-5</v>
      </c>
      <c r="D244" t="s">
        <v>13</v>
      </c>
      <c r="F244" t="s">
        <v>18</v>
      </c>
      <c r="G244">
        <f t="shared" si="13"/>
        <v>-5</v>
      </c>
      <c r="H244" t="str">
        <f>VLOOKUP(Tabel1[[#This Row],[categorie]],Lijst!A:B,2,FALSE)</f>
        <v>Vast</v>
      </c>
      <c r="I244" t="str">
        <f t="shared" si="14"/>
        <v>OK</v>
      </c>
    </row>
    <row r="245" spans="1:9" hidden="1" x14ac:dyDescent="0.3">
      <c r="A245" s="2">
        <v>45691</v>
      </c>
      <c r="B245" t="str">
        <f t="shared" si="12"/>
        <v xml:space="preserve">februari </v>
      </c>
      <c r="C245">
        <v>-19.45</v>
      </c>
      <c r="D245" t="s">
        <v>14</v>
      </c>
      <c r="F245" t="s">
        <v>18</v>
      </c>
      <c r="G245">
        <f t="shared" si="13"/>
        <v>-19.45</v>
      </c>
      <c r="H245" t="str">
        <f>VLOOKUP(Tabel1[[#This Row],[categorie]],Lijst!A:B,2,FALSE)</f>
        <v>Variabel</v>
      </c>
      <c r="I245" t="str">
        <f t="shared" si="14"/>
        <v>OK</v>
      </c>
    </row>
    <row r="246" spans="1:9" hidden="1" x14ac:dyDescent="0.3">
      <c r="A246" s="2">
        <v>45691</v>
      </c>
      <c r="B246" t="str">
        <f t="shared" si="12"/>
        <v xml:space="preserve">februari </v>
      </c>
      <c r="C246">
        <v>-17.97</v>
      </c>
      <c r="D246" t="s">
        <v>3</v>
      </c>
      <c r="F246" t="s">
        <v>18</v>
      </c>
      <c r="G246">
        <f t="shared" si="13"/>
        <v>-17.97</v>
      </c>
      <c r="H246" t="str">
        <f>VLOOKUP(Tabel1[[#This Row],[categorie]],Lijst!A:B,2,FALSE)</f>
        <v>Vast</v>
      </c>
      <c r="I246" t="str">
        <f t="shared" si="14"/>
        <v>OK</v>
      </c>
    </row>
    <row r="247" spans="1:9" hidden="1" x14ac:dyDescent="0.3">
      <c r="A247" s="2">
        <v>45691</v>
      </c>
      <c r="B247" t="str">
        <f t="shared" si="12"/>
        <v xml:space="preserve">februari </v>
      </c>
      <c r="C247">
        <v>-8.73</v>
      </c>
      <c r="D247" t="s">
        <v>3</v>
      </c>
      <c r="F247" t="s">
        <v>18</v>
      </c>
      <c r="G247">
        <f t="shared" si="13"/>
        <v>-8.73</v>
      </c>
      <c r="H247" t="str">
        <f>VLOOKUP(Tabel1[[#This Row],[categorie]],Lijst!A:B,2,FALSE)</f>
        <v>Vast</v>
      </c>
      <c r="I247" t="str">
        <f t="shared" si="14"/>
        <v>OK</v>
      </c>
    </row>
    <row r="248" spans="1:9" hidden="1" x14ac:dyDescent="0.3">
      <c r="A248" s="2">
        <v>45691</v>
      </c>
      <c r="B248" t="str">
        <f t="shared" si="12"/>
        <v xml:space="preserve">februari </v>
      </c>
      <c r="C248">
        <v>-18.75</v>
      </c>
      <c r="D248" t="s">
        <v>14</v>
      </c>
      <c r="F248" t="s">
        <v>18</v>
      </c>
      <c r="G248">
        <f t="shared" si="13"/>
        <v>-18.75</v>
      </c>
      <c r="H248" t="str">
        <f>VLOOKUP(Tabel1[[#This Row],[categorie]],Lijst!A:B,2,FALSE)</f>
        <v>Variabel</v>
      </c>
      <c r="I248" t="str">
        <f t="shared" si="14"/>
        <v>OK</v>
      </c>
    </row>
    <row r="249" spans="1:9" hidden="1" x14ac:dyDescent="0.3">
      <c r="A249" s="2">
        <v>45691</v>
      </c>
      <c r="B249" t="str">
        <f t="shared" si="12"/>
        <v xml:space="preserve">februari </v>
      </c>
      <c r="C249">
        <v>-4.71</v>
      </c>
      <c r="D249" t="s">
        <v>3</v>
      </c>
      <c r="F249" t="s">
        <v>18</v>
      </c>
      <c r="G249">
        <f t="shared" si="13"/>
        <v>-4.71</v>
      </c>
      <c r="H249" t="str">
        <f>VLOOKUP(Tabel1[[#This Row],[categorie]],Lijst!A:B,2,FALSE)</f>
        <v>Vast</v>
      </c>
      <c r="I249" t="str">
        <f t="shared" si="14"/>
        <v>OK</v>
      </c>
    </row>
    <row r="250" spans="1:9" hidden="1" x14ac:dyDescent="0.3">
      <c r="A250" s="2">
        <v>45691</v>
      </c>
      <c r="B250" t="str">
        <f t="shared" si="12"/>
        <v xml:space="preserve">februari </v>
      </c>
      <c r="C250">
        <v>-1.5</v>
      </c>
      <c r="D250" t="s">
        <v>26</v>
      </c>
      <c r="F250" t="s">
        <v>18</v>
      </c>
      <c r="G250">
        <f t="shared" si="13"/>
        <v>-1.5</v>
      </c>
      <c r="H250" t="str">
        <f>VLOOKUP(Tabel1[[#This Row],[categorie]],Lijst!A:B,2,FALSE)</f>
        <v>Variabel</v>
      </c>
      <c r="I250" t="str">
        <f t="shared" si="14"/>
        <v>OK</v>
      </c>
    </row>
    <row r="251" spans="1:9" hidden="1" x14ac:dyDescent="0.3">
      <c r="A251" s="2">
        <v>45691</v>
      </c>
      <c r="B251" t="str">
        <f t="shared" si="12"/>
        <v xml:space="preserve">februari </v>
      </c>
      <c r="C251">
        <v>-1.1000000000000001</v>
      </c>
      <c r="D251" t="s">
        <v>26</v>
      </c>
      <c r="F251" t="s">
        <v>18</v>
      </c>
      <c r="G251">
        <f t="shared" si="13"/>
        <v>-1.1000000000000001</v>
      </c>
      <c r="H251" t="str">
        <f>VLOOKUP(Tabel1[[#This Row],[categorie]],Lijst!A:B,2,FALSE)</f>
        <v>Variabel</v>
      </c>
      <c r="I251" t="str">
        <f t="shared" si="14"/>
        <v>OK</v>
      </c>
    </row>
    <row r="252" spans="1:9" hidden="1" x14ac:dyDescent="0.3">
      <c r="A252" s="2">
        <v>45691</v>
      </c>
      <c r="B252" t="str">
        <f t="shared" si="12"/>
        <v xml:space="preserve">februari </v>
      </c>
      <c r="C252">
        <v>-5.99</v>
      </c>
      <c r="D252" t="s">
        <v>3</v>
      </c>
      <c r="F252" t="s">
        <v>18</v>
      </c>
      <c r="G252">
        <f t="shared" si="13"/>
        <v>-5.99</v>
      </c>
      <c r="H252" t="str">
        <f>VLOOKUP(Tabel1[[#This Row],[categorie]],Lijst!A:B,2,FALSE)</f>
        <v>Vast</v>
      </c>
      <c r="I252" t="str">
        <f t="shared" si="14"/>
        <v>OK</v>
      </c>
    </row>
    <row r="253" spans="1:9" hidden="1" x14ac:dyDescent="0.3">
      <c r="A253" s="2">
        <v>45691</v>
      </c>
      <c r="B253" t="str">
        <f t="shared" si="12"/>
        <v xml:space="preserve">februari </v>
      </c>
      <c r="C253">
        <v>-17.95</v>
      </c>
      <c r="D253" t="s">
        <v>75</v>
      </c>
      <c r="F253" t="s">
        <v>18</v>
      </c>
      <c r="G253">
        <f t="shared" si="13"/>
        <v>-17.95</v>
      </c>
      <c r="H253" t="str">
        <f>VLOOKUP(Tabel1[[#This Row],[categorie]],Lijst!A:B,2,FALSE)</f>
        <v>Variabel</v>
      </c>
      <c r="I253" t="str">
        <f t="shared" si="14"/>
        <v>OK</v>
      </c>
    </row>
    <row r="254" spans="1:9" hidden="1" x14ac:dyDescent="0.3">
      <c r="A254" s="2">
        <v>45691</v>
      </c>
      <c r="B254" t="str">
        <f t="shared" si="12"/>
        <v xml:space="preserve">februari </v>
      </c>
      <c r="C254">
        <v>-9.77</v>
      </c>
      <c r="D254" t="s">
        <v>13</v>
      </c>
      <c r="F254" t="s">
        <v>18</v>
      </c>
      <c r="G254">
        <f t="shared" si="13"/>
        <v>-9.77</v>
      </c>
      <c r="H254" t="str">
        <f>VLOOKUP(Tabel1[[#This Row],[categorie]],Lijst!A:B,2,FALSE)</f>
        <v>Vast</v>
      </c>
      <c r="I254" t="str">
        <f t="shared" si="14"/>
        <v>OK</v>
      </c>
    </row>
    <row r="255" spans="1:9" hidden="1" x14ac:dyDescent="0.3">
      <c r="A255" s="2">
        <v>45691</v>
      </c>
      <c r="B255" t="str">
        <f t="shared" si="12"/>
        <v xml:space="preserve">februari </v>
      </c>
      <c r="C255">
        <v>-5</v>
      </c>
      <c r="D255" t="s">
        <v>13</v>
      </c>
      <c r="F255" t="s">
        <v>18</v>
      </c>
      <c r="G255">
        <f t="shared" si="13"/>
        <v>-5</v>
      </c>
      <c r="H255" t="str">
        <f>VLOOKUP(Tabel1[[#This Row],[categorie]],Lijst!A:B,2,FALSE)</f>
        <v>Vast</v>
      </c>
      <c r="I255" t="str">
        <f t="shared" si="14"/>
        <v>OK</v>
      </c>
    </row>
    <row r="256" spans="1:9" hidden="1" x14ac:dyDescent="0.3">
      <c r="A256" s="2">
        <v>45691</v>
      </c>
      <c r="B256" t="str">
        <f t="shared" si="12"/>
        <v xml:space="preserve">februari </v>
      </c>
      <c r="C256">
        <v>-4.42</v>
      </c>
      <c r="D256" t="s">
        <v>13</v>
      </c>
      <c r="F256" t="s">
        <v>18</v>
      </c>
      <c r="G256">
        <f t="shared" si="13"/>
        <v>-4.42</v>
      </c>
      <c r="H256" t="str">
        <f>VLOOKUP(Tabel1[[#This Row],[categorie]],Lijst!A:B,2,FALSE)</f>
        <v>Vast</v>
      </c>
      <c r="I256" t="str">
        <f t="shared" si="14"/>
        <v>OK</v>
      </c>
    </row>
    <row r="257" spans="1:9" hidden="1" x14ac:dyDescent="0.3">
      <c r="A257" s="2">
        <v>45691</v>
      </c>
      <c r="B257" t="str">
        <f t="shared" si="12"/>
        <v xml:space="preserve">februari </v>
      </c>
      <c r="C257">
        <v>-22.25</v>
      </c>
      <c r="D257" t="s">
        <v>14</v>
      </c>
      <c r="F257" t="s">
        <v>18</v>
      </c>
      <c r="G257">
        <f t="shared" si="13"/>
        <v>-22.25</v>
      </c>
      <c r="H257" t="str">
        <f>VLOOKUP(Tabel1[[#This Row],[categorie]],Lijst!A:B,2,FALSE)</f>
        <v>Variabel</v>
      </c>
      <c r="I257" t="str">
        <f t="shared" si="14"/>
        <v>OK</v>
      </c>
    </row>
    <row r="258" spans="1:9" hidden="1" x14ac:dyDescent="0.3">
      <c r="A258" s="2">
        <v>45691</v>
      </c>
      <c r="B258" t="str">
        <f t="shared" si="12"/>
        <v xml:space="preserve">februari </v>
      </c>
      <c r="C258">
        <v>-20.85</v>
      </c>
      <c r="D258" t="s">
        <v>14</v>
      </c>
      <c r="F258" t="s">
        <v>18</v>
      </c>
      <c r="G258">
        <f t="shared" si="13"/>
        <v>-20.85</v>
      </c>
      <c r="H258" t="str">
        <f>VLOOKUP(Tabel1[[#This Row],[categorie]],Lijst!A:B,2,FALSE)</f>
        <v>Variabel</v>
      </c>
      <c r="I258" t="str">
        <f t="shared" si="14"/>
        <v>OK</v>
      </c>
    </row>
    <row r="259" spans="1:9" hidden="1" x14ac:dyDescent="0.3">
      <c r="A259" s="2">
        <v>45691</v>
      </c>
      <c r="B259" t="str">
        <f t="shared" si="12"/>
        <v xml:space="preserve">februari </v>
      </c>
      <c r="C259">
        <v>-81.2</v>
      </c>
      <c r="D259" t="s">
        <v>14</v>
      </c>
      <c r="F259" t="s">
        <v>18</v>
      </c>
      <c r="G259">
        <f t="shared" si="13"/>
        <v>-81.2</v>
      </c>
      <c r="H259" t="str">
        <f>VLOOKUP(Tabel1[[#This Row],[categorie]],Lijst!A:B,2,FALSE)</f>
        <v>Variabel</v>
      </c>
      <c r="I259" t="str">
        <f t="shared" si="14"/>
        <v>OK</v>
      </c>
    </row>
    <row r="260" spans="1:9" hidden="1" x14ac:dyDescent="0.3">
      <c r="A260" s="2">
        <v>45691</v>
      </c>
      <c r="B260" t="str">
        <f t="shared" si="12"/>
        <v xml:space="preserve">februari </v>
      </c>
      <c r="C260">
        <v>-10.94</v>
      </c>
      <c r="D260" t="s">
        <v>35</v>
      </c>
      <c r="F260" t="s">
        <v>18</v>
      </c>
      <c r="G260">
        <f t="shared" si="13"/>
        <v>-10.94</v>
      </c>
      <c r="H260" t="str">
        <f>VLOOKUP(Tabel1[[#This Row],[categorie]],Lijst!A:B,2,FALSE)</f>
        <v>Variabel</v>
      </c>
      <c r="I260" t="str">
        <f t="shared" si="14"/>
        <v>OK</v>
      </c>
    </row>
    <row r="261" spans="1:9" hidden="1" x14ac:dyDescent="0.3">
      <c r="A261" s="2">
        <v>45691</v>
      </c>
      <c r="B261" t="str">
        <f t="shared" si="12"/>
        <v xml:space="preserve">februari </v>
      </c>
      <c r="C261">
        <v>-40.619999999999997</v>
      </c>
      <c r="D261" t="s">
        <v>209</v>
      </c>
      <c r="F261" t="s">
        <v>18</v>
      </c>
      <c r="G261">
        <f t="shared" si="13"/>
        <v>-40.619999999999997</v>
      </c>
      <c r="H261" t="str">
        <f>VLOOKUP(Tabel1[[#This Row],[categorie]],Lijst!A:B,2,FALSE)</f>
        <v>Vast</v>
      </c>
      <c r="I261" t="str">
        <f t="shared" si="14"/>
        <v>OK</v>
      </c>
    </row>
    <row r="262" spans="1:9" hidden="1" x14ac:dyDescent="0.3">
      <c r="A262" s="2">
        <v>45692</v>
      </c>
      <c r="B262" t="str">
        <f t="shared" si="12"/>
        <v xml:space="preserve">februari </v>
      </c>
      <c r="C262">
        <v>-5.49</v>
      </c>
      <c r="D262" t="s">
        <v>3</v>
      </c>
      <c r="F262" t="s">
        <v>18</v>
      </c>
      <c r="G262">
        <f t="shared" si="13"/>
        <v>-5.49</v>
      </c>
      <c r="H262" t="str">
        <f>VLOOKUP(Tabel1[[#This Row],[categorie]],Lijst!A:B,2,FALSE)</f>
        <v>Vast</v>
      </c>
      <c r="I262" t="str">
        <f t="shared" si="14"/>
        <v>OK</v>
      </c>
    </row>
    <row r="263" spans="1:9" hidden="1" x14ac:dyDescent="0.3">
      <c r="A263" s="2">
        <v>45692</v>
      </c>
      <c r="B263" t="str">
        <f t="shared" si="12"/>
        <v xml:space="preserve">februari </v>
      </c>
      <c r="C263">
        <v>-33.799999999999997</v>
      </c>
      <c r="D263" t="s">
        <v>14</v>
      </c>
      <c r="F263" t="s">
        <v>18</v>
      </c>
      <c r="G263">
        <f t="shared" si="13"/>
        <v>-33.799999999999997</v>
      </c>
      <c r="H263" t="str">
        <f>VLOOKUP(Tabel1[[#This Row],[categorie]],Lijst!A:B,2,FALSE)</f>
        <v>Variabel</v>
      </c>
      <c r="I263" t="str">
        <f t="shared" si="14"/>
        <v>OK</v>
      </c>
    </row>
    <row r="264" spans="1:9" hidden="1" x14ac:dyDescent="0.3">
      <c r="A264" s="2">
        <v>45692</v>
      </c>
      <c r="B264" t="str">
        <f t="shared" si="12"/>
        <v xml:space="preserve">februari </v>
      </c>
      <c r="C264">
        <v>-1.5</v>
      </c>
      <c r="D264" t="s">
        <v>26</v>
      </c>
      <c r="F264" t="s">
        <v>18</v>
      </c>
      <c r="G264">
        <f t="shared" si="13"/>
        <v>-1.5</v>
      </c>
      <c r="H264" t="str">
        <f>VLOOKUP(Tabel1[[#This Row],[categorie]],Lijst!A:B,2,FALSE)</f>
        <v>Variabel</v>
      </c>
      <c r="I264" t="str">
        <f t="shared" si="14"/>
        <v>OK</v>
      </c>
    </row>
    <row r="265" spans="1:9" hidden="1" x14ac:dyDescent="0.3">
      <c r="A265" s="2">
        <v>45692</v>
      </c>
      <c r="B265" t="str">
        <f t="shared" si="12"/>
        <v xml:space="preserve">februari </v>
      </c>
      <c r="C265">
        <v>-2.94</v>
      </c>
      <c r="D265" t="s">
        <v>3</v>
      </c>
      <c r="F265" t="s">
        <v>18</v>
      </c>
      <c r="G265">
        <f t="shared" si="13"/>
        <v>-2.94</v>
      </c>
      <c r="H265" t="str">
        <f>VLOOKUP(Tabel1[[#This Row],[categorie]],Lijst!A:B,2,FALSE)</f>
        <v>Vast</v>
      </c>
      <c r="I265" t="str">
        <f t="shared" si="14"/>
        <v>OK</v>
      </c>
    </row>
    <row r="266" spans="1:9" hidden="1" x14ac:dyDescent="0.3">
      <c r="A266" s="2">
        <v>45692</v>
      </c>
      <c r="B266" t="str">
        <f t="shared" si="12"/>
        <v xml:space="preserve">februari </v>
      </c>
      <c r="C266">
        <v>-21.67</v>
      </c>
      <c r="D266" t="s">
        <v>3</v>
      </c>
      <c r="F266" t="s">
        <v>18</v>
      </c>
      <c r="G266">
        <f t="shared" si="13"/>
        <v>-21.67</v>
      </c>
      <c r="H266" t="str">
        <f>VLOOKUP(Tabel1[[#This Row],[categorie]],Lijst!A:B,2,FALSE)</f>
        <v>Vast</v>
      </c>
      <c r="I266" t="str">
        <f t="shared" si="14"/>
        <v>OK</v>
      </c>
    </row>
    <row r="267" spans="1:9" hidden="1" x14ac:dyDescent="0.3">
      <c r="A267" s="2">
        <v>45692</v>
      </c>
      <c r="B267" t="str">
        <f t="shared" si="12"/>
        <v xml:space="preserve">februari </v>
      </c>
      <c r="C267">
        <v>-127.5</v>
      </c>
      <c r="D267" t="s">
        <v>11</v>
      </c>
      <c r="F267" t="s">
        <v>18</v>
      </c>
      <c r="G267">
        <f t="shared" si="13"/>
        <v>-127.5</v>
      </c>
      <c r="H267" t="str">
        <f>VLOOKUP(Tabel1[[#This Row],[categorie]],Lijst!A:B,2,FALSE)</f>
        <v>Vast</v>
      </c>
      <c r="I267" t="str">
        <f t="shared" si="14"/>
        <v>OK</v>
      </c>
    </row>
    <row r="268" spans="1:9" hidden="1" x14ac:dyDescent="0.3">
      <c r="A268" s="2">
        <v>45692</v>
      </c>
      <c r="B268" t="str">
        <f t="shared" si="12"/>
        <v xml:space="preserve">februari </v>
      </c>
      <c r="C268">
        <v>-21.94</v>
      </c>
      <c r="D268" t="s">
        <v>9</v>
      </c>
      <c r="F268" t="s">
        <v>18</v>
      </c>
      <c r="G268">
        <f t="shared" si="13"/>
        <v>-21.94</v>
      </c>
      <c r="H268" t="str">
        <f>VLOOKUP(Tabel1[[#This Row],[categorie]],Lijst!A:B,2,FALSE)</f>
        <v>Variabel</v>
      </c>
      <c r="I268" t="str">
        <f t="shared" si="14"/>
        <v>OK</v>
      </c>
    </row>
    <row r="269" spans="1:9" hidden="1" x14ac:dyDescent="0.3">
      <c r="A269" s="2">
        <v>45693</v>
      </c>
      <c r="B269" t="str">
        <f t="shared" si="12"/>
        <v xml:space="preserve">februari </v>
      </c>
      <c r="C269">
        <v>-8.5</v>
      </c>
      <c r="D269" t="s">
        <v>3</v>
      </c>
      <c r="F269" t="s">
        <v>18</v>
      </c>
      <c r="G269">
        <f t="shared" si="13"/>
        <v>-8.5</v>
      </c>
      <c r="H269" t="str">
        <f>VLOOKUP(Tabel1[[#This Row],[categorie]],Lijst!A:B,2,FALSE)</f>
        <v>Vast</v>
      </c>
      <c r="I269" t="str">
        <f t="shared" si="14"/>
        <v>OK</v>
      </c>
    </row>
    <row r="270" spans="1:9" hidden="1" x14ac:dyDescent="0.3">
      <c r="A270" s="2">
        <v>45693</v>
      </c>
      <c r="B270" t="str">
        <f t="shared" si="12"/>
        <v xml:space="preserve">februari </v>
      </c>
      <c r="C270">
        <v>-1.5</v>
      </c>
      <c r="D270" t="s">
        <v>26</v>
      </c>
      <c r="F270" t="s">
        <v>18</v>
      </c>
      <c r="G270">
        <f t="shared" si="13"/>
        <v>-1.5</v>
      </c>
      <c r="H270" t="str">
        <f>VLOOKUP(Tabel1[[#This Row],[categorie]],Lijst!A:B,2,FALSE)</f>
        <v>Variabel</v>
      </c>
      <c r="I270" t="str">
        <f t="shared" si="14"/>
        <v>OK</v>
      </c>
    </row>
    <row r="271" spans="1:9" hidden="1" x14ac:dyDescent="0.3">
      <c r="A271" s="2">
        <v>45693</v>
      </c>
      <c r="B271" t="str">
        <f t="shared" si="12"/>
        <v xml:space="preserve">februari </v>
      </c>
      <c r="C271">
        <v>-8.0399999999999991</v>
      </c>
      <c r="D271" t="s">
        <v>3</v>
      </c>
      <c r="F271" t="s">
        <v>18</v>
      </c>
      <c r="G271">
        <f t="shared" si="13"/>
        <v>-8.0399999999999991</v>
      </c>
      <c r="H271" t="str">
        <f>VLOOKUP(Tabel1[[#This Row],[categorie]],Lijst!A:B,2,FALSE)</f>
        <v>Vast</v>
      </c>
      <c r="I271" t="str">
        <f t="shared" si="14"/>
        <v>OK</v>
      </c>
    </row>
    <row r="272" spans="1:9" hidden="1" x14ac:dyDescent="0.3">
      <c r="A272" s="2">
        <v>45693</v>
      </c>
      <c r="B272" t="str">
        <f t="shared" si="12"/>
        <v xml:space="preserve">februari </v>
      </c>
      <c r="C272">
        <v>-20.71</v>
      </c>
      <c r="D272" t="s">
        <v>38</v>
      </c>
      <c r="F272" t="s">
        <v>18</v>
      </c>
      <c r="G272">
        <f t="shared" si="13"/>
        <v>-20.71</v>
      </c>
      <c r="H272" t="str">
        <f>VLOOKUP(Tabel1[[#This Row],[categorie]],Lijst!A:B,2,FALSE)</f>
        <v>Vast</v>
      </c>
      <c r="I272" t="str">
        <f t="shared" si="14"/>
        <v>OK</v>
      </c>
    </row>
    <row r="273" spans="1:9" hidden="1" x14ac:dyDescent="0.3">
      <c r="A273" s="2">
        <v>45693</v>
      </c>
      <c r="B273" t="str">
        <f t="shared" si="12"/>
        <v xml:space="preserve">februari </v>
      </c>
      <c r="C273">
        <v>-13.9</v>
      </c>
      <c r="D273" t="s">
        <v>14</v>
      </c>
      <c r="F273" t="s">
        <v>18</v>
      </c>
      <c r="G273">
        <f t="shared" si="13"/>
        <v>-13.9</v>
      </c>
      <c r="H273" t="str">
        <f>VLOOKUP(Tabel1[[#This Row],[categorie]],Lijst!A:B,2,FALSE)</f>
        <v>Variabel</v>
      </c>
      <c r="I273" t="str">
        <f t="shared" si="14"/>
        <v>OK</v>
      </c>
    </row>
    <row r="274" spans="1:9" hidden="1" x14ac:dyDescent="0.3">
      <c r="A274" s="2">
        <v>45693</v>
      </c>
      <c r="B274" t="str">
        <f t="shared" si="12"/>
        <v xml:space="preserve">februari </v>
      </c>
      <c r="C274">
        <v>-19.95</v>
      </c>
      <c r="D274" t="s">
        <v>14</v>
      </c>
      <c r="F274" t="s">
        <v>18</v>
      </c>
      <c r="G274">
        <f t="shared" si="13"/>
        <v>-19.95</v>
      </c>
      <c r="H274" t="str">
        <f>VLOOKUP(Tabel1[[#This Row],[categorie]],Lijst!A:B,2,FALSE)</f>
        <v>Variabel</v>
      </c>
      <c r="I274" t="str">
        <f t="shared" si="14"/>
        <v>OK</v>
      </c>
    </row>
    <row r="275" spans="1:9" hidden="1" x14ac:dyDescent="0.3">
      <c r="A275" s="2">
        <v>45694</v>
      </c>
      <c r="B275" t="str">
        <f t="shared" si="12"/>
        <v xml:space="preserve">februari </v>
      </c>
      <c r="C275">
        <v>-9.11</v>
      </c>
      <c r="D275" t="s">
        <v>13</v>
      </c>
      <c r="F275" t="s">
        <v>18</v>
      </c>
      <c r="G275">
        <f t="shared" si="13"/>
        <v>-9.11</v>
      </c>
      <c r="H275" t="str">
        <f>VLOOKUP(Tabel1[[#This Row],[categorie]],Lijst!A:B,2,FALSE)</f>
        <v>Vast</v>
      </c>
      <c r="I275" t="str">
        <f t="shared" si="14"/>
        <v>OK</v>
      </c>
    </row>
    <row r="276" spans="1:9" hidden="1" x14ac:dyDescent="0.3">
      <c r="A276" s="2">
        <v>45694</v>
      </c>
      <c r="B276" t="str">
        <f t="shared" si="12"/>
        <v xml:space="preserve">februari </v>
      </c>
      <c r="C276">
        <v>-5</v>
      </c>
      <c r="D276" t="s">
        <v>13</v>
      </c>
      <c r="F276" t="s">
        <v>18</v>
      </c>
      <c r="G276">
        <f t="shared" si="13"/>
        <v>-5</v>
      </c>
      <c r="H276" t="str">
        <f>VLOOKUP(Tabel1[[#This Row],[categorie]],Lijst!A:B,2,FALSE)</f>
        <v>Vast</v>
      </c>
      <c r="I276" t="str">
        <f t="shared" si="14"/>
        <v>OK</v>
      </c>
    </row>
    <row r="277" spans="1:9" hidden="1" x14ac:dyDescent="0.3">
      <c r="A277" s="2">
        <v>45694</v>
      </c>
      <c r="B277" t="str">
        <f t="shared" si="12"/>
        <v xml:space="preserve">februari </v>
      </c>
      <c r="C277">
        <v>-2.5</v>
      </c>
      <c r="D277" t="s">
        <v>47</v>
      </c>
      <c r="F277" t="s">
        <v>18</v>
      </c>
      <c r="G277">
        <f t="shared" si="13"/>
        <v>-2.5</v>
      </c>
      <c r="H277" t="str">
        <f>VLOOKUP(Tabel1[[#This Row],[categorie]],Lijst!A:B,2,FALSE)</f>
        <v>Variabel</v>
      </c>
      <c r="I277" t="str">
        <f t="shared" si="14"/>
        <v>OK</v>
      </c>
    </row>
    <row r="278" spans="1:9" hidden="1" x14ac:dyDescent="0.3">
      <c r="A278" s="2">
        <v>45694</v>
      </c>
      <c r="B278" t="str">
        <f t="shared" si="12"/>
        <v xml:space="preserve">februari </v>
      </c>
      <c r="C278">
        <v>-30.2</v>
      </c>
      <c r="D278" t="s">
        <v>47</v>
      </c>
      <c r="F278" t="s">
        <v>18</v>
      </c>
      <c r="G278">
        <f t="shared" si="13"/>
        <v>-30.2</v>
      </c>
      <c r="H278" t="str">
        <f>VLOOKUP(Tabel1[[#This Row],[categorie]],Lijst!A:B,2,FALSE)</f>
        <v>Variabel</v>
      </c>
      <c r="I278" t="str">
        <f t="shared" si="14"/>
        <v>OK</v>
      </c>
    </row>
    <row r="279" spans="1:9" hidden="1" x14ac:dyDescent="0.3">
      <c r="A279" s="2">
        <v>45694</v>
      </c>
      <c r="B279" t="str">
        <f t="shared" si="12"/>
        <v xml:space="preserve">februari </v>
      </c>
      <c r="C279">
        <v>-49.42</v>
      </c>
      <c r="D279" t="s">
        <v>47</v>
      </c>
      <c r="F279" t="s">
        <v>18</v>
      </c>
      <c r="G279">
        <f t="shared" si="13"/>
        <v>-49.42</v>
      </c>
      <c r="H279" t="str">
        <f>VLOOKUP(Tabel1[[#This Row],[categorie]],Lijst!A:B,2,FALSE)</f>
        <v>Variabel</v>
      </c>
      <c r="I279" t="str">
        <f t="shared" si="14"/>
        <v>OK</v>
      </c>
    </row>
    <row r="280" spans="1:9" hidden="1" x14ac:dyDescent="0.3">
      <c r="A280" s="2">
        <v>45694</v>
      </c>
      <c r="B280" t="str">
        <f t="shared" si="12"/>
        <v xml:space="preserve">februari </v>
      </c>
      <c r="C280">
        <v>-1.5</v>
      </c>
      <c r="D280" t="s">
        <v>26</v>
      </c>
      <c r="F280" t="s">
        <v>18</v>
      </c>
      <c r="G280">
        <f t="shared" si="13"/>
        <v>-1.5</v>
      </c>
      <c r="H280" t="str">
        <f>VLOOKUP(Tabel1[[#This Row],[categorie]],Lijst!A:B,2,FALSE)</f>
        <v>Variabel</v>
      </c>
      <c r="I280" t="str">
        <f t="shared" si="14"/>
        <v>OK</v>
      </c>
    </row>
    <row r="281" spans="1:9" hidden="1" x14ac:dyDescent="0.3">
      <c r="A281" s="2">
        <v>45694</v>
      </c>
      <c r="B281" t="str">
        <f t="shared" si="12"/>
        <v xml:space="preserve">februari </v>
      </c>
      <c r="C281">
        <v>-9.4</v>
      </c>
      <c r="D281" t="s">
        <v>3</v>
      </c>
      <c r="F281" t="s">
        <v>18</v>
      </c>
      <c r="G281">
        <f t="shared" si="13"/>
        <v>-9.4</v>
      </c>
      <c r="H281" t="str">
        <f>VLOOKUP(Tabel1[[#This Row],[categorie]],Lijst!A:B,2,FALSE)</f>
        <v>Vast</v>
      </c>
      <c r="I281" t="str">
        <f t="shared" si="14"/>
        <v>OK</v>
      </c>
    </row>
    <row r="282" spans="1:9" hidden="1" x14ac:dyDescent="0.3">
      <c r="A282" s="2">
        <v>45694</v>
      </c>
      <c r="B282" t="str">
        <f t="shared" si="12"/>
        <v xml:space="preserve">februari </v>
      </c>
      <c r="C282">
        <v>-21.02</v>
      </c>
      <c r="D282" t="s">
        <v>35</v>
      </c>
      <c r="F282" t="s">
        <v>18</v>
      </c>
      <c r="G282">
        <f t="shared" si="13"/>
        <v>-21.02</v>
      </c>
      <c r="H282" t="str">
        <f>VLOOKUP(Tabel1[[#This Row],[categorie]],Lijst!A:B,2,FALSE)</f>
        <v>Variabel</v>
      </c>
      <c r="I282" t="str">
        <f t="shared" si="14"/>
        <v>OK</v>
      </c>
    </row>
    <row r="283" spans="1:9" hidden="1" x14ac:dyDescent="0.3">
      <c r="A283" s="2">
        <v>45694</v>
      </c>
      <c r="B283" t="str">
        <f t="shared" si="12"/>
        <v xml:space="preserve">februari </v>
      </c>
      <c r="C283">
        <v>-8.19</v>
      </c>
      <c r="D283" t="s">
        <v>3</v>
      </c>
      <c r="F283" t="s">
        <v>18</v>
      </c>
      <c r="G283">
        <f t="shared" si="13"/>
        <v>-8.19</v>
      </c>
      <c r="H283" t="str">
        <f>VLOOKUP(Tabel1[[#This Row],[categorie]],Lijst!A:B,2,FALSE)</f>
        <v>Vast</v>
      </c>
      <c r="I283" t="str">
        <f t="shared" si="14"/>
        <v>OK</v>
      </c>
    </row>
    <row r="284" spans="1:9" hidden="1" x14ac:dyDescent="0.3">
      <c r="A284" s="2">
        <v>45694</v>
      </c>
      <c r="B284" t="str">
        <f t="shared" si="12"/>
        <v xml:space="preserve">februari </v>
      </c>
      <c r="C284">
        <v>-15.39</v>
      </c>
      <c r="D284" t="s">
        <v>3</v>
      </c>
      <c r="F284" t="s">
        <v>18</v>
      </c>
      <c r="G284">
        <f t="shared" si="13"/>
        <v>-15.39</v>
      </c>
      <c r="H284" t="str">
        <f>VLOOKUP(Tabel1[[#This Row],[categorie]],Lijst!A:B,2,FALSE)</f>
        <v>Vast</v>
      </c>
      <c r="I284" t="str">
        <f t="shared" si="14"/>
        <v>OK</v>
      </c>
    </row>
    <row r="285" spans="1:9" hidden="1" x14ac:dyDescent="0.3">
      <c r="A285" s="2">
        <v>45694</v>
      </c>
      <c r="B285" t="str">
        <f t="shared" si="12"/>
        <v xml:space="preserve">februari </v>
      </c>
      <c r="C285">
        <v>-810.65</v>
      </c>
      <c r="D285" t="s">
        <v>10</v>
      </c>
      <c r="F285" t="s">
        <v>18</v>
      </c>
      <c r="G285">
        <f t="shared" si="13"/>
        <v>-810.65</v>
      </c>
      <c r="H285" t="str">
        <f>VLOOKUP(Tabel1[[#This Row],[categorie]],Lijst!A:B,2,FALSE)</f>
        <v>Vast</v>
      </c>
      <c r="I285" t="str">
        <f t="shared" si="14"/>
        <v>OK</v>
      </c>
    </row>
    <row r="286" spans="1:9" hidden="1" x14ac:dyDescent="0.3">
      <c r="A286" s="2">
        <v>45695</v>
      </c>
      <c r="B286" t="str">
        <f t="shared" si="12"/>
        <v xml:space="preserve">februari </v>
      </c>
      <c r="C286">
        <v>-9.6999999999999993</v>
      </c>
      <c r="D286" t="s">
        <v>3</v>
      </c>
      <c r="F286" t="s">
        <v>18</v>
      </c>
      <c r="G286">
        <f t="shared" si="13"/>
        <v>-9.6999999999999993</v>
      </c>
      <c r="H286" t="str">
        <f>VLOOKUP(Tabel1[[#This Row],[categorie]],Lijst!A:B,2,FALSE)</f>
        <v>Vast</v>
      </c>
      <c r="I286" t="str">
        <f t="shared" si="14"/>
        <v>OK</v>
      </c>
    </row>
    <row r="287" spans="1:9" hidden="1" x14ac:dyDescent="0.3">
      <c r="A287" s="2">
        <v>45695</v>
      </c>
      <c r="B287" t="str">
        <f t="shared" si="12"/>
        <v xml:space="preserve">februari </v>
      </c>
      <c r="C287">
        <v>-1.5</v>
      </c>
      <c r="D287" t="s">
        <v>26</v>
      </c>
      <c r="F287" t="s">
        <v>18</v>
      </c>
      <c r="G287">
        <f t="shared" si="13"/>
        <v>-1.5</v>
      </c>
      <c r="H287" t="str">
        <f>VLOOKUP(Tabel1[[#This Row],[categorie]],Lijst!A:B,2,FALSE)</f>
        <v>Variabel</v>
      </c>
      <c r="I287" t="str">
        <f t="shared" si="14"/>
        <v>OK</v>
      </c>
    </row>
    <row r="288" spans="1:9" hidden="1" x14ac:dyDescent="0.3">
      <c r="A288" s="2">
        <v>45695</v>
      </c>
      <c r="B288" t="str">
        <f t="shared" si="12"/>
        <v xml:space="preserve">februari </v>
      </c>
      <c r="C288">
        <v>-1.5</v>
      </c>
      <c r="D288" t="s">
        <v>26</v>
      </c>
      <c r="F288" t="s">
        <v>18</v>
      </c>
      <c r="G288">
        <f t="shared" si="13"/>
        <v>-1.5</v>
      </c>
      <c r="H288" t="str">
        <f>VLOOKUP(Tabel1[[#This Row],[categorie]],Lijst!A:B,2,FALSE)</f>
        <v>Variabel</v>
      </c>
      <c r="I288" t="str">
        <f t="shared" si="14"/>
        <v>OK</v>
      </c>
    </row>
    <row r="289" spans="1:9" hidden="1" x14ac:dyDescent="0.3">
      <c r="A289" s="2">
        <v>45695</v>
      </c>
      <c r="B289" t="str">
        <f t="shared" si="12"/>
        <v xml:space="preserve">februari </v>
      </c>
      <c r="C289">
        <v>-4.5999999999999996</v>
      </c>
      <c r="D289" t="s">
        <v>3</v>
      </c>
      <c r="F289" t="s">
        <v>18</v>
      </c>
      <c r="G289">
        <f t="shared" si="13"/>
        <v>-4.5999999999999996</v>
      </c>
      <c r="H289" t="str">
        <f>VLOOKUP(Tabel1[[#This Row],[categorie]],Lijst!A:B,2,FALSE)</f>
        <v>Vast</v>
      </c>
      <c r="I289" t="str">
        <f t="shared" si="14"/>
        <v>OK</v>
      </c>
    </row>
    <row r="290" spans="1:9" hidden="1" x14ac:dyDescent="0.3">
      <c r="A290" s="2">
        <v>45695</v>
      </c>
      <c r="B290" t="str">
        <f t="shared" si="12"/>
        <v xml:space="preserve">februari </v>
      </c>
      <c r="C290">
        <v>-16.29</v>
      </c>
      <c r="D290" t="s">
        <v>3</v>
      </c>
      <c r="F290" t="s">
        <v>18</v>
      </c>
      <c r="G290">
        <f t="shared" si="13"/>
        <v>-16.29</v>
      </c>
      <c r="H290" t="str">
        <f>VLOOKUP(Tabel1[[#This Row],[categorie]],Lijst!A:B,2,FALSE)</f>
        <v>Vast</v>
      </c>
      <c r="I290" t="str">
        <f t="shared" si="14"/>
        <v>OK</v>
      </c>
    </row>
    <row r="291" spans="1:9" hidden="1" x14ac:dyDescent="0.3">
      <c r="A291" s="2">
        <v>45695</v>
      </c>
      <c r="B291" t="str">
        <f t="shared" ref="B291:B354" si="15">TEXT(A291,"mmmm ")</f>
        <v xml:space="preserve">februari </v>
      </c>
      <c r="C291">
        <v>-1.5</v>
      </c>
      <c r="D291" t="s">
        <v>26</v>
      </c>
      <c r="F291" t="s">
        <v>18</v>
      </c>
      <c r="G291">
        <f t="shared" ref="G291:G354" si="16">IF(F291="Uitgave", -ABS(C291), ABS(C291))</f>
        <v>-1.5</v>
      </c>
      <c r="H291" t="str">
        <f>VLOOKUP(Tabel1[[#This Row],[categorie]],Lijst!A:B,2,FALSE)</f>
        <v>Variabel</v>
      </c>
      <c r="I291" t="str">
        <f t="shared" ref="I291:I354" si="17">IF(OR(AND(F291="Uitgave", C291&lt;0), AND(F291="Inkomst", C291&gt;0)), "OK", "FOUT")</f>
        <v>OK</v>
      </c>
    </row>
    <row r="292" spans="1:9" hidden="1" x14ac:dyDescent="0.3">
      <c r="A292" s="2">
        <v>45695</v>
      </c>
      <c r="B292" t="str">
        <f t="shared" si="15"/>
        <v xml:space="preserve">februari </v>
      </c>
      <c r="C292">
        <v>-1.1000000000000001</v>
      </c>
      <c r="D292" t="s">
        <v>26</v>
      </c>
      <c r="F292" t="s">
        <v>18</v>
      </c>
      <c r="G292">
        <f t="shared" si="16"/>
        <v>-1.1000000000000001</v>
      </c>
      <c r="H292" t="str">
        <f>VLOOKUP(Tabel1[[#This Row],[categorie]],Lijst!A:B,2,FALSE)</f>
        <v>Variabel</v>
      </c>
      <c r="I292" t="str">
        <f t="shared" si="17"/>
        <v>OK</v>
      </c>
    </row>
    <row r="293" spans="1:9" hidden="1" x14ac:dyDescent="0.3">
      <c r="A293" s="2">
        <v>45695</v>
      </c>
      <c r="B293" t="str">
        <f t="shared" si="15"/>
        <v xml:space="preserve">februari </v>
      </c>
      <c r="C293">
        <v>-3.9</v>
      </c>
      <c r="D293" t="s">
        <v>3</v>
      </c>
      <c r="F293" t="s">
        <v>18</v>
      </c>
      <c r="G293">
        <f t="shared" si="16"/>
        <v>-3.9</v>
      </c>
      <c r="H293" t="str">
        <f>VLOOKUP(Tabel1[[#This Row],[categorie]],Lijst!A:B,2,FALSE)</f>
        <v>Vast</v>
      </c>
      <c r="I293" t="str">
        <f t="shared" si="17"/>
        <v>OK</v>
      </c>
    </row>
    <row r="294" spans="1:9" hidden="1" x14ac:dyDescent="0.3">
      <c r="A294" s="2">
        <v>45695</v>
      </c>
      <c r="B294" t="str">
        <f t="shared" si="15"/>
        <v xml:space="preserve">februari </v>
      </c>
      <c r="C294">
        <v>-26.7</v>
      </c>
      <c r="D294" t="s">
        <v>14</v>
      </c>
      <c r="F294" t="s">
        <v>18</v>
      </c>
      <c r="G294">
        <f t="shared" si="16"/>
        <v>-26.7</v>
      </c>
      <c r="H294" t="str">
        <f>VLOOKUP(Tabel1[[#This Row],[categorie]],Lijst!A:B,2,FALSE)</f>
        <v>Variabel</v>
      </c>
      <c r="I294" t="str">
        <f t="shared" si="17"/>
        <v>OK</v>
      </c>
    </row>
    <row r="295" spans="1:9" hidden="1" x14ac:dyDescent="0.3">
      <c r="A295" s="2">
        <v>45695</v>
      </c>
      <c r="B295" t="str">
        <f t="shared" si="15"/>
        <v xml:space="preserve">februari </v>
      </c>
      <c r="C295">
        <v>-58.35</v>
      </c>
      <c r="D295" t="s">
        <v>14</v>
      </c>
      <c r="F295" t="s">
        <v>18</v>
      </c>
      <c r="G295">
        <f t="shared" si="16"/>
        <v>-58.35</v>
      </c>
      <c r="H295" t="str">
        <f>VLOOKUP(Tabel1[[#This Row],[categorie]],Lijst!A:B,2,FALSE)</f>
        <v>Variabel</v>
      </c>
      <c r="I295" t="str">
        <f t="shared" si="17"/>
        <v>OK</v>
      </c>
    </row>
    <row r="296" spans="1:9" hidden="1" x14ac:dyDescent="0.3">
      <c r="A296" s="2">
        <v>45695</v>
      </c>
      <c r="B296" t="str">
        <f t="shared" si="15"/>
        <v xml:space="preserve">februari </v>
      </c>
      <c r="C296">
        <v>-63.36</v>
      </c>
      <c r="D296" t="s">
        <v>13</v>
      </c>
      <c r="F296" t="s">
        <v>18</v>
      </c>
      <c r="G296">
        <f t="shared" si="16"/>
        <v>-63.36</v>
      </c>
      <c r="H296" t="str">
        <f>VLOOKUP(Tabel1[[#This Row],[categorie]],Lijst!A:B,2,FALSE)</f>
        <v>Vast</v>
      </c>
      <c r="I296" t="str">
        <f t="shared" si="17"/>
        <v>OK</v>
      </c>
    </row>
    <row r="297" spans="1:9" hidden="1" x14ac:dyDescent="0.3">
      <c r="A297" s="2">
        <v>45695</v>
      </c>
      <c r="B297" t="str">
        <f t="shared" si="15"/>
        <v xml:space="preserve">februari </v>
      </c>
      <c r="C297">
        <v>-25.8</v>
      </c>
      <c r="D297" t="s">
        <v>9</v>
      </c>
      <c r="F297" t="s">
        <v>18</v>
      </c>
      <c r="G297">
        <f t="shared" si="16"/>
        <v>-25.8</v>
      </c>
      <c r="H297" t="str">
        <f>VLOOKUP(Tabel1[[#This Row],[categorie]],Lijst!A:B,2,FALSE)</f>
        <v>Variabel</v>
      </c>
      <c r="I297" t="str">
        <f t="shared" si="17"/>
        <v>OK</v>
      </c>
    </row>
    <row r="298" spans="1:9" hidden="1" x14ac:dyDescent="0.3">
      <c r="A298" s="2">
        <v>45695</v>
      </c>
      <c r="B298" t="str">
        <f t="shared" si="15"/>
        <v xml:space="preserve">februari </v>
      </c>
      <c r="C298">
        <v>-39.119999999999997</v>
      </c>
      <c r="D298" t="s">
        <v>82</v>
      </c>
      <c r="F298" t="s">
        <v>18</v>
      </c>
      <c r="G298">
        <f t="shared" si="16"/>
        <v>-39.119999999999997</v>
      </c>
      <c r="H298" t="str">
        <f>VLOOKUP(Tabel1[[#This Row],[categorie]],Lijst!A:B,2,FALSE)</f>
        <v>Vast</v>
      </c>
      <c r="I298" t="str">
        <f t="shared" si="17"/>
        <v>OK</v>
      </c>
    </row>
    <row r="299" spans="1:9" hidden="1" x14ac:dyDescent="0.3">
      <c r="A299" s="2">
        <v>45697</v>
      </c>
      <c r="B299" t="str">
        <f t="shared" si="15"/>
        <v xml:space="preserve">februari </v>
      </c>
      <c r="C299">
        <v>-917.18</v>
      </c>
      <c r="D299" t="s">
        <v>14</v>
      </c>
      <c r="F299" t="s">
        <v>18</v>
      </c>
      <c r="G299">
        <f t="shared" si="16"/>
        <v>-917.18</v>
      </c>
      <c r="H299" t="str">
        <f>VLOOKUP(Tabel1[[#This Row],[categorie]],Lijst!A:B,2,FALSE)</f>
        <v>Variabel</v>
      </c>
      <c r="I299" t="str">
        <f t="shared" si="17"/>
        <v>OK</v>
      </c>
    </row>
    <row r="300" spans="1:9" hidden="1" x14ac:dyDescent="0.3">
      <c r="A300" s="2">
        <v>45698</v>
      </c>
      <c r="B300" t="str">
        <f t="shared" si="15"/>
        <v xml:space="preserve">februari </v>
      </c>
      <c r="C300">
        <v>-10.73</v>
      </c>
      <c r="D300" t="s">
        <v>13</v>
      </c>
      <c r="F300" t="s">
        <v>18</v>
      </c>
      <c r="G300">
        <f t="shared" si="16"/>
        <v>-10.73</v>
      </c>
      <c r="H300" t="str">
        <f>VLOOKUP(Tabel1[[#This Row],[categorie]],Lijst!A:B,2,FALSE)</f>
        <v>Vast</v>
      </c>
      <c r="I300" t="str">
        <f t="shared" si="17"/>
        <v>OK</v>
      </c>
    </row>
    <row r="301" spans="1:9" hidden="1" x14ac:dyDescent="0.3">
      <c r="A301" s="2">
        <v>45698</v>
      </c>
      <c r="B301" t="str">
        <f t="shared" si="15"/>
        <v xml:space="preserve">februari </v>
      </c>
      <c r="C301">
        <v>-5</v>
      </c>
      <c r="D301" t="s">
        <v>13</v>
      </c>
      <c r="F301" t="s">
        <v>18</v>
      </c>
      <c r="G301">
        <f t="shared" si="16"/>
        <v>-5</v>
      </c>
      <c r="H301" t="str">
        <f>VLOOKUP(Tabel1[[#This Row],[categorie]],Lijst!A:B,2,FALSE)</f>
        <v>Vast</v>
      </c>
      <c r="I301" t="str">
        <f t="shared" si="17"/>
        <v>OK</v>
      </c>
    </row>
    <row r="302" spans="1:9" hidden="1" x14ac:dyDescent="0.3">
      <c r="A302" s="2">
        <v>45698</v>
      </c>
      <c r="B302" t="str">
        <f t="shared" si="15"/>
        <v xml:space="preserve">februari </v>
      </c>
      <c r="C302">
        <v>-10.45</v>
      </c>
      <c r="D302" t="s">
        <v>14</v>
      </c>
      <c r="F302" t="s">
        <v>18</v>
      </c>
      <c r="G302">
        <f t="shared" si="16"/>
        <v>-10.45</v>
      </c>
      <c r="H302" t="str">
        <f>VLOOKUP(Tabel1[[#This Row],[categorie]],Lijst!A:B,2,FALSE)</f>
        <v>Variabel</v>
      </c>
      <c r="I302" t="str">
        <f t="shared" si="17"/>
        <v>OK</v>
      </c>
    </row>
    <row r="303" spans="1:9" hidden="1" x14ac:dyDescent="0.3">
      <c r="A303" s="2">
        <v>45698</v>
      </c>
      <c r="B303" t="str">
        <f t="shared" si="15"/>
        <v xml:space="preserve">februari </v>
      </c>
      <c r="C303">
        <v>-28.7</v>
      </c>
      <c r="D303" t="s">
        <v>56</v>
      </c>
      <c r="F303" t="s">
        <v>18</v>
      </c>
      <c r="G303">
        <f t="shared" si="16"/>
        <v>-28.7</v>
      </c>
      <c r="H303" t="str">
        <f>VLOOKUP(Tabel1[[#This Row],[categorie]],Lijst!A:B,2,FALSE)</f>
        <v>Variabel</v>
      </c>
      <c r="I303" t="str">
        <f t="shared" si="17"/>
        <v>OK</v>
      </c>
    </row>
    <row r="304" spans="1:9" hidden="1" x14ac:dyDescent="0.3">
      <c r="A304" s="2">
        <v>45698</v>
      </c>
      <c r="B304" t="str">
        <f t="shared" si="15"/>
        <v xml:space="preserve">februari </v>
      </c>
      <c r="C304">
        <v>-7.9</v>
      </c>
      <c r="D304" t="s">
        <v>3</v>
      </c>
      <c r="F304" t="s">
        <v>18</v>
      </c>
      <c r="G304">
        <f t="shared" si="16"/>
        <v>-7.9</v>
      </c>
      <c r="H304" t="str">
        <f>VLOOKUP(Tabel1[[#This Row],[categorie]],Lijst!A:B,2,FALSE)</f>
        <v>Vast</v>
      </c>
      <c r="I304" t="str">
        <f t="shared" si="17"/>
        <v>OK</v>
      </c>
    </row>
    <row r="305" spans="1:9" hidden="1" x14ac:dyDescent="0.3">
      <c r="A305" s="2">
        <v>45698</v>
      </c>
      <c r="B305" t="str">
        <f t="shared" si="15"/>
        <v xml:space="preserve">februari </v>
      </c>
      <c r="C305">
        <v>-0.99</v>
      </c>
      <c r="D305" t="s">
        <v>3</v>
      </c>
      <c r="F305" t="s">
        <v>18</v>
      </c>
      <c r="G305">
        <f t="shared" si="16"/>
        <v>-0.99</v>
      </c>
      <c r="H305" t="str">
        <f>VLOOKUP(Tabel1[[#This Row],[categorie]],Lijst!A:B,2,FALSE)</f>
        <v>Vast</v>
      </c>
      <c r="I305" t="str">
        <f t="shared" si="17"/>
        <v>OK</v>
      </c>
    </row>
    <row r="306" spans="1:9" hidden="1" x14ac:dyDescent="0.3">
      <c r="A306" s="2">
        <v>45698</v>
      </c>
      <c r="B306" t="str">
        <f t="shared" si="15"/>
        <v xml:space="preserve">februari </v>
      </c>
      <c r="C306">
        <v>-4.8</v>
      </c>
      <c r="D306" t="s">
        <v>14</v>
      </c>
      <c r="F306" t="s">
        <v>18</v>
      </c>
      <c r="G306">
        <f t="shared" si="16"/>
        <v>-4.8</v>
      </c>
      <c r="H306" t="str">
        <f>VLOOKUP(Tabel1[[#This Row],[categorie]],Lijst!A:B,2,FALSE)</f>
        <v>Variabel</v>
      </c>
      <c r="I306" t="str">
        <f t="shared" si="17"/>
        <v>OK</v>
      </c>
    </row>
    <row r="307" spans="1:9" hidden="1" x14ac:dyDescent="0.3">
      <c r="A307" s="2">
        <v>45698</v>
      </c>
      <c r="B307" t="str">
        <f t="shared" si="15"/>
        <v xml:space="preserve">februari </v>
      </c>
      <c r="C307">
        <v>-13.9</v>
      </c>
      <c r="D307" t="s">
        <v>14</v>
      </c>
      <c r="F307" t="s">
        <v>18</v>
      </c>
      <c r="G307">
        <f t="shared" si="16"/>
        <v>-13.9</v>
      </c>
      <c r="H307" t="str">
        <f>VLOOKUP(Tabel1[[#This Row],[categorie]],Lijst!A:B,2,FALSE)</f>
        <v>Variabel</v>
      </c>
      <c r="I307" t="str">
        <f t="shared" si="17"/>
        <v>OK</v>
      </c>
    </row>
    <row r="308" spans="1:9" hidden="1" x14ac:dyDescent="0.3">
      <c r="A308" s="2">
        <v>45698</v>
      </c>
      <c r="B308" t="str">
        <f t="shared" si="15"/>
        <v xml:space="preserve">februari </v>
      </c>
      <c r="C308">
        <v>-5.99</v>
      </c>
      <c r="D308" t="s">
        <v>3</v>
      </c>
      <c r="F308" t="s">
        <v>18</v>
      </c>
      <c r="G308">
        <f t="shared" si="16"/>
        <v>-5.99</v>
      </c>
      <c r="H308" t="str">
        <f>VLOOKUP(Tabel1[[#This Row],[categorie]],Lijst!A:B,2,FALSE)</f>
        <v>Vast</v>
      </c>
      <c r="I308" t="str">
        <f t="shared" si="17"/>
        <v>OK</v>
      </c>
    </row>
    <row r="309" spans="1:9" hidden="1" x14ac:dyDescent="0.3">
      <c r="A309" s="2">
        <v>45698</v>
      </c>
      <c r="B309" t="str">
        <f t="shared" si="15"/>
        <v xml:space="preserve">februari </v>
      </c>
      <c r="C309">
        <v>-65.25</v>
      </c>
      <c r="D309" t="s">
        <v>14</v>
      </c>
      <c r="F309" t="s">
        <v>18</v>
      </c>
      <c r="G309">
        <f t="shared" si="16"/>
        <v>-65.25</v>
      </c>
      <c r="H309" t="str">
        <f>VLOOKUP(Tabel1[[#This Row],[categorie]],Lijst!A:B,2,FALSE)</f>
        <v>Variabel</v>
      </c>
      <c r="I309" t="str">
        <f t="shared" si="17"/>
        <v>OK</v>
      </c>
    </row>
    <row r="310" spans="1:9" hidden="1" x14ac:dyDescent="0.3">
      <c r="A310" s="2">
        <v>45698</v>
      </c>
      <c r="B310" t="str">
        <f t="shared" si="15"/>
        <v xml:space="preserve">februari </v>
      </c>
      <c r="C310">
        <v>-1.5</v>
      </c>
      <c r="D310" t="s">
        <v>26</v>
      </c>
      <c r="F310" t="s">
        <v>18</v>
      </c>
      <c r="G310">
        <f t="shared" si="16"/>
        <v>-1.5</v>
      </c>
      <c r="H310" t="str">
        <f>VLOOKUP(Tabel1[[#This Row],[categorie]],Lijst!A:B,2,FALSE)</f>
        <v>Variabel</v>
      </c>
      <c r="I310" t="str">
        <f t="shared" si="17"/>
        <v>OK</v>
      </c>
    </row>
    <row r="311" spans="1:9" hidden="1" x14ac:dyDescent="0.3">
      <c r="A311" s="2">
        <v>45698</v>
      </c>
      <c r="B311" t="str">
        <f t="shared" si="15"/>
        <v xml:space="preserve">februari </v>
      </c>
      <c r="C311">
        <v>-1.1000000000000001</v>
      </c>
      <c r="D311" t="s">
        <v>26</v>
      </c>
      <c r="F311" t="s">
        <v>18</v>
      </c>
      <c r="G311">
        <f t="shared" si="16"/>
        <v>-1.1000000000000001</v>
      </c>
      <c r="H311" t="str">
        <f>VLOOKUP(Tabel1[[#This Row],[categorie]],Lijst!A:B,2,FALSE)</f>
        <v>Variabel</v>
      </c>
      <c r="I311" t="str">
        <f t="shared" si="17"/>
        <v>OK</v>
      </c>
    </row>
    <row r="312" spans="1:9" hidden="1" x14ac:dyDescent="0.3">
      <c r="A312" s="2">
        <v>45698</v>
      </c>
      <c r="B312" t="str">
        <f t="shared" si="15"/>
        <v xml:space="preserve">februari </v>
      </c>
      <c r="C312">
        <v>-1.5</v>
      </c>
      <c r="D312" t="s">
        <v>26</v>
      </c>
      <c r="F312" t="s">
        <v>18</v>
      </c>
      <c r="G312">
        <f t="shared" si="16"/>
        <v>-1.5</v>
      </c>
      <c r="H312" t="str">
        <f>VLOOKUP(Tabel1[[#This Row],[categorie]],Lijst!A:B,2,FALSE)</f>
        <v>Variabel</v>
      </c>
      <c r="I312" t="str">
        <f t="shared" si="17"/>
        <v>OK</v>
      </c>
    </row>
    <row r="313" spans="1:9" hidden="1" x14ac:dyDescent="0.3">
      <c r="A313" s="2">
        <v>45698</v>
      </c>
      <c r="B313" t="str">
        <f t="shared" si="15"/>
        <v xml:space="preserve">februari </v>
      </c>
      <c r="C313">
        <v>-4.49</v>
      </c>
      <c r="D313" t="s">
        <v>3</v>
      </c>
      <c r="F313" t="s">
        <v>18</v>
      </c>
      <c r="G313">
        <f t="shared" si="16"/>
        <v>-4.49</v>
      </c>
      <c r="H313" t="str">
        <f>VLOOKUP(Tabel1[[#This Row],[categorie]],Lijst!A:B,2,FALSE)</f>
        <v>Vast</v>
      </c>
      <c r="I313" t="str">
        <f t="shared" si="17"/>
        <v>OK</v>
      </c>
    </row>
    <row r="314" spans="1:9" hidden="1" x14ac:dyDescent="0.3">
      <c r="A314" s="2">
        <v>45698</v>
      </c>
      <c r="B314" t="str">
        <f t="shared" si="15"/>
        <v xml:space="preserve">februari </v>
      </c>
      <c r="C314">
        <v>-4.18</v>
      </c>
      <c r="D314" t="s">
        <v>3</v>
      </c>
      <c r="F314" t="s">
        <v>18</v>
      </c>
      <c r="G314">
        <f t="shared" si="16"/>
        <v>-4.18</v>
      </c>
      <c r="H314" t="str">
        <f>VLOOKUP(Tabel1[[#This Row],[categorie]],Lijst!A:B,2,FALSE)</f>
        <v>Vast</v>
      </c>
      <c r="I314" t="str">
        <f t="shared" si="17"/>
        <v>OK</v>
      </c>
    </row>
    <row r="315" spans="1:9" hidden="1" x14ac:dyDescent="0.3">
      <c r="A315" s="2">
        <v>45698</v>
      </c>
      <c r="B315" t="str">
        <f t="shared" si="15"/>
        <v xml:space="preserve">februari </v>
      </c>
      <c r="C315">
        <v>-18.72</v>
      </c>
      <c r="D315" t="s">
        <v>3</v>
      </c>
      <c r="F315" t="s">
        <v>18</v>
      </c>
      <c r="G315">
        <f t="shared" si="16"/>
        <v>-18.72</v>
      </c>
      <c r="H315" t="str">
        <f>VLOOKUP(Tabel1[[#This Row],[categorie]],Lijst!A:B,2,FALSE)</f>
        <v>Vast</v>
      </c>
      <c r="I315" t="str">
        <f t="shared" si="17"/>
        <v>OK</v>
      </c>
    </row>
    <row r="316" spans="1:9" hidden="1" x14ac:dyDescent="0.3">
      <c r="A316" s="2">
        <v>45698</v>
      </c>
      <c r="B316" t="str">
        <f t="shared" si="15"/>
        <v xml:space="preserve">februari </v>
      </c>
      <c r="C316">
        <v>-1.73</v>
      </c>
      <c r="D316" t="s">
        <v>13</v>
      </c>
      <c r="F316" t="s">
        <v>18</v>
      </c>
      <c r="G316">
        <f t="shared" si="16"/>
        <v>-1.73</v>
      </c>
      <c r="H316" t="str">
        <f>VLOOKUP(Tabel1[[#This Row],[categorie]],Lijst!A:B,2,FALSE)</f>
        <v>Vast</v>
      </c>
      <c r="I316" t="str">
        <f t="shared" si="17"/>
        <v>OK</v>
      </c>
    </row>
    <row r="317" spans="1:9" hidden="1" x14ac:dyDescent="0.3">
      <c r="A317" s="2">
        <v>45698</v>
      </c>
      <c r="B317" t="str">
        <f t="shared" si="15"/>
        <v xml:space="preserve">februari </v>
      </c>
      <c r="C317">
        <v>-5</v>
      </c>
      <c r="D317" t="s">
        <v>13</v>
      </c>
      <c r="F317" t="s">
        <v>18</v>
      </c>
      <c r="G317">
        <f t="shared" si="16"/>
        <v>-5</v>
      </c>
      <c r="H317" t="str">
        <f>VLOOKUP(Tabel1[[#This Row],[categorie]],Lijst!A:B,2,FALSE)</f>
        <v>Vast</v>
      </c>
      <c r="I317" t="str">
        <f t="shared" si="17"/>
        <v>OK</v>
      </c>
    </row>
    <row r="318" spans="1:9" hidden="1" x14ac:dyDescent="0.3">
      <c r="A318" s="2">
        <v>45698</v>
      </c>
      <c r="B318" t="str">
        <f t="shared" si="15"/>
        <v xml:space="preserve">februari </v>
      </c>
      <c r="C318">
        <v>-12.01</v>
      </c>
      <c r="D318" t="s">
        <v>46</v>
      </c>
      <c r="F318" t="s">
        <v>18</v>
      </c>
      <c r="G318">
        <f t="shared" si="16"/>
        <v>-12.01</v>
      </c>
      <c r="H318" t="str">
        <f>VLOOKUP(Tabel1[[#This Row],[categorie]],Lijst!A:B,2,FALSE)</f>
        <v>Vast</v>
      </c>
      <c r="I318" t="str">
        <f t="shared" si="17"/>
        <v>OK</v>
      </c>
    </row>
    <row r="319" spans="1:9" hidden="1" x14ac:dyDescent="0.3">
      <c r="A319" s="2">
        <v>45699</v>
      </c>
      <c r="B319" t="str">
        <f t="shared" si="15"/>
        <v xml:space="preserve">februari </v>
      </c>
      <c r="C319">
        <v>160.38</v>
      </c>
      <c r="D319" t="s">
        <v>82</v>
      </c>
      <c r="F319" t="s">
        <v>17</v>
      </c>
      <c r="G319">
        <f t="shared" si="16"/>
        <v>160.38</v>
      </c>
      <c r="H319" t="str">
        <f>VLOOKUP(Tabel1[[#This Row],[categorie]],Lijst!A:B,2,FALSE)</f>
        <v>Vast</v>
      </c>
      <c r="I319" t="str">
        <f t="shared" si="17"/>
        <v>OK</v>
      </c>
    </row>
    <row r="320" spans="1:9" hidden="1" x14ac:dyDescent="0.3">
      <c r="A320" s="2">
        <v>45699</v>
      </c>
      <c r="B320" t="str">
        <f t="shared" si="15"/>
        <v xml:space="preserve">februari </v>
      </c>
      <c r="C320">
        <v>-353.67</v>
      </c>
      <c r="D320" t="s">
        <v>14</v>
      </c>
      <c r="F320" t="s">
        <v>18</v>
      </c>
      <c r="G320">
        <f t="shared" si="16"/>
        <v>-353.67</v>
      </c>
      <c r="H320" t="str">
        <f>VLOOKUP(Tabel1[[#This Row],[categorie]],Lijst!A:B,2,FALSE)</f>
        <v>Variabel</v>
      </c>
      <c r="I320" t="str">
        <f t="shared" si="17"/>
        <v>OK</v>
      </c>
    </row>
    <row r="321" spans="1:9" hidden="1" x14ac:dyDescent="0.3">
      <c r="A321" s="2">
        <v>45699</v>
      </c>
      <c r="B321" t="str">
        <f t="shared" si="15"/>
        <v xml:space="preserve">februari </v>
      </c>
      <c r="C321">
        <v>-1.5</v>
      </c>
      <c r="D321" t="s">
        <v>26</v>
      </c>
      <c r="F321" t="s">
        <v>18</v>
      </c>
      <c r="G321">
        <f t="shared" si="16"/>
        <v>-1.5</v>
      </c>
      <c r="H321" t="str">
        <f>VLOOKUP(Tabel1[[#This Row],[categorie]],Lijst!A:B,2,FALSE)</f>
        <v>Variabel</v>
      </c>
      <c r="I321" t="str">
        <f t="shared" si="17"/>
        <v>OK</v>
      </c>
    </row>
    <row r="322" spans="1:9" hidden="1" x14ac:dyDescent="0.3">
      <c r="A322" s="2">
        <v>45699</v>
      </c>
      <c r="B322" t="str">
        <f t="shared" si="15"/>
        <v xml:space="preserve">februari </v>
      </c>
      <c r="C322">
        <v>-0.9</v>
      </c>
      <c r="D322" t="s">
        <v>26</v>
      </c>
      <c r="F322" t="s">
        <v>18</v>
      </c>
      <c r="G322">
        <f t="shared" si="16"/>
        <v>-0.9</v>
      </c>
      <c r="H322" t="str">
        <f>VLOOKUP(Tabel1[[#This Row],[categorie]],Lijst!A:B,2,FALSE)</f>
        <v>Variabel</v>
      </c>
      <c r="I322" t="str">
        <f t="shared" si="17"/>
        <v>OK</v>
      </c>
    </row>
    <row r="323" spans="1:9" hidden="1" x14ac:dyDescent="0.3">
      <c r="A323" s="2">
        <v>45699</v>
      </c>
      <c r="B323" t="str">
        <f t="shared" si="15"/>
        <v xml:space="preserve">februari </v>
      </c>
      <c r="C323">
        <v>-1.1000000000000001</v>
      </c>
      <c r="D323" t="s">
        <v>26</v>
      </c>
      <c r="F323" t="s">
        <v>18</v>
      </c>
      <c r="G323">
        <f t="shared" si="16"/>
        <v>-1.1000000000000001</v>
      </c>
      <c r="H323" t="str">
        <f>VLOOKUP(Tabel1[[#This Row],[categorie]],Lijst!A:B,2,FALSE)</f>
        <v>Variabel</v>
      </c>
      <c r="I323" t="str">
        <f t="shared" si="17"/>
        <v>OK</v>
      </c>
    </row>
    <row r="324" spans="1:9" hidden="1" x14ac:dyDescent="0.3">
      <c r="A324" s="2">
        <v>45699</v>
      </c>
      <c r="B324" t="str">
        <f t="shared" si="15"/>
        <v xml:space="preserve">februari </v>
      </c>
      <c r="C324">
        <v>-5.49</v>
      </c>
      <c r="D324" t="s">
        <v>3</v>
      </c>
      <c r="F324" t="s">
        <v>18</v>
      </c>
      <c r="G324">
        <f t="shared" si="16"/>
        <v>-5.49</v>
      </c>
      <c r="H324" t="str">
        <f>VLOOKUP(Tabel1[[#This Row],[categorie]],Lijst!A:B,2,FALSE)</f>
        <v>Vast</v>
      </c>
      <c r="I324" t="str">
        <f t="shared" si="17"/>
        <v>OK</v>
      </c>
    </row>
    <row r="325" spans="1:9" hidden="1" x14ac:dyDescent="0.3">
      <c r="A325" s="2">
        <v>45699</v>
      </c>
      <c r="B325" t="str">
        <f t="shared" si="15"/>
        <v xml:space="preserve">februari </v>
      </c>
      <c r="C325">
        <v>-43.2</v>
      </c>
      <c r="D325" t="s">
        <v>14</v>
      </c>
      <c r="F325" t="s">
        <v>18</v>
      </c>
      <c r="G325">
        <f t="shared" si="16"/>
        <v>-43.2</v>
      </c>
      <c r="H325" t="str">
        <f>VLOOKUP(Tabel1[[#This Row],[categorie]],Lijst!A:B,2,FALSE)</f>
        <v>Variabel</v>
      </c>
      <c r="I325" t="str">
        <f t="shared" si="17"/>
        <v>OK</v>
      </c>
    </row>
    <row r="326" spans="1:9" hidden="1" x14ac:dyDescent="0.3">
      <c r="A326" s="2">
        <v>45699</v>
      </c>
      <c r="B326" t="str">
        <f t="shared" si="15"/>
        <v xml:space="preserve">februari </v>
      </c>
      <c r="C326">
        <v>-17.899999999999999</v>
      </c>
      <c r="D326" t="s">
        <v>32</v>
      </c>
      <c r="F326" t="s">
        <v>18</v>
      </c>
      <c r="G326">
        <f t="shared" si="16"/>
        <v>-17.899999999999999</v>
      </c>
      <c r="H326" t="str">
        <f>VLOOKUP(Tabel1[[#This Row],[categorie]],Lijst!A:B,2,FALSE)</f>
        <v>Variabel</v>
      </c>
      <c r="I326" t="str">
        <f t="shared" si="17"/>
        <v>OK</v>
      </c>
    </row>
    <row r="327" spans="1:9" hidden="1" x14ac:dyDescent="0.3">
      <c r="A327" s="2">
        <v>45699</v>
      </c>
      <c r="B327" t="str">
        <f t="shared" si="15"/>
        <v xml:space="preserve">februari </v>
      </c>
      <c r="C327">
        <v>-6.4</v>
      </c>
      <c r="D327" t="s">
        <v>3</v>
      </c>
      <c r="F327" t="s">
        <v>18</v>
      </c>
      <c r="G327">
        <f t="shared" si="16"/>
        <v>-6.4</v>
      </c>
      <c r="H327" t="str">
        <f>VLOOKUP(Tabel1[[#This Row],[categorie]],Lijst!A:B,2,FALSE)</f>
        <v>Vast</v>
      </c>
      <c r="I327" t="str">
        <f t="shared" si="17"/>
        <v>OK</v>
      </c>
    </row>
    <row r="328" spans="1:9" hidden="1" x14ac:dyDescent="0.3">
      <c r="A328" s="2">
        <v>45699</v>
      </c>
      <c r="B328" t="str">
        <f t="shared" si="15"/>
        <v xml:space="preserve">februari </v>
      </c>
      <c r="C328">
        <v>9.3000000000000007</v>
      </c>
      <c r="D328" t="s">
        <v>3</v>
      </c>
      <c r="F328" t="s">
        <v>17</v>
      </c>
      <c r="G328">
        <f t="shared" si="16"/>
        <v>9.3000000000000007</v>
      </c>
      <c r="H328" t="str">
        <f>VLOOKUP(Tabel1[[#This Row],[categorie]],Lijst!A:B,2,FALSE)</f>
        <v>Vast</v>
      </c>
      <c r="I328" t="str">
        <f t="shared" si="17"/>
        <v>OK</v>
      </c>
    </row>
    <row r="329" spans="1:9" hidden="1" x14ac:dyDescent="0.3">
      <c r="A329" s="2">
        <v>45699</v>
      </c>
      <c r="B329" t="str">
        <f t="shared" si="15"/>
        <v xml:space="preserve">februari </v>
      </c>
      <c r="C329">
        <v>-19.64</v>
      </c>
      <c r="D329" t="s">
        <v>3</v>
      </c>
      <c r="F329" t="s">
        <v>18</v>
      </c>
      <c r="G329">
        <f t="shared" si="16"/>
        <v>-19.64</v>
      </c>
      <c r="H329" t="str">
        <f>VLOOKUP(Tabel1[[#This Row],[categorie]],Lijst!A:B,2,FALSE)</f>
        <v>Vast</v>
      </c>
      <c r="I329" t="str">
        <f t="shared" si="17"/>
        <v>OK</v>
      </c>
    </row>
    <row r="330" spans="1:9" hidden="1" x14ac:dyDescent="0.3">
      <c r="A330" s="2">
        <v>45699</v>
      </c>
      <c r="B330" t="str">
        <f t="shared" si="15"/>
        <v xml:space="preserve">februari </v>
      </c>
      <c r="C330">
        <v>143</v>
      </c>
      <c r="D330" t="s">
        <v>38</v>
      </c>
      <c r="F330" t="s">
        <v>17</v>
      </c>
      <c r="G330">
        <f t="shared" si="16"/>
        <v>143</v>
      </c>
      <c r="H330" t="str">
        <f>VLOOKUP(Tabel1[[#This Row],[categorie]],Lijst!A:B,2,FALSE)</f>
        <v>Vast</v>
      </c>
      <c r="I330" t="str">
        <f t="shared" si="17"/>
        <v>OK</v>
      </c>
    </row>
    <row r="331" spans="1:9" hidden="1" x14ac:dyDescent="0.3">
      <c r="A331" s="2">
        <v>45699</v>
      </c>
      <c r="B331" t="str">
        <f t="shared" si="15"/>
        <v xml:space="preserve">februari </v>
      </c>
      <c r="C331">
        <v>-12.95</v>
      </c>
      <c r="D331" t="s">
        <v>49</v>
      </c>
      <c r="F331" t="s">
        <v>18</v>
      </c>
      <c r="G331">
        <f t="shared" si="16"/>
        <v>-12.95</v>
      </c>
      <c r="H331" t="str">
        <f>VLOOKUP(Tabel1[[#This Row],[categorie]],Lijst!A:B,2,FALSE)</f>
        <v>Variabel</v>
      </c>
      <c r="I331" t="str">
        <f t="shared" si="17"/>
        <v>OK</v>
      </c>
    </row>
    <row r="332" spans="1:9" hidden="1" x14ac:dyDescent="0.3">
      <c r="A332" s="2">
        <v>45700</v>
      </c>
      <c r="B332" t="str">
        <f t="shared" si="15"/>
        <v xml:space="preserve">februari </v>
      </c>
      <c r="C332">
        <v>-23.09</v>
      </c>
      <c r="D332" t="s">
        <v>3</v>
      </c>
      <c r="F332" t="s">
        <v>18</v>
      </c>
      <c r="G332">
        <f t="shared" si="16"/>
        <v>-23.09</v>
      </c>
      <c r="H332" t="str">
        <f>VLOOKUP(Tabel1[[#This Row],[categorie]],Lijst!A:B,2,FALSE)</f>
        <v>Vast</v>
      </c>
      <c r="I332" t="str">
        <f t="shared" si="17"/>
        <v>OK</v>
      </c>
    </row>
    <row r="333" spans="1:9" hidden="1" x14ac:dyDescent="0.3">
      <c r="A333" s="2">
        <v>45700</v>
      </c>
      <c r="B333" t="str">
        <f t="shared" si="15"/>
        <v xml:space="preserve">februari </v>
      </c>
      <c r="C333">
        <v>-1.5</v>
      </c>
      <c r="D333" t="s">
        <v>26</v>
      </c>
      <c r="F333" t="s">
        <v>18</v>
      </c>
      <c r="G333">
        <f t="shared" si="16"/>
        <v>-1.5</v>
      </c>
      <c r="H333" t="str">
        <f>VLOOKUP(Tabel1[[#This Row],[categorie]],Lijst!A:B,2,FALSE)</f>
        <v>Variabel</v>
      </c>
      <c r="I333" t="str">
        <f t="shared" si="17"/>
        <v>OK</v>
      </c>
    </row>
    <row r="334" spans="1:9" hidden="1" x14ac:dyDescent="0.3">
      <c r="A334" s="2">
        <v>45700</v>
      </c>
      <c r="B334" t="str">
        <f t="shared" si="15"/>
        <v xml:space="preserve">februari </v>
      </c>
      <c r="C334">
        <v>-1.5</v>
      </c>
      <c r="D334" t="s">
        <v>26</v>
      </c>
      <c r="F334" t="s">
        <v>18</v>
      </c>
      <c r="G334">
        <f t="shared" si="16"/>
        <v>-1.5</v>
      </c>
      <c r="H334" t="str">
        <f>VLOOKUP(Tabel1[[#This Row],[categorie]],Lijst!A:B,2,FALSE)</f>
        <v>Variabel</v>
      </c>
      <c r="I334" t="str">
        <f t="shared" si="17"/>
        <v>OK</v>
      </c>
    </row>
    <row r="335" spans="1:9" hidden="1" x14ac:dyDescent="0.3">
      <c r="A335" s="2">
        <v>45700</v>
      </c>
      <c r="B335" t="str">
        <f t="shared" si="15"/>
        <v xml:space="preserve">februari </v>
      </c>
      <c r="C335">
        <v>-18.920000000000002</v>
      </c>
      <c r="D335" t="s">
        <v>3</v>
      </c>
      <c r="F335" t="s">
        <v>18</v>
      </c>
      <c r="G335">
        <f t="shared" si="16"/>
        <v>-18.920000000000002</v>
      </c>
      <c r="H335" t="str">
        <f>VLOOKUP(Tabel1[[#This Row],[categorie]],Lijst!A:B,2,FALSE)</f>
        <v>Vast</v>
      </c>
      <c r="I335" t="str">
        <f t="shared" si="17"/>
        <v>OK</v>
      </c>
    </row>
    <row r="336" spans="1:9" hidden="1" x14ac:dyDescent="0.3">
      <c r="A336" s="2">
        <v>45700</v>
      </c>
      <c r="B336" t="str">
        <f t="shared" si="15"/>
        <v xml:space="preserve">februari </v>
      </c>
      <c r="C336">
        <v>-8</v>
      </c>
      <c r="D336" t="s">
        <v>13</v>
      </c>
      <c r="F336" t="s">
        <v>18</v>
      </c>
      <c r="G336">
        <f t="shared" si="16"/>
        <v>-8</v>
      </c>
      <c r="H336" t="str">
        <f>VLOOKUP(Tabel1[[#This Row],[categorie]],Lijst!A:B,2,FALSE)</f>
        <v>Vast</v>
      </c>
      <c r="I336" t="str">
        <f t="shared" si="17"/>
        <v>OK</v>
      </c>
    </row>
    <row r="337" spans="1:9" hidden="1" x14ac:dyDescent="0.3">
      <c r="A337" s="2">
        <v>45700</v>
      </c>
      <c r="B337" t="str">
        <f t="shared" si="15"/>
        <v xml:space="preserve">februari </v>
      </c>
      <c r="C337">
        <v>2.7</v>
      </c>
      <c r="D337" t="s">
        <v>75</v>
      </c>
      <c r="F337" t="s">
        <v>17</v>
      </c>
      <c r="G337">
        <f t="shared" si="16"/>
        <v>2.7</v>
      </c>
      <c r="H337" t="str">
        <f>VLOOKUP(Tabel1[[#This Row],[categorie]],Lijst!A:B,2,FALSE)</f>
        <v>Variabel</v>
      </c>
      <c r="I337" t="str">
        <f t="shared" si="17"/>
        <v>OK</v>
      </c>
    </row>
    <row r="338" spans="1:9" hidden="1" x14ac:dyDescent="0.3">
      <c r="A338" s="2">
        <v>45700</v>
      </c>
      <c r="B338" t="str">
        <f t="shared" si="15"/>
        <v xml:space="preserve">februari </v>
      </c>
      <c r="C338">
        <v>4.5999999999999996</v>
      </c>
      <c r="D338" t="s">
        <v>75</v>
      </c>
      <c r="F338" t="s">
        <v>17</v>
      </c>
      <c r="G338">
        <f t="shared" si="16"/>
        <v>4.5999999999999996</v>
      </c>
      <c r="H338" t="str">
        <f>VLOOKUP(Tabel1[[#This Row],[categorie]],Lijst!A:B,2,FALSE)</f>
        <v>Variabel</v>
      </c>
      <c r="I338" t="str">
        <f t="shared" si="17"/>
        <v>OK</v>
      </c>
    </row>
    <row r="339" spans="1:9" hidden="1" x14ac:dyDescent="0.3">
      <c r="A339" s="2">
        <v>45701</v>
      </c>
      <c r="B339" t="str">
        <f t="shared" si="15"/>
        <v xml:space="preserve">februari </v>
      </c>
      <c r="C339">
        <v>-70</v>
      </c>
      <c r="D339" t="s">
        <v>75</v>
      </c>
      <c r="F339" t="s">
        <v>18</v>
      </c>
      <c r="G339">
        <f t="shared" si="16"/>
        <v>-70</v>
      </c>
      <c r="H339" t="str">
        <f>VLOOKUP(Tabel1[[#This Row],[categorie]],Lijst!A:B,2,FALSE)</f>
        <v>Variabel</v>
      </c>
      <c r="I339" t="str">
        <f t="shared" si="17"/>
        <v>OK</v>
      </c>
    </row>
    <row r="340" spans="1:9" hidden="1" x14ac:dyDescent="0.3">
      <c r="A340" s="2">
        <v>45701</v>
      </c>
      <c r="B340" t="str">
        <f t="shared" si="15"/>
        <v xml:space="preserve">februari </v>
      </c>
      <c r="C340">
        <v>-9.7899999999999991</v>
      </c>
      <c r="D340" t="s">
        <v>14</v>
      </c>
      <c r="F340" t="s">
        <v>18</v>
      </c>
      <c r="G340">
        <f t="shared" si="16"/>
        <v>-9.7899999999999991</v>
      </c>
      <c r="H340" t="str">
        <f>VLOOKUP(Tabel1[[#This Row],[categorie]],Lijst!A:B,2,FALSE)</f>
        <v>Variabel</v>
      </c>
      <c r="I340" t="str">
        <f t="shared" si="17"/>
        <v>OK</v>
      </c>
    </row>
    <row r="341" spans="1:9" hidden="1" x14ac:dyDescent="0.3">
      <c r="A341" s="2">
        <v>45701</v>
      </c>
      <c r="B341" t="str">
        <f t="shared" si="15"/>
        <v xml:space="preserve">februari </v>
      </c>
      <c r="C341">
        <v>-8.5</v>
      </c>
      <c r="D341" t="s">
        <v>3</v>
      </c>
      <c r="F341" t="s">
        <v>18</v>
      </c>
      <c r="G341">
        <f t="shared" si="16"/>
        <v>-8.5</v>
      </c>
      <c r="H341" t="str">
        <f>VLOOKUP(Tabel1[[#This Row],[categorie]],Lijst!A:B,2,FALSE)</f>
        <v>Vast</v>
      </c>
      <c r="I341" t="str">
        <f t="shared" si="17"/>
        <v>OK</v>
      </c>
    </row>
    <row r="342" spans="1:9" hidden="1" x14ac:dyDescent="0.3">
      <c r="A342" s="2">
        <v>45701</v>
      </c>
      <c r="B342" t="str">
        <f t="shared" si="15"/>
        <v xml:space="preserve">februari </v>
      </c>
      <c r="C342">
        <v>-1.5</v>
      </c>
      <c r="D342" t="s">
        <v>26</v>
      </c>
      <c r="F342" t="s">
        <v>18</v>
      </c>
      <c r="G342">
        <f t="shared" si="16"/>
        <v>-1.5</v>
      </c>
      <c r="H342" t="str">
        <f>VLOOKUP(Tabel1[[#This Row],[categorie]],Lijst!A:B,2,FALSE)</f>
        <v>Variabel</v>
      </c>
      <c r="I342" t="str">
        <f t="shared" si="17"/>
        <v>OK</v>
      </c>
    </row>
    <row r="343" spans="1:9" hidden="1" x14ac:dyDescent="0.3">
      <c r="A343" s="2">
        <v>45701</v>
      </c>
      <c r="B343" t="str">
        <f t="shared" si="15"/>
        <v xml:space="preserve">februari </v>
      </c>
      <c r="C343">
        <v>-7.5</v>
      </c>
      <c r="D343" t="s">
        <v>14</v>
      </c>
      <c r="F343" t="s">
        <v>18</v>
      </c>
      <c r="G343">
        <f t="shared" si="16"/>
        <v>-7.5</v>
      </c>
      <c r="H343" t="str">
        <f>VLOOKUP(Tabel1[[#This Row],[categorie]],Lijst!A:B,2,FALSE)</f>
        <v>Variabel</v>
      </c>
      <c r="I343" t="str">
        <f t="shared" si="17"/>
        <v>OK</v>
      </c>
    </row>
    <row r="344" spans="1:9" hidden="1" x14ac:dyDescent="0.3">
      <c r="A344" s="2">
        <v>45701</v>
      </c>
      <c r="B344" t="str">
        <f t="shared" si="15"/>
        <v xml:space="preserve">februari </v>
      </c>
      <c r="C344">
        <v>-8.98</v>
      </c>
      <c r="D344" t="s">
        <v>3</v>
      </c>
      <c r="F344" t="s">
        <v>18</v>
      </c>
      <c r="G344">
        <f t="shared" si="16"/>
        <v>-8.98</v>
      </c>
      <c r="H344" t="str">
        <f>VLOOKUP(Tabel1[[#This Row],[categorie]],Lijst!A:B,2,FALSE)</f>
        <v>Vast</v>
      </c>
      <c r="I344" t="str">
        <f t="shared" si="17"/>
        <v>OK</v>
      </c>
    </row>
    <row r="345" spans="1:9" hidden="1" x14ac:dyDescent="0.3">
      <c r="A345" s="2">
        <v>45702</v>
      </c>
      <c r="B345" t="str">
        <f t="shared" si="15"/>
        <v xml:space="preserve">februari </v>
      </c>
      <c r="C345">
        <v>-12.79</v>
      </c>
      <c r="D345" t="s">
        <v>3</v>
      </c>
      <c r="F345" t="s">
        <v>18</v>
      </c>
      <c r="G345">
        <f t="shared" si="16"/>
        <v>-12.79</v>
      </c>
      <c r="H345" t="str">
        <f>VLOOKUP(Tabel1[[#This Row],[categorie]],Lijst!A:B,2,FALSE)</f>
        <v>Vast</v>
      </c>
      <c r="I345" t="str">
        <f t="shared" si="17"/>
        <v>OK</v>
      </c>
    </row>
    <row r="346" spans="1:9" hidden="1" x14ac:dyDescent="0.3">
      <c r="A346" s="2">
        <v>45702</v>
      </c>
      <c r="B346" t="str">
        <f t="shared" si="15"/>
        <v xml:space="preserve">februari </v>
      </c>
      <c r="C346">
        <v>-1.5</v>
      </c>
      <c r="D346" t="s">
        <v>26</v>
      </c>
      <c r="F346" t="s">
        <v>18</v>
      </c>
      <c r="G346">
        <f t="shared" si="16"/>
        <v>-1.5</v>
      </c>
      <c r="H346" t="str">
        <f>VLOOKUP(Tabel1[[#This Row],[categorie]],Lijst!A:B,2,FALSE)</f>
        <v>Variabel</v>
      </c>
      <c r="I346" t="str">
        <f t="shared" si="17"/>
        <v>OK</v>
      </c>
    </row>
    <row r="347" spans="1:9" hidden="1" x14ac:dyDescent="0.3">
      <c r="A347" s="2">
        <v>45702</v>
      </c>
      <c r="B347" t="str">
        <f t="shared" si="15"/>
        <v xml:space="preserve">februari </v>
      </c>
      <c r="C347">
        <v>-1.5</v>
      </c>
      <c r="D347" t="s">
        <v>26</v>
      </c>
      <c r="F347" t="s">
        <v>18</v>
      </c>
      <c r="G347">
        <f t="shared" si="16"/>
        <v>-1.5</v>
      </c>
      <c r="H347" t="str">
        <f>VLOOKUP(Tabel1[[#This Row],[categorie]],Lijst!A:B,2,FALSE)</f>
        <v>Variabel</v>
      </c>
      <c r="I347" t="str">
        <f t="shared" si="17"/>
        <v>OK</v>
      </c>
    </row>
    <row r="348" spans="1:9" hidden="1" x14ac:dyDescent="0.3">
      <c r="A348" s="2">
        <v>45702</v>
      </c>
      <c r="B348" t="str">
        <f t="shared" si="15"/>
        <v xml:space="preserve">februari </v>
      </c>
      <c r="C348">
        <v>2.7</v>
      </c>
      <c r="D348" t="s">
        <v>3</v>
      </c>
      <c r="F348" t="s">
        <v>17</v>
      </c>
      <c r="G348">
        <f t="shared" si="16"/>
        <v>2.7</v>
      </c>
      <c r="H348" t="str">
        <f>VLOOKUP(Tabel1[[#This Row],[categorie]],Lijst!A:B,2,FALSE)</f>
        <v>Vast</v>
      </c>
      <c r="I348" t="str">
        <f t="shared" si="17"/>
        <v>OK</v>
      </c>
    </row>
    <row r="349" spans="1:9" hidden="1" x14ac:dyDescent="0.3">
      <c r="A349" s="2">
        <v>45702</v>
      </c>
      <c r="B349" t="str">
        <f t="shared" si="15"/>
        <v xml:space="preserve">februari </v>
      </c>
      <c r="C349">
        <v>-12.2</v>
      </c>
      <c r="D349" t="s">
        <v>3</v>
      </c>
      <c r="F349" t="s">
        <v>18</v>
      </c>
      <c r="G349">
        <f t="shared" si="16"/>
        <v>-12.2</v>
      </c>
      <c r="H349" t="str">
        <f>VLOOKUP(Tabel1[[#This Row],[categorie]],Lijst!A:B,2,FALSE)</f>
        <v>Vast</v>
      </c>
      <c r="I349" t="str">
        <f t="shared" si="17"/>
        <v>OK</v>
      </c>
    </row>
    <row r="350" spans="1:9" hidden="1" x14ac:dyDescent="0.3">
      <c r="A350" s="2">
        <v>45702</v>
      </c>
      <c r="B350" t="str">
        <f t="shared" si="15"/>
        <v xml:space="preserve">februari </v>
      </c>
      <c r="C350">
        <v>-32.299999999999997</v>
      </c>
      <c r="D350" t="s">
        <v>9</v>
      </c>
      <c r="F350" t="s">
        <v>18</v>
      </c>
      <c r="G350">
        <f t="shared" si="16"/>
        <v>-32.299999999999997</v>
      </c>
      <c r="H350" t="str">
        <f>VLOOKUP(Tabel1[[#This Row],[categorie]],Lijst!A:B,2,FALSE)</f>
        <v>Variabel</v>
      </c>
      <c r="I350" t="str">
        <f t="shared" si="17"/>
        <v>OK</v>
      </c>
    </row>
    <row r="351" spans="1:9" hidden="1" x14ac:dyDescent="0.3">
      <c r="A351" s="2">
        <v>45703</v>
      </c>
      <c r="B351" t="str">
        <f t="shared" si="15"/>
        <v xml:space="preserve">februari </v>
      </c>
      <c r="C351">
        <v>-17.600000000000001</v>
      </c>
      <c r="D351" t="s">
        <v>9</v>
      </c>
      <c r="F351" t="s">
        <v>18</v>
      </c>
      <c r="G351">
        <f t="shared" si="16"/>
        <v>-17.600000000000001</v>
      </c>
      <c r="H351" t="str">
        <f>VLOOKUP(Tabel1[[#This Row],[categorie]],Lijst!A:B,2,FALSE)</f>
        <v>Variabel</v>
      </c>
      <c r="I351" t="str">
        <f t="shared" si="17"/>
        <v>OK</v>
      </c>
    </row>
    <row r="352" spans="1:9" hidden="1" x14ac:dyDescent="0.3">
      <c r="A352" s="2">
        <v>45703</v>
      </c>
      <c r="B352" t="str">
        <f t="shared" si="15"/>
        <v xml:space="preserve">februari </v>
      </c>
      <c r="C352">
        <v>-5.6</v>
      </c>
      <c r="D352" t="s">
        <v>3</v>
      </c>
      <c r="F352" t="s">
        <v>18</v>
      </c>
      <c r="G352">
        <f t="shared" si="16"/>
        <v>-5.6</v>
      </c>
      <c r="H352" t="str">
        <f>VLOOKUP(Tabel1[[#This Row],[categorie]],Lijst!A:B,2,FALSE)</f>
        <v>Vast</v>
      </c>
      <c r="I352" t="str">
        <f t="shared" si="17"/>
        <v>OK</v>
      </c>
    </row>
    <row r="353" spans="1:9" hidden="1" x14ac:dyDescent="0.3">
      <c r="A353" s="2">
        <v>45704</v>
      </c>
      <c r="B353" t="str">
        <f t="shared" si="15"/>
        <v xml:space="preserve">februari </v>
      </c>
      <c r="C353">
        <v>-84.7</v>
      </c>
      <c r="D353" t="s">
        <v>51</v>
      </c>
      <c r="F353" t="s">
        <v>18</v>
      </c>
      <c r="G353">
        <f t="shared" si="16"/>
        <v>-84.7</v>
      </c>
      <c r="H353" t="str">
        <f>VLOOKUP(Tabel1[[#This Row],[categorie]],Lijst!A:B,2,FALSE)</f>
        <v>Variabel</v>
      </c>
      <c r="I353" t="str">
        <f t="shared" si="17"/>
        <v>OK</v>
      </c>
    </row>
    <row r="354" spans="1:9" hidden="1" x14ac:dyDescent="0.3">
      <c r="A354" s="2">
        <v>45704</v>
      </c>
      <c r="B354" t="str">
        <f t="shared" si="15"/>
        <v xml:space="preserve">februari </v>
      </c>
      <c r="C354">
        <v>-34.549999999999997</v>
      </c>
      <c r="D354" t="s">
        <v>3</v>
      </c>
      <c r="F354" t="s">
        <v>18</v>
      </c>
      <c r="G354">
        <f t="shared" si="16"/>
        <v>-34.549999999999997</v>
      </c>
      <c r="H354" t="str">
        <f>VLOOKUP(Tabel1[[#This Row],[categorie]],Lijst!A:B,2,FALSE)</f>
        <v>Vast</v>
      </c>
      <c r="I354" t="str">
        <f t="shared" si="17"/>
        <v>OK</v>
      </c>
    </row>
    <row r="355" spans="1:9" hidden="1" x14ac:dyDescent="0.3">
      <c r="A355" s="2">
        <v>45704</v>
      </c>
      <c r="B355" t="str">
        <f t="shared" ref="B355:B418" si="18">TEXT(A355,"mmmm ")</f>
        <v xml:space="preserve">februari </v>
      </c>
      <c r="C355">
        <v>-13.2</v>
      </c>
      <c r="D355" t="s">
        <v>9</v>
      </c>
      <c r="F355" t="s">
        <v>18</v>
      </c>
      <c r="G355">
        <f t="shared" ref="G355:G418" si="19">IF(F355="Uitgave", -ABS(C355), ABS(C355))</f>
        <v>-13.2</v>
      </c>
      <c r="H355" t="str">
        <f>VLOOKUP(Tabel1[[#This Row],[categorie]],Lijst!A:B,2,FALSE)</f>
        <v>Variabel</v>
      </c>
      <c r="I355" t="str">
        <f t="shared" ref="I355:I418" si="20">IF(OR(AND(F355="Uitgave", C355&lt;0), AND(F355="Inkomst", C355&gt;0)), "OK", "FOUT")</f>
        <v>OK</v>
      </c>
    </row>
    <row r="356" spans="1:9" hidden="1" x14ac:dyDescent="0.3">
      <c r="A356" s="2">
        <v>45705</v>
      </c>
      <c r="B356" t="str">
        <f t="shared" si="18"/>
        <v xml:space="preserve">februari </v>
      </c>
      <c r="C356">
        <v>-5</v>
      </c>
      <c r="D356" t="s">
        <v>13</v>
      </c>
      <c r="F356" t="s">
        <v>18</v>
      </c>
      <c r="G356">
        <f t="shared" si="19"/>
        <v>-5</v>
      </c>
      <c r="H356" t="str">
        <f>VLOOKUP(Tabel1[[#This Row],[categorie]],Lijst!A:B,2,FALSE)</f>
        <v>Vast</v>
      </c>
      <c r="I356" t="str">
        <f t="shared" si="20"/>
        <v>OK</v>
      </c>
    </row>
    <row r="357" spans="1:9" hidden="1" x14ac:dyDescent="0.3">
      <c r="A357" s="2">
        <v>45705</v>
      </c>
      <c r="B357" t="str">
        <f t="shared" si="18"/>
        <v xml:space="preserve">februari </v>
      </c>
      <c r="C357">
        <v>-4.3499999999999996</v>
      </c>
      <c r="D357" t="s">
        <v>13</v>
      </c>
      <c r="F357" t="s">
        <v>18</v>
      </c>
      <c r="G357">
        <f t="shared" si="19"/>
        <v>-4.3499999999999996</v>
      </c>
      <c r="H357" t="str">
        <f>VLOOKUP(Tabel1[[#This Row],[categorie]],Lijst!A:B,2,FALSE)</f>
        <v>Vast</v>
      </c>
      <c r="I357" t="str">
        <f t="shared" si="20"/>
        <v>OK</v>
      </c>
    </row>
    <row r="358" spans="1:9" hidden="1" x14ac:dyDescent="0.3">
      <c r="A358" s="2">
        <v>45705</v>
      </c>
      <c r="B358" t="str">
        <f t="shared" si="18"/>
        <v xml:space="preserve">februari </v>
      </c>
      <c r="C358">
        <v>-4.5</v>
      </c>
      <c r="D358" t="s">
        <v>35</v>
      </c>
      <c r="F358" t="s">
        <v>18</v>
      </c>
      <c r="G358">
        <f t="shared" si="19"/>
        <v>-4.5</v>
      </c>
      <c r="H358" t="str">
        <f>VLOOKUP(Tabel1[[#This Row],[categorie]],Lijst!A:B,2,FALSE)</f>
        <v>Variabel</v>
      </c>
      <c r="I358" t="str">
        <f t="shared" si="20"/>
        <v>OK</v>
      </c>
    </row>
    <row r="359" spans="1:9" hidden="1" x14ac:dyDescent="0.3">
      <c r="A359" s="2">
        <v>45705</v>
      </c>
      <c r="B359" t="str">
        <f t="shared" si="18"/>
        <v xml:space="preserve">februari </v>
      </c>
      <c r="C359">
        <v>-9.73</v>
      </c>
      <c r="D359" t="s">
        <v>3</v>
      </c>
      <c r="F359" t="s">
        <v>18</v>
      </c>
      <c r="G359">
        <f t="shared" si="19"/>
        <v>-9.73</v>
      </c>
      <c r="H359" t="str">
        <f>VLOOKUP(Tabel1[[#This Row],[categorie]],Lijst!A:B,2,FALSE)</f>
        <v>Vast</v>
      </c>
      <c r="I359" t="str">
        <f t="shared" si="20"/>
        <v>OK</v>
      </c>
    </row>
    <row r="360" spans="1:9" hidden="1" x14ac:dyDescent="0.3">
      <c r="A360" s="2">
        <v>45705</v>
      </c>
      <c r="B360" t="str">
        <f t="shared" si="18"/>
        <v xml:space="preserve">februari </v>
      </c>
      <c r="C360">
        <v>-32.549999999999997</v>
      </c>
      <c r="D360" t="s">
        <v>14</v>
      </c>
      <c r="F360" t="s">
        <v>18</v>
      </c>
      <c r="G360">
        <f t="shared" si="19"/>
        <v>-32.549999999999997</v>
      </c>
      <c r="H360" t="str">
        <f>VLOOKUP(Tabel1[[#This Row],[categorie]],Lijst!A:B,2,FALSE)</f>
        <v>Variabel</v>
      </c>
      <c r="I360" t="str">
        <f t="shared" si="20"/>
        <v>OK</v>
      </c>
    </row>
    <row r="361" spans="1:9" hidden="1" x14ac:dyDescent="0.3">
      <c r="A361" s="2">
        <v>45705</v>
      </c>
      <c r="B361" t="str">
        <f t="shared" si="18"/>
        <v xml:space="preserve">februari </v>
      </c>
      <c r="C361">
        <v>-10.5</v>
      </c>
      <c r="D361" t="s">
        <v>14</v>
      </c>
      <c r="F361" t="s">
        <v>18</v>
      </c>
      <c r="G361">
        <f t="shared" si="19"/>
        <v>-10.5</v>
      </c>
      <c r="H361" t="str">
        <f>VLOOKUP(Tabel1[[#This Row],[categorie]],Lijst!A:B,2,FALSE)</f>
        <v>Variabel</v>
      </c>
      <c r="I361" t="str">
        <f t="shared" si="20"/>
        <v>OK</v>
      </c>
    </row>
    <row r="362" spans="1:9" hidden="1" x14ac:dyDescent="0.3">
      <c r="A362" s="2">
        <v>45705</v>
      </c>
      <c r="B362" t="str">
        <f t="shared" si="18"/>
        <v xml:space="preserve">februari </v>
      </c>
      <c r="C362">
        <v>-16.489999999999998</v>
      </c>
      <c r="D362" t="s">
        <v>14</v>
      </c>
      <c r="F362" t="s">
        <v>18</v>
      </c>
      <c r="G362">
        <f t="shared" si="19"/>
        <v>-16.489999999999998</v>
      </c>
      <c r="H362" t="str">
        <f>VLOOKUP(Tabel1[[#This Row],[categorie]],Lijst!A:B,2,FALSE)</f>
        <v>Variabel</v>
      </c>
      <c r="I362" t="str">
        <f t="shared" si="20"/>
        <v>OK</v>
      </c>
    </row>
    <row r="363" spans="1:9" hidden="1" x14ac:dyDescent="0.3">
      <c r="A363" s="2">
        <v>45705</v>
      </c>
      <c r="B363" t="str">
        <f t="shared" si="18"/>
        <v xml:space="preserve">februari </v>
      </c>
      <c r="C363">
        <v>-14.29</v>
      </c>
      <c r="D363" t="s">
        <v>3</v>
      </c>
      <c r="F363" t="s">
        <v>18</v>
      </c>
      <c r="G363">
        <f t="shared" si="19"/>
        <v>-14.29</v>
      </c>
      <c r="H363" t="str">
        <f>VLOOKUP(Tabel1[[#This Row],[categorie]],Lijst!A:B,2,FALSE)</f>
        <v>Vast</v>
      </c>
      <c r="I363" t="str">
        <f t="shared" si="20"/>
        <v>OK</v>
      </c>
    </row>
    <row r="364" spans="1:9" hidden="1" x14ac:dyDescent="0.3">
      <c r="A364" s="2">
        <v>45705</v>
      </c>
      <c r="B364" t="str">
        <f t="shared" si="18"/>
        <v xml:space="preserve">februari </v>
      </c>
      <c r="C364">
        <v>-21.54</v>
      </c>
      <c r="D364" t="s">
        <v>3</v>
      </c>
      <c r="F364" t="s">
        <v>18</v>
      </c>
      <c r="G364">
        <f t="shared" si="19"/>
        <v>-21.54</v>
      </c>
      <c r="H364" t="str">
        <f>VLOOKUP(Tabel1[[#This Row],[categorie]],Lijst!A:B,2,FALSE)</f>
        <v>Vast</v>
      </c>
      <c r="I364" t="str">
        <f t="shared" si="20"/>
        <v>OK</v>
      </c>
    </row>
    <row r="365" spans="1:9" hidden="1" x14ac:dyDescent="0.3">
      <c r="A365" s="2">
        <v>45705</v>
      </c>
      <c r="B365" t="str">
        <f t="shared" si="18"/>
        <v xml:space="preserve">februari </v>
      </c>
      <c r="C365">
        <v>-2.17</v>
      </c>
      <c r="D365" t="s">
        <v>3</v>
      </c>
      <c r="F365" t="s">
        <v>18</v>
      </c>
      <c r="G365">
        <f t="shared" si="19"/>
        <v>-2.17</v>
      </c>
      <c r="H365" t="str">
        <f>VLOOKUP(Tabel1[[#This Row],[categorie]],Lijst!A:B,2,FALSE)</f>
        <v>Vast</v>
      </c>
      <c r="I365" t="str">
        <f t="shared" si="20"/>
        <v>OK</v>
      </c>
    </row>
    <row r="366" spans="1:9" hidden="1" x14ac:dyDescent="0.3">
      <c r="A366" s="2">
        <v>45705</v>
      </c>
      <c r="B366" t="str">
        <f t="shared" si="18"/>
        <v xml:space="preserve">februari </v>
      </c>
      <c r="C366">
        <v>-1.5</v>
      </c>
      <c r="D366" t="s">
        <v>26</v>
      </c>
      <c r="F366" t="s">
        <v>18</v>
      </c>
      <c r="G366">
        <f t="shared" si="19"/>
        <v>-1.5</v>
      </c>
      <c r="H366" t="str">
        <f>VLOOKUP(Tabel1[[#This Row],[categorie]],Lijst!A:B,2,FALSE)</f>
        <v>Variabel</v>
      </c>
      <c r="I366" t="str">
        <f t="shared" si="20"/>
        <v>OK</v>
      </c>
    </row>
    <row r="367" spans="1:9" hidden="1" x14ac:dyDescent="0.3">
      <c r="A367" s="2">
        <v>45705</v>
      </c>
      <c r="B367" t="str">
        <f t="shared" si="18"/>
        <v xml:space="preserve">februari </v>
      </c>
      <c r="C367">
        <v>-1.5</v>
      </c>
      <c r="D367" t="s">
        <v>26</v>
      </c>
      <c r="F367" t="s">
        <v>18</v>
      </c>
      <c r="G367">
        <f t="shared" si="19"/>
        <v>-1.5</v>
      </c>
      <c r="H367" t="str">
        <f>VLOOKUP(Tabel1[[#This Row],[categorie]],Lijst!A:B,2,FALSE)</f>
        <v>Variabel</v>
      </c>
      <c r="I367" t="str">
        <f t="shared" si="20"/>
        <v>OK</v>
      </c>
    </row>
    <row r="368" spans="1:9" hidden="1" x14ac:dyDescent="0.3">
      <c r="A368" s="2">
        <v>45705</v>
      </c>
      <c r="B368" t="str">
        <f t="shared" si="18"/>
        <v xml:space="preserve">februari </v>
      </c>
      <c r="C368">
        <v>97.83</v>
      </c>
      <c r="D368" t="s">
        <v>75</v>
      </c>
      <c r="F368" t="s">
        <v>17</v>
      </c>
      <c r="G368">
        <f t="shared" si="19"/>
        <v>97.83</v>
      </c>
      <c r="H368" t="str">
        <f>VLOOKUP(Tabel1[[#This Row],[categorie]],Lijst!A:B,2,FALSE)</f>
        <v>Variabel</v>
      </c>
      <c r="I368" t="str">
        <f t="shared" si="20"/>
        <v>OK</v>
      </c>
    </row>
    <row r="369" spans="1:9" hidden="1" x14ac:dyDescent="0.3">
      <c r="A369" s="2">
        <v>45705</v>
      </c>
      <c r="B369" t="str">
        <f t="shared" si="18"/>
        <v xml:space="preserve">februari </v>
      </c>
      <c r="C369">
        <v>79.33</v>
      </c>
      <c r="D369" t="s">
        <v>75</v>
      </c>
      <c r="F369" t="s">
        <v>17</v>
      </c>
      <c r="G369">
        <f t="shared" si="19"/>
        <v>79.33</v>
      </c>
      <c r="H369" t="str">
        <f>VLOOKUP(Tabel1[[#This Row],[categorie]],Lijst!A:B,2,FALSE)</f>
        <v>Variabel</v>
      </c>
      <c r="I369" t="str">
        <f t="shared" si="20"/>
        <v>OK</v>
      </c>
    </row>
    <row r="370" spans="1:9" hidden="1" x14ac:dyDescent="0.3">
      <c r="A370" s="2">
        <v>45705</v>
      </c>
      <c r="B370" t="str">
        <f t="shared" si="18"/>
        <v xml:space="preserve">februari </v>
      </c>
      <c r="C370">
        <v>10.5</v>
      </c>
      <c r="D370" t="s">
        <v>75</v>
      </c>
      <c r="F370" t="s">
        <v>17</v>
      </c>
      <c r="G370">
        <f t="shared" si="19"/>
        <v>10.5</v>
      </c>
      <c r="H370" t="str">
        <f>VLOOKUP(Tabel1[[#This Row],[categorie]],Lijst!A:B,2,FALSE)</f>
        <v>Variabel</v>
      </c>
      <c r="I370" t="str">
        <f t="shared" si="20"/>
        <v>OK</v>
      </c>
    </row>
    <row r="371" spans="1:9" hidden="1" x14ac:dyDescent="0.3">
      <c r="A371" s="2">
        <v>45705</v>
      </c>
      <c r="B371" t="str">
        <f t="shared" si="18"/>
        <v xml:space="preserve">februari </v>
      </c>
      <c r="C371">
        <v>5.6</v>
      </c>
      <c r="D371" t="s">
        <v>3</v>
      </c>
      <c r="F371" t="s">
        <v>17</v>
      </c>
      <c r="G371">
        <f t="shared" si="19"/>
        <v>5.6</v>
      </c>
      <c r="H371" t="str">
        <f>VLOOKUP(Tabel1[[#This Row],[categorie]],Lijst!A:B,2,FALSE)</f>
        <v>Vast</v>
      </c>
      <c r="I371" t="str">
        <f t="shared" si="20"/>
        <v>OK</v>
      </c>
    </row>
    <row r="372" spans="1:9" hidden="1" x14ac:dyDescent="0.3">
      <c r="A372" s="2">
        <v>45705</v>
      </c>
      <c r="B372" t="str">
        <f t="shared" si="18"/>
        <v xml:space="preserve">februari </v>
      </c>
      <c r="C372">
        <v>-81.66</v>
      </c>
      <c r="D372" t="s">
        <v>33</v>
      </c>
      <c r="F372" t="s">
        <v>18</v>
      </c>
      <c r="G372">
        <f t="shared" si="19"/>
        <v>-81.66</v>
      </c>
      <c r="H372" t="str">
        <f>VLOOKUP(Tabel1[[#This Row],[categorie]],Lijst!A:B,2,FALSE)</f>
        <v>Vast</v>
      </c>
      <c r="I372" t="str">
        <f t="shared" si="20"/>
        <v>OK</v>
      </c>
    </row>
    <row r="373" spans="1:9" hidden="1" x14ac:dyDescent="0.3">
      <c r="A373" s="2">
        <v>45705</v>
      </c>
      <c r="B373" t="str">
        <f t="shared" si="18"/>
        <v xml:space="preserve">februari </v>
      </c>
      <c r="C373">
        <v>-85</v>
      </c>
      <c r="D373" t="s">
        <v>33</v>
      </c>
      <c r="F373" t="s">
        <v>18</v>
      </c>
      <c r="G373">
        <f t="shared" si="19"/>
        <v>-85</v>
      </c>
      <c r="H373" t="str">
        <f>VLOOKUP(Tabel1[[#This Row],[categorie]],Lijst!A:B,2,FALSE)</f>
        <v>Vast</v>
      </c>
      <c r="I373" t="str">
        <f t="shared" si="20"/>
        <v>OK</v>
      </c>
    </row>
    <row r="374" spans="1:9" hidden="1" x14ac:dyDescent="0.3">
      <c r="A374" s="2">
        <v>45705</v>
      </c>
      <c r="B374" t="str">
        <f t="shared" si="18"/>
        <v xml:space="preserve">februari </v>
      </c>
      <c r="C374">
        <v>-33.549999999999997</v>
      </c>
      <c r="D374" t="s">
        <v>50</v>
      </c>
      <c r="F374" t="s">
        <v>18</v>
      </c>
      <c r="G374">
        <f t="shared" si="19"/>
        <v>-33.549999999999997</v>
      </c>
      <c r="H374" t="str">
        <f>VLOOKUP(Tabel1[[#This Row],[categorie]],Lijst!A:B,2,FALSE)</f>
        <v>Vast</v>
      </c>
      <c r="I374" t="str">
        <f t="shared" si="20"/>
        <v>OK</v>
      </c>
    </row>
    <row r="375" spans="1:9" hidden="1" x14ac:dyDescent="0.3">
      <c r="A375" s="2">
        <v>45705</v>
      </c>
      <c r="B375" t="str">
        <f t="shared" si="18"/>
        <v xml:space="preserve">februari </v>
      </c>
      <c r="C375">
        <v>-24.99</v>
      </c>
      <c r="D375" t="s">
        <v>30</v>
      </c>
      <c r="F375" t="s">
        <v>18</v>
      </c>
      <c r="G375">
        <f t="shared" si="19"/>
        <v>-24.99</v>
      </c>
      <c r="H375" t="str">
        <f>VLOOKUP(Tabel1[[#This Row],[categorie]],Lijst!A:B,2,FALSE)</f>
        <v>Vast</v>
      </c>
      <c r="I375" t="str">
        <f t="shared" si="20"/>
        <v>OK</v>
      </c>
    </row>
    <row r="376" spans="1:9" hidden="1" x14ac:dyDescent="0.3">
      <c r="A376" s="2">
        <v>45705</v>
      </c>
      <c r="B376" t="str">
        <f t="shared" si="18"/>
        <v xml:space="preserve">februari </v>
      </c>
      <c r="C376">
        <v>-25.5</v>
      </c>
      <c r="D376" t="s">
        <v>9</v>
      </c>
      <c r="F376" t="s">
        <v>18</v>
      </c>
      <c r="G376">
        <f t="shared" si="19"/>
        <v>-25.5</v>
      </c>
      <c r="H376" t="str">
        <f>VLOOKUP(Tabel1[[#This Row],[categorie]],Lijst!A:B,2,FALSE)</f>
        <v>Variabel</v>
      </c>
      <c r="I376" t="str">
        <f t="shared" si="20"/>
        <v>OK</v>
      </c>
    </row>
    <row r="377" spans="1:9" hidden="1" x14ac:dyDescent="0.3">
      <c r="A377" s="2">
        <v>45706</v>
      </c>
      <c r="B377" t="str">
        <f t="shared" si="18"/>
        <v xml:space="preserve">februari </v>
      </c>
      <c r="C377">
        <v>-0.5</v>
      </c>
      <c r="D377" t="s">
        <v>26</v>
      </c>
      <c r="F377" t="s">
        <v>18</v>
      </c>
      <c r="G377">
        <f t="shared" si="19"/>
        <v>-0.5</v>
      </c>
      <c r="H377" t="str">
        <f>VLOOKUP(Tabel1[[#This Row],[categorie]],Lijst!A:B,2,FALSE)</f>
        <v>Variabel</v>
      </c>
      <c r="I377" t="str">
        <f t="shared" si="20"/>
        <v>OK</v>
      </c>
    </row>
    <row r="378" spans="1:9" hidden="1" x14ac:dyDescent="0.3">
      <c r="A378" s="2">
        <v>45706</v>
      </c>
      <c r="B378" t="str">
        <f t="shared" si="18"/>
        <v xml:space="preserve">februari </v>
      </c>
      <c r="C378">
        <v>-0.5</v>
      </c>
      <c r="D378" t="s">
        <v>26</v>
      </c>
      <c r="F378" t="s">
        <v>18</v>
      </c>
      <c r="G378">
        <f t="shared" si="19"/>
        <v>-0.5</v>
      </c>
      <c r="H378" t="str">
        <f>VLOOKUP(Tabel1[[#This Row],[categorie]],Lijst!A:B,2,FALSE)</f>
        <v>Variabel</v>
      </c>
      <c r="I378" t="str">
        <f t="shared" si="20"/>
        <v>OK</v>
      </c>
    </row>
    <row r="379" spans="1:9" hidden="1" x14ac:dyDescent="0.3">
      <c r="A379" s="2">
        <v>45706</v>
      </c>
      <c r="B379" t="str">
        <f t="shared" si="18"/>
        <v xml:space="preserve">februari </v>
      </c>
      <c r="C379">
        <v>-5.49</v>
      </c>
      <c r="D379" t="s">
        <v>3</v>
      </c>
      <c r="F379" t="s">
        <v>18</v>
      </c>
      <c r="G379">
        <f t="shared" si="19"/>
        <v>-5.49</v>
      </c>
      <c r="H379" t="str">
        <f>VLOOKUP(Tabel1[[#This Row],[categorie]],Lijst!A:B,2,FALSE)</f>
        <v>Vast</v>
      </c>
      <c r="I379" t="str">
        <f t="shared" si="20"/>
        <v>OK</v>
      </c>
    </row>
    <row r="380" spans="1:9" hidden="1" x14ac:dyDescent="0.3">
      <c r="A380" s="2">
        <v>45706</v>
      </c>
      <c r="B380" t="str">
        <f t="shared" si="18"/>
        <v xml:space="preserve">februari </v>
      </c>
      <c r="C380">
        <v>-11.95</v>
      </c>
      <c r="D380" t="s">
        <v>39</v>
      </c>
      <c r="F380" t="s">
        <v>18</v>
      </c>
      <c r="G380">
        <f t="shared" si="19"/>
        <v>-11.95</v>
      </c>
      <c r="H380" t="str">
        <f>VLOOKUP(Tabel1[[#This Row],[categorie]],Lijst!A:B,2,FALSE)</f>
        <v>Vast</v>
      </c>
      <c r="I380" t="str">
        <f t="shared" si="20"/>
        <v>OK</v>
      </c>
    </row>
    <row r="381" spans="1:9" hidden="1" x14ac:dyDescent="0.3">
      <c r="A381" s="2">
        <v>45706</v>
      </c>
      <c r="B381" t="str">
        <f t="shared" si="18"/>
        <v xml:space="preserve">februari </v>
      </c>
      <c r="C381">
        <v>-101.93</v>
      </c>
      <c r="D381" t="s">
        <v>30</v>
      </c>
      <c r="F381" t="s">
        <v>18</v>
      </c>
      <c r="G381">
        <f t="shared" si="19"/>
        <v>-101.93</v>
      </c>
      <c r="H381" t="str">
        <f>VLOOKUP(Tabel1[[#This Row],[categorie]],Lijst!A:B,2,FALSE)</f>
        <v>Vast</v>
      </c>
      <c r="I381" t="str">
        <f t="shared" si="20"/>
        <v>OK</v>
      </c>
    </row>
    <row r="382" spans="1:9" hidden="1" x14ac:dyDescent="0.3">
      <c r="A382" s="2">
        <v>45707</v>
      </c>
      <c r="B382" t="str">
        <f t="shared" si="18"/>
        <v xml:space="preserve">februari </v>
      </c>
      <c r="C382">
        <v>-1.5</v>
      </c>
      <c r="D382" t="s">
        <v>26</v>
      </c>
      <c r="F382" t="s">
        <v>18</v>
      </c>
      <c r="G382">
        <f t="shared" si="19"/>
        <v>-1.5</v>
      </c>
      <c r="H382" t="str">
        <f>VLOOKUP(Tabel1[[#This Row],[categorie]],Lijst!A:B,2,FALSE)</f>
        <v>Variabel</v>
      </c>
      <c r="I382" t="str">
        <f t="shared" si="20"/>
        <v>OK</v>
      </c>
    </row>
    <row r="383" spans="1:9" hidden="1" x14ac:dyDescent="0.3">
      <c r="A383" s="2">
        <v>45707</v>
      </c>
      <c r="B383" t="str">
        <f t="shared" si="18"/>
        <v xml:space="preserve">februari </v>
      </c>
      <c r="C383">
        <v>-1.5</v>
      </c>
      <c r="D383" t="s">
        <v>26</v>
      </c>
      <c r="F383" t="s">
        <v>18</v>
      </c>
      <c r="G383">
        <f t="shared" si="19"/>
        <v>-1.5</v>
      </c>
      <c r="H383" t="str">
        <f>VLOOKUP(Tabel1[[#This Row],[categorie]],Lijst!A:B,2,FALSE)</f>
        <v>Variabel</v>
      </c>
      <c r="I383" t="str">
        <f t="shared" si="20"/>
        <v>OK</v>
      </c>
    </row>
    <row r="384" spans="1:9" hidden="1" x14ac:dyDescent="0.3">
      <c r="A384" s="2">
        <v>45707</v>
      </c>
      <c r="B384" t="str">
        <f t="shared" si="18"/>
        <v xml:space="preserve">februari </v>
      </c>
      <c r="C384">
        <v>-1.5</v>
      </c>
      <c r="D384" t="s">
        <v>26</v>
      </c>
      <c r="F384" t="s">
        <v>18</v>
      </c>
      <c r="G384">
        <f t="shared" si="19"/>
        <v>-1.5</v>
      </c>
      <c r="H384" t="str">
        <f>VLOOKUP(Tabel1[[#This Row],[categorie]],Lijst!A:B,2,FALSE)</f>
        <v>Variabel</v>
      </c>
      <c r="I384" t="str">
        <f t="shared" si="20"/>
        <v>OK</v>
      </c>
    </row>
    <row r="385" spans="1:9" hidden="1" x14ac:dyDescent="0.3">
      <c r="A385" s="2">
        <v>45707</v>
      </c>
      <c r="B385" t="str">
        <f t="shared" si="18"/>
        <v xml:space="preserve">februari </v>
      </c>
      <c r="C385">
        <v>-0.9</v>
      </c>
      <c r="D385" t="s">
        <v>26</v>
      </c>
      <c r="F385" t="s">
        <v>18</v>
      </c>
      <c r="G385">
        <f t="shared" si="19"/>
        <v>-0.9</v>
      </c>
      <c r="H385" t="str">
        <f>VLOOKUP(Tabel1[[#This Row],[categorie]],Lijst!A:B,2,FALSE)</f>
        <v>Variabel</v>
      </c>
      <c r="I385" t="str">
        <f t="shared" si="20"/>
        <v>OK</v>
      </c>
    </row>
    <row r="386" spans="1:9" hidden="1" x14ac:dyDescent="0.3">
      <c r="A386" s="2">
        <v>45707</v>
      </c>
      <c r="B386" t="str">
        <f t="shared" si="18"/>
        <v xml:space="preserve">februari </v>
      </c>
      <c r="C386">
        <v>-0.28999999999999998</v>
      </c>
      <c r="D386" t="s">
        <v>3</v>
      </c>
      <c r="F386" t="s">
        <v>18</v>
      </c>
      <c r="G386">
        <f t="shared" si="19"/>
        <v>-0.28999999999999998</v>
      </c>
      <c r="H386" t="str">
        <f>VLOOKUP(Tabel1[[#This Row],[categorie]],Lijst!A:B,2,FALSE)</f>
        <v>Vast</v>
      </c>
      <c r="I386" t="str">
        <f t="shared" si="20"/>
        <v>OK</v>
      </c>
    </row>
    <row r="387" spans="1:9" hidden="1" x14ac:dyDescent="0.3">
      <c r="A387" s="2">
        <v>45708</v>
      </c>
      <c r="B387" t="str">
        <f t="shared" si="18"/>
        <v xml:space="preserve">februari </v>
      </c>
      <c r="C387">
        <v>-1.5</v>
      </c>
      <c r="D387" t="s">
        <v>26</v>
      </c>
      <c r="F387" t="s">
        <v>18</v>
      </c>
      <c r="G387">
        <f t="shared" si="19"/>
        <v>-1.5</v>
      </c>
      <c r="H387" t="str">
        <f>VLOOKUP(Tabel1[[#This Row],[categorie]],Lijst!A:B,2,FALSE)</f>
        <v>Variabel</v>
      </c>
      <c r="I387" t="str">
        <f t="shared" si="20"/>
        <v>OK</v>
      </c>
    </row>
    <row r="388" spans="1:9" hidden="1" x14ac:dyDescent="0.3">
      <c r="A388" s="2">
        <v>45708</v>
      </c>
      <c r="B388" t="str">
        <f t="shared" si="18"/>
        <v xml:space="preserve">februari </v>
      </c>
      <c r="C388">
        <v>-10.59</v>
      </c>
      <c r="D388" t="s">
        <v>3</v>
      </c>
      <c r="F388" t="s">
        <v>18</v>
      </c>
      <c r="G388">
        <f t="shared" si="19"/>
        <v>-10.59</v>
      </c>
      <c r="H388" t="str">
        <f>VLOOKUP(Tabel1[[#This Row],[categorie]],Lijst!A:B,2,FALSE)</f>
        <v>Vast</v>
      </c>
      <c r="I388" t="str">
        <f t="shared" si="20"/>
        <v>OK</v>
      </c>
    </row>
    <row r="389" spans="1:9" hidden="1" x14ac:dyDescent="0.3">
      <c r="A389" s="2">
        <v>45708</v>
      </c>
      <c r="B389" t="str">
        <f t="shared" si="18"/>
        <v xml:space="preserve">februari </v>
      </c>
      <c r="C389">
        <v>-17.71</v>
      </c>
      <c r="D389" t="s">
        <v>13</v>
      </c>
      <c r="F389" t="s">
        <v>18</v>
      </c>
      <c r="G389">
        <f t="shared" si="19"/>
        <v>-17.71</v>
      </c>
      <c r="H389" t="str">
        <f>VLOOKUP(Tabel1[[#This Row],[categorie]],Lijst!A:B,2,FALSE)</f>
        <v>Vast</v>
      </c>
      <c r="I389" t="str">
        <f t="shared" si="20"/>
        <v>OK</v>
      </c>
    </row>
    <row r="390" spans="1:9" hidden="1" x14ac:dyDescent="0.3">
      <c r="A390" s="2">
        <v>45709</v>
      </c>
      <c r="B390" t="str">
        <f t="shared" si="18"/>
        <v xml:space="preserve">februari </v>
      </c>
      <c r="C390">
        <v>-1.5</v>
      </c>
      <c r="D390" t="s">
        <v>26</v>
      </c>
      <c r="F390" t="s">
        <v>18</v>
      </c>
      <c r="G390">
        <f t="shared" si="19"/>
        <v>-1.5</v>
      </c>
      <c r="H390" t="str">
        <f>VLOOKUP(Tabel1[[#This Row],[categorie]],Lijst!A:B,2,FALSE)</f>
        <v>Variabel</v>
      </c>
      <c r="I390" t="str">
        <f t="shared" si="20"/>
        <v>OK</v>
      </c>
    </row>
    <row r="391" spans="1:9" hidden="1" x14ac:dyDescent="0.3">
      <c r="A391" s="2">
        <v>45709</v>
      </c>
      <c r="B391" t="str">
        <f t="shared" si="18"/>
        <v xml:space="preserve">februari </v>
      </c>
      <c r="C391">
        <v>-4.5999999999999996</v>
      </c>
      <c r="D391" t="s">
        <v>3</v>
      </c>
      <c r="F391" t="s">
        <v>18</v>
      </c>
      <c r="G391">
        <f t="shared" si="19"/>
        <v>-4.5999999999999996</v>
      </c>
      <c r="H391" t="str">
        <f>VLOOKUP(Tabel1[[#This Row],[categorie]],Lijst!A:B,2,FALSE)</f>
        <v>Vast</v>
      </c>
      <c r="I391" t="str">
        <f t="shared" si="20"/>
        <v>OK</v>
      </c>
    </row>
    <row r="392" spans="1:9" hidden="1" x14ac:dyDescent="0.3">
      <c r="A392" s="2">
        <v>45709</v>
      </c>
      <c r="B392" t="str">
        <f t="shared" si="18"/>
        <v xml:space="preserve">februari </v>
      </c>
      <c r="C392">
        <v>-20.34</v>
      </c>
      <c r="D392" t="s">
        <v>3</v>
      </c>
      <c r="F392" t="s">
        <v>18</v>
      </c>
      <c r="G392">
        <f t="shared" si="19"/>
        <v>-20.34</v>
      </c>
      <c r="H392" t="str">
        <f>VLOOKUP(Tabel1[[#This Row],[categorie]],Lijst!A:B,2,FALSE)</f>
        <v>Vast</v>
      </c>
      <c r="I392" t="str">
        <f t="shared" si="20"/>
        <v>OK</v>
      </c>
    </row>
    <row r="393" spans="1:9" hidden="1" x14ac:dyDescent="0.3">
      <c r="A393" s="2">
        <v>45709</v>
      </c>
      <c r="B393" t="str">
        <f t="shared" si="18"/>
        <v xml:space="preserve">februari </v>
      </c>
      <c r="C393">
        <v>-59.75</v>
      </c>
      <c r="D393" t="s">
        <v>14</v>
      </c>
      <c r="F393" t="s">
        <v>18</v>
      </c>
      <c r="G393">
        <f t="shared" si="19"/>
        <v>-59.75</v>
      </c>
      <c r="H393" t="str">
        <f>VLOOKUP(Tabel1[[#This Row],[categorie]],Lijst!A:B,2,FALSE)</f>
        <v>Variabel</v>
      </c>
      <c r="I393" t="str">
        <f t="shared" si="20"/>
        <v>OK</v>
      </c>
    </row>
    <row r="394" spans="1:9" hidden="1" x14ac:dyDescent="0.3">
      <c r="A394" s="2">
        <v>45709</v>
      </c>
      <c r="B394" t="str">
        <f t="shared" si="18"/>
        <v xml:space="preserve">februari </v>
      </c>
      <c r="C394">
        <v>-98.24</v>
      </c>
      <c r="D394" t="s">
        <v>14</v>
      </c>
      <c r="F394" t="s">
        <v>18</v>
      </c>
      <c r="G394">
        <f t="shared" si="19"/>
        <v>-98.24</v>
      </c>
      <c r="H394" t="str">
        <f>VLOOKUP(Tabel1[[#This Row],[categorie]],Lijst!A:B,2,FALSE)</f>
        <v>Variabel</v>
      </c>
      <c r="I394" t="str">
        <f t="shared" si="20"/>
        <v>OK</v>
      </c>
    </row>
    <row r="395" spans="1:9" hidden="1" x14ac:dyDescent="0.3">
      <c r="A395" s="2">
        <v>45709</v>
      </c>
      <c r="B395" t="str">
        <f t="shared" si="18"/>
        <v xml:space="preserve">februari </v>
      </c>
      <c r="C395">
        <v>-52.31</v>
      </c>
      <c r="D395" t="s">
        <v>28</v>
      </c>
      <c r="F395" t="s">
        <v>18</v>
      </c>
      <c r="G395">
        <f t="shared" si="19"/>
        <v>-52.31</v>
      </c>
      <c r="H395" t="str">
        <f>VLOOKUP(Tabel1[[#This Row],[categorie]],Lijst!A:B,2,FALSE)</f>
        <v>Vast</v>
      </c>
      <c r="I395" t="str">
        <f t="shared" si="20"/>
        <v>OK</v>
      </c>
    </row>
    <row r="396" spans="1:9" hidden="1" x14ac:dyDescent="0.3">
      <c r="A396" s="2">
        <v>45710</v>
      </c>
      <c r="B396" t="str">
        <f t="shared" si="18"/>
        <v xml:space="preserve">februari </v>
      </c>
      <c r="C396">
        <v>-297</v>
      </c>
      <c r="D396" t="s">
        <v>82</v>
      </c>
      <c r="F396" t="s">
        <v>18</v>
      </c>
      <c r="G396">
        <f t="shared" si="19"/>
        <v>-297</v>
      </c>
      <c r="H396" t="str">
        <f>VLOOKUP(Tabel1[[#This Row],[categorie]],Lijst!A:B,2,FALSE)</f>
        <v>Vast</v>
      </c>
      <c r="I396" t="str">
        <f t="shared" si="20"/>
        <v>OK</v>
      </c>
    </row>
    <row r="397" spans="1:9" hidden="1" x14ac:dyDescent="0.3">
      <c r="A397" s="2">
        <v>45711</v>
      </c>
      <c r="B397" t="str">
        <f t="shared" si="18"/>
        <v xml:space="preserve">februari </v>
      </c>
      <c r="C397">
        <v>-27.7</v>
      </c>
      <c r="D397" t="s">
        <v>9</v>
      </c>
      <c r="F397" t="s">
        <v>18</v>
      </c>
      <c r="G397">
        <f t="shared" si="19"/>
        <v>-27.7</v>
      </c>
      <c r="H397" t="str">
        <f>VLOOKUP(Tabel1[[#This Row],[categorie]],Lijst!A:B,2,FALSE)</f>
        <v>Variabel</v>
      </c>
      <c r="I397" t="str">
        <f t="shared" si="20"/>
        <v>OK</v>
      </c>
    </row>
    <row r="398" spans="1:9" hidden="1" x14ac:dyDescent="0.3">
      <c r="A398" s="2">
        <v>45712</v>
      </c>
      <c r="B398" t="str">
        <f t="shared" si="18"/>
        <v xml:space="preserve">februari </v>
      </c>
      <c r="C398">
        <v>-5.99</v>
      </c>
      <c r="D398" t="s">
        <v>3</v>
      </c>
      <c r="F398" t="s">
        <v>18</v>
      </c>
      <c r="G398">
        <f t="shared" si="19"/>
        <v>-5.99</v>
      </c>
      <c r="H398" t="str">
        <f>VLOOKUP(Tabel1[[#This Row],[categorie]],Lijst!A:B,2,FALSE)</f>
        <v>Vast</v>
      </c>
      <c r="I398" t="str">
        <f t="shared" si="20"/>
        <v>OK</v>
      </c>
    </row>
    <row r="399" spans="1:9" hidden="1" x14ac:dyDescent="0.3">
      <c r="A399" s="2">
        <v>45712</v>
      </c>
      <c r="B399" t="str">
        <f t="shared" si="18"/>
        <v xml:space="preserve">februari </v>
      </c>
      <c r="C399">
        <v>-9.92</v>
      </c>
      <c r="D399" t="s">
        <v>3</v>
      </c>
      <c r="F399" t="s">
        <v>18</v>
      </c>
      <c r="G399">
        <f t="shared" si="19"/>
        <v>-9.92</v>
      </c>
      <c r="H399" t="str">
        <f>VLOOKUP(Tabel1[[#This Row],[categorie]],Lijst!A:B,2,FALSE)</f>
        <v>Vast</v>
      </c>
      <c r="I399" t="str">
        <f t="shared" si="20"/>
        <v>OK</v>
      </c>
    </row>
    <row r="400" spans="1:9" hidden="1" x14ac:dyDescent="0.3">
      <c r="A400" s="2">
        <v>45712</v>
      </c>
      <c r="B400" t="str">
        <f t="shared" si="18"/>
        <v xml:space="preserve">februari </v>
      </c>
      <c r="C400">
        <v>-1.49</v>
      </c>
      <c r="D400" t="s">
        <v>3</v>
      </c>
      <c r="F400" t="s">
        <v>18</v>
      </c>
      <c r="G400">
        <f t="shared" si="19"/>
        <v>-1.49</v>
      </c>
      <c r="H400" t="str">
        <f>VLOOKUP(Tabel1[[#This Row],[categorie]],Lijst!A:B,2,FALSE)</f>
        <v>Vast</v>
      </c>
      <c r="I400" t="str">
        <f t="shared" si="20"/>
        <v>OK</v>
      </c>
    </row>
    <row r="401" spans="1:9" hidden="1" x14ac:dyDescent="0.3">
      <c r="A401" s="2">
        <v>45712</v>
      </c>
      <c r="B401" t="str">
        <f t="shared" si="18"/>
        <v xml:space="preserve">februari </v>
      </c>
      <c r="C401">
        <v>-25.54</v>
      </c>
      <c r="D401" t="s">
        <v>3</v>
      </c>
      <c r="F401" t="s">
        <v>18</v>
      </c>
      <c r="G401">
        <f t="shared" si="19"/>
        <v>-25.54</v>
      </c>
      <c r="H401" t="str">
        <f>VLOOKUP(Tabel1[[#This Row],[categorie]],Lijst!A:B,2,FALSE)</f>
        <v>Vast</v>
      </c>
      <c r="I401" t="str">
        <f t="shared" si="20"/>
        <v>OK</v>
      </c>
    </row>
    <row r="402" spans="1:9" hidden="1" x14ac:dyDescent="0.3">
      <c r="A402" s="2">
        <v>45712</v>
      </c>
      <c r="B402" t="str">
        <f t="shared" si="18"/>
        <v xml:space="preserve">februari </v>
      </c>
      <c r="C402">
        <v>-3.09</v>
      </c>
      <c r="D402" t="s">
        <v>3</v>
      </c>
      <c r="F402" t="s">
        <v>18</v>
      </c>
      <c r="G402">
        <f t="shared" si="19"/>
        <v>-3.09</v>
      </c>
      <c r="H402" t="str">
        <f>VLOOKUP(Tabel1[[#This Row],[categorie]],Lijst!A:B,2,FALSE)</f>
        <v>Vast</v>
      </c>
      <c r="I402" t="str">
        <f t="shared" si="20"/>
        <v>OK</v>
      </c>
    </row>
    <row r="403" spans="1:9" hidden="1" x14ac:dyDescent="0.3">
      <c r="A403" s="2">
        <v>45712</v>
      </c>
      <c r="B403" t="str">
        <f t="shared" si="18"/>
        <v xml:space="preserve">februari </v>
      </c>
      <c r="C403">
        <v>-27</v>
      </c>
      <c r="D403" t="s">
        <v>14</v>
      </c>
      <c r="F403" t="s">
        <v>18</v>
      </c>
      <c r="G403">
        <f t="shared" si="19"/>
        <v>-27</v>
      </c>
      <c r="H403" t="str">
        <f>VLOOKUP(Tabel1[[#This Row],[categorie]],Lijst!A:B,2,FALSE)</f>
        <v>Variabel</v>
      </c>
      <c r="I403" t="str">
        <f t="shared" si="20"/>
        <v>OK</v>
      </c>
    </row>
    <row r="404" spans="1:9" hidden="1" x14ac:dyDescent="0.3">
      <c r="A404" s="2">
        <v>45712</v>
      </c>
      <c r="B404" t="str">
        <f t="shared" si="18"/>
        <v xml:space="preserve">februari </v>
      </c>
      <c r="C404">
        <v>-8.6</v>
      </c>
      <c r="D404" t="s">
        <v>14</v>
      </c>
      <c r="F404" t="s">
        <v>18</v>
      </c>
      <c r="G404">
        <f t="shared" si="19"/>
        <v>-8.6</v>
      </c>
      <c r="H404" t="str">
        <f>VLOOKUP(Tabel1[[#This Row],[categorie]],Lijst!A:B,2,FALSE)</f>
        <v>Variabel</v>
      </c>
      <c r="I404" t="str">
        <f t="shared" si="20"/>
        <v>OK</v>
      </c>
    </row>
    <row r="405" spans="1:9" hidden="1" x14ac:dyDescent="0.3">
      <c r="A405" s="2">
        <v>45712</v>
      </c>
      <c r="B405" t="str">
        <f t="shared" si="18"/>
        <v xml:space="preserve">februari </v>
      </c>
      <c r="C405">
        <v>-56.6</v>
      </c>
      <c r="D405" t="s">
        <v>14</v>
      </c>
      <c r="F405" t="s">
        <v>18</v>
      </c>
      <c r="G405">
        <f t="shared" si="19"/>
        <v>-56.6</v>
      </c>
      <c r="H405" t="str">
        <f>VLOOKUP(Tabel1[[#This Row],[categorie]],Lijst!A:B,2,FALSE)</f>
        <v>Variabel</v>
      </c>
      <c r="I405" t="str">
        <f t="shared" si="20"/>
        <v>OK</v>
      </c>
    </row>
    <row r="406" spans="1:9" hidden="1" x14ac:dyDescent="0.3">
      <c r="A406" s="2">
        <v>45712</v>
      </c>
      <c r="B406" t="str">
        <f t="shared" si="18"/>
        <v xml:space="preserve">februari </v>
      </c>
      <c r="C406">
        <v>-119.95</v>
      </c>
      <c r="D406" t="s">
        <v>14</v>
      </c>
      <c r="F406" t="s">
        <v>18</v>
      </c>
      <c r="G406">
        <f t="shared" si="19"/>
        <v>-119.95</v>
      </c>
      <c r="H406" t="str">
        <f>VLOOKUP(Tabel1[[#This Row],[categorie]],Lijst!A:B,2,FALSE)</f>
        <v>Variabel</v>
      </c>
      <c r="I406" t="str">
        <f t="shared" si="20"/>
        <v>OK</v>
      </c>
    </row>
    <row r="407" spans="1:9" hidden="1" x14ac:dyDescent="0.3">
      <c r="A407" s="2">
        <v>45712</v>
      </c>
      <c r="B407" t="str">
        <f t="shared" si="18"/>
        <v xml:space="preserve">februari </v>
      </c>
      <c r="C407">
        <v>-8.83</v>
      </c>
      <c r="D407" t="s">
        <v>3</v>
      </c>
      <c r="F407" t="s">
        <v>18</v>
      </c>
      <c r="G407">
        <f t="shared" si="19"/>
        <v>-8.83</v>
      </c>
      <c r="H407" t="str">
        <f>VLOOKUP(Tabel1[[#This Row],[categorie]],Lijst!A:B,2,FALSE)</f>
        <v>Vast</v>
      </c>
      <c r="I407" t="str">
        <f t="shared" si="20"/>
        <v>OK</v>
      </c>
    </row>
    <row r="408" spans="1:9" hidden="1" x14ac:dyDescent="0.3">
      <c r="A408" s="2">
        <v>45712</v>
      </c>
      <c r="B408" t="str">
        <f t="shared" si="18"/>
        <v xml:space="preserve">februari </v>
      </c>
      <c r="C408">
        <v>-10.86</v>
      </c>
      <c r="D408" t="s">
        <v>3</v>
      </c>
      <c r="F408" t="s">
        <v>18</v>
      </c>
      <c r="G408">
        <f t="shared" si="19"/>
        <v>-10.86</v>
      </c>
      <c r="H408" t="str">
        <f>VLOOKUP(Tabel1[[#This Row],[categorie]],Lijst!A:B,2,FALSE)</f>
        <v>Vast</v>
      </c>
      <c r="I408" t="str">
        <f t="shared" si="20"/>
        <v>OK</v>
      </c>
    </row>
    <row r="409" spans="1:9" hidden="1" x14ac:dyDescent="0.3">
      <c r="A409" s="2">
        <v>45712</v>
      </c>
      <c r="B409" t="str">
        <f t="shared" si="18"/>
        <v xml:space="preserve">februari </v>
      </c>
      <c r="C409">
        <v>-1.5</v>
      </c>
      <c r="D409" t="s">
        <v>26</v>
      </c>
      <c r="F409" t="s">
        <v>18</v>
      </c>
      <c r="G409">
        <f t="shared" si="19"/>
        <v>-1.5</v>
      </c>
      <c r="H409" t="str">
        <f>VLOOKUP(Tabel1[[#This Row],[categorie]],Lijst!A:B,2,FALSE)</f>
        <v>Variabel</v>
      </c>
      <c r="I409" t="str">
        <f t="shared" si="20"/>
        <v>OK</v>
      </c>
    </row>
    <row r="410" spans="1:9" hidden="1" x14ac:dyDescent="0.3">
      <c r="A410" s="2">
        <v>45712</v>
      </c>
      <c r="B410" t="str">
        <f t="shared" si="18"/>
        <v xml:space="preserve">februari </v>
      </c>
      <c r="C410">
        <v>-63.68</v>
      </c>
      <c r="D410" t="s">
        <v>3</v>
      </c>
      <c r="F410" t="s">
        <v>18</v>
      </c>
      <c r="G410">
        <f t="shared" si="19"/>
        <v>-63.68</v>
      </c>
      <c r="H410" t="str">
        <f>VLOOKUP(Tabel1[[#This Row],[categorie]],Lijst!A:B,2,FALSE)</f>
        <v>Vast</v>
      </c>
      <c r="I410" t="str">
        <f t="shared" si="20"/>
        <v>OK</v>
      </c>
    </row>
    <row r="411" spans="1:9" hidden="1" x14ac:dyDescent="0.3">
      <c r="A411" s="2">
        <v>45712</v>
      </c>
      <c r="B411" t="str">
        <f t="shared" si="18"/>
        <v xml:space="preserve">februari </v>
      </c>
      <c r="C411">
        <v>-4.5999999999999996</v>
      </c>
      <c r="D411" t="s">
        <v>3</v>
      </c>
      <c r="F411" t="s">
        <v>18</v>
      </c>
      <c r="G411">
        <f t="shared" si="19"/>
        <v>-4.5999999999999996</v>
      </c>
      <c r="H411" t="str">
        <f>VLOOKUP(Tabel1[[#This Row],[categorie]],Lijst!A:B,2,FALSE)</f>
        <v>Vast</v>
      </c>
      <c r="I411" t="str">
        <f t="shared" si="20"/>
        <v>OK</v>
      </c>
    </row>
    <row r="412" spans="1:9" hidden="1" x14ac:dyDescent="0.3">
      <c r="A412" s="2">
        <v>45712</v>
      </c>
      <c r="B412" t="str">
        <f t="shared" si="18"/>
        <v xml:space="preserve">februari </v>
      </c>
      <c r="C412">
        <v>-8.4</v>
      </c>
      <c r="D412" t="s">
        <v>9</v>
      </c>
      <c r="F412" t="s">
        <v>18</v>
      </c>
      <c r="G412">
        <f t="shared" si="19"/>
        <v>-8.4</v>
      </c>
      <c r="H412" t="str">
        <f>VLOOKUP(Tabel1[[#This Row],[categorie]],Lijst!A:B,2,FALSE)</f>
        <v>Variabel</v>
      </c>
      <c r="I412" t="str">
        <f t="shared" si="20"/>
        <v>OK</v>
      </c>
    </row>
    <row r="413" spans="1:9" hidden="1" x14ac:dyDescent="0.3">
      <c r="A413" s="2">
        <v>45713</v>
      </c>
      <c r="B413" t="str">
        <f t="shared" si="18"/>
        <v xml:space="preserve">februari </v>
      </c>
      <c r="C413">
        <v>-338.05</v>
      </c>
      <c r="D413" t="s">
        <v>14</v>
      </c>
      <c r="F413" t="s">
        <v>18</v>
      </c>
      <c r="G413">
        <f t="shared" si="19"/>
        <v>-338.05</v>
      </c>
      <c r="H413" t="str">
        <f>VLOOKUP(Tabel1[[#This Row],[categorie]],Lijst!A:B,2,FALSE)</f>
        <v>Variabel</v>
      </c>
      <c r="I413" t="str">
        <f t="shared" si="20"/>
        <v>OK</v>
      </c>
    </row>
    <row r="414" spans="1:9" hidden="1" x14ac:dyDescent="0.3">
      <c r="A414" s="2">
        <v>45713</v>
      </c>
      <c r="B414" t="str">
        <f t="shared" si="18"/>
        <v xml:space="preserve">februari </v>
      </c>
      <c r="C414">
        <v>-0.5</v>
      </c>
      <c r="D414" t="s">
        <v>26</v>
      </c>
      <c r="F414" t="s">
        <v>18</v>
      </c>
      <c r="G414">
        <f t="shared" si="19"/>
        <v>-0.5</v>
      </c>
      <c r="H414" t="str">
        <f>VLOOKUP(Tabel1[[#This Row],[categorie]],Lijst!A:B,2,FALSE)</f>
        <v>Variabel</v>
      </c>
      <c r="I414" t="str">
        <f t="shared" si="20"/>
        <v>OK</v>
      </c>
    </row>
    <row r="415" spans="1:9" hidden="1" x14ac:dyDescent="0.3">
      <c r="A415" s="2">
        <v>45713</v>
      </c>
      <c r="B415" t="str">
        <f t="shared" si="18"/>
        <v xml:space="preserve">februari </v>
      </c>
      <c r="C415">
        <v>-1.5</v>
      </c>
      <c r="D415" t="s">
        <v>26</v>
      </c>
      <c r="F415" t="s">
        <v>18</v>
      </c>
      <c r="G415">
        <f t="shared" si="19"/>
        <v>-1.5</v>
      </c>
      <c r="H415" t="str">
        <f>VLOOKUP(Tabel1[[#This Row],[categorie]],Lijst!A:B,2,FALSE)</f>
        <v>Variabel</v>
      </c>
      <c r="I415" t="str">
        <f t="shared" si="20"/>
        <v>OK</v>
      </c>
    </row>
    <row r="416" spans="1:9" hidden="1" x14ac:dyDescent="0.3">
      <c r="A416" s="2">
        <v>45713</v>
      </c>
      <c r="B416" t="str">
        <f t="shared" si="18"/>
        <v xml:space="preserve">februari </v>
      </c>
      <c r="C416">
        <v>-0.9</v>
      </c>
      <c r="D416" t="s">
        <v>26</v>
      </c>
      <c r="F416" t="s">
        <v>18</v>
      </c>
      <c r="G416">
        <f t="shared" si="19"/>
        <v>-0.9</v>
      </c>
      <c r="H416" t="str">
        <f>VLOOKUP(Tabel1[[#This Row],[categorie]],Lijst!A:B,2,FALSE)</f>
        <v>Variabel</v>
      </c>
      <c r="I416" t="str">
        <f t="shared" si="20"/>
        <v>OK</v>
      </c>
    </row>
    <row r="417" spans="1:9" hidden="1" x14ac:dyDescent="0.3">
      <c r="A417" s="2">
        <v>45713</v>
      </c>
      <c r="B417" t="str">
        <f t="shared" si="18"/>
        <v xml:space="preserve">februari </v>
      </c>
      <c r="C417">
        <v>-25.45</v>
      </c>
      <c r="D417" t="s">
        <v>3</v>
      </c>
      <c r="F417" t="s">
        <v>18</v>
      </c>
      <c r="G417">
        <f t="shared" si="19"/>
        <v>-25.45</v>
      </c>
      <c r="H417" t="str">
        <f>VLOOKUP(Tabel1[[#This Row],[categorie]],Lijst!A:B,2,FALSE)</f>
        <v>Vast</v>
      </c>
      <c r="I417" t="str">
        <f t="shared" si="20"/>
        <v>OK</v>
      </c>
    </row>
    <row r="418" spans="1:9" hidden="1" x14ac:dyDescent="0.3">
      <c r="A418" s="2">
        <v>45713</v>
      </c>
      <c r="B418" t="str">
        <f t="shared" si="18"/>
        <v xml:space="preserve">februari </v>
      </c>
      <c r="C418">
        <v>-184.38</v>
      </c>
      <c r="D418" t="s">
        <v>49</v>
      </c>
      <c r="F418" t="s">
        <v>18</v>
      </c>
      <c r="G418">
        <f t="shared" si="19"/>
        <v>-184.38</v>
      </c>
      <c r="H418" t="str">
        <f>VLOOKUP(Tabel1[[#This Row],[categorie]],Lijst!A:B,2,FALSE)</f>
        <v>Variabel</v>
      </c>
      <c r="I418" t="str">
        <f t="shared" si="20"/>
        <v>OK</v>
      </c>
    </row>
    <row r="419" spans="1:9" hidden="1" x14ac:dyDescent="0.3">
      <c r="A419" s="2">
        <v>45713</v>
      </c>
      <c r="B419" t="str">
        <f t="shared" ref="B419:B482" si="21">TEXT(A419,"mmmm ")</f>
        <v xml:space="preserve">februari </v>
      </c>
      <c r="C419">
        <v>-21.94</v>
      </c>
      <c r="D419" t="s">
        <v>9</v>
      </c>
      <c r="F419" t="s">
        <v>18</v>
      </c>
      <c r="G419">
        <f t="shared" ref="G419:G482" si="22">IF(F419="Uitgave", -ABS(C419), ABS(C419))</f>
        <v>-21.94</v>
      </c>
      <c r="H419" t="str">
        <f>VLOOKUP(Tabel1[[#This Row],[categorie]],Lijst!A:B,2,FALSE)</f>
        <v>Variabel</v>
      </c>
      <c r="I419" t="str">
        <f t="shared" ref="I419:I482" si="23">IF(OR(AND(F419="Uitgave", C419&lt;0), AND(F419="Inkomst", C419&gt;0)), "OK", "FOUT")</f>
        <v>OK</v>
      </c>
    </row>
    <row r="420" spans="1:9" hidden="1" x14ac:dyDescent="0.3">
      <c r="A420" s="2">
        <v>45714</v>
      </c>
      <c r="B420" t="str">
        <f t="shared" si="21"/>
        <v xml:space="preserve">februari </v>
      </c>
      <c r="C420">
        <v>-5.49</v>
      </c>
      <c r="D420" t="s">
        <v>3</v>
      </c>
      <c r="F420" t="s">
        <v>18</v>
      </c>
      <c r="G420">
        <f t="shared" si="22"/>
        <v>-5.49</v>
      </c>
      <c r="H420" t="str">
        <f>VLOOKUP(Tabel1[[#This Row],[categorie]],Lijst!A:B,2,FALSE)</f>
        <v>Vast</v>
      </c>
      <c r="I420" t="str">
        <f t="shared" si="23"/>
        <v>OK</v>
      </c>
    </row>
    <row r="421" spans="1:9" hidden="1" x14ac:dyDescent="0.3">
      <c r="A421" s="2">
        <v>45714</v>
      </c>
      <c r="B421" t="str">
        <f t="shared" si="21"/>
        <v xml:space="preserve">februari </v>
      </c>
      <c r="C421">
        <v>-1.5</v>
      </c>
      <c r="D421" t="s">
        <v>26</v>
      </c>
      <c r="F421" t="s">
        <v>18</v>
      </c>
      <c r="G421">
        <f t="shared" si="22"/>
        <v>-1.5</v>
      </c>
      <c r="H421" t="str">
        <f>VLOOKUP(Tabel1[[#This Row],[categorie]],Lijst!A:B,2,FALSE)</f>
        <v>Variabel</v>
      </c>
      <c r="I421" t="str">
        <f t="shared" si="23"/>
        <v>OK</v>
      </c>
    </row>
    <row r="422" spans="1:9" hidden="1" x14ac:dyDescent="0.3">
      <c r="A422" s="2">
        <v>45714</v>
      </c>
      <c r="B422" t="str">
        <f t="shared" si="21"/>
        <v xml:space="preserve">februari </v>
      </c>
      <c r="C422">
        <v>-1.5</v>
      </c>
      <c r="D422" t="s">
        <v>26</v>
      </c>
      <c r="F422" t="s">
        <v>18</v>
      </c>
      <c r="G422">
        <f t="shared" si="22"/>
        <v>-1.5</v>
      </c>
      <c r="H422" t="str">
        <f>VLOOKUP(Tabel1[[#This Row],[categorie]],Lijst!A:B,2,FALSE)</f>
        <v>Variabel</v>
      </c>
      <c r="I422" t="str">
        <f t="shared" si="23"/>
        <v>OK</v>
      </c>
    </row>
    <row r="423" spans="1:9" hidden="1" x14ac:dyDescent="0.3">
      <c r="A423" s="2">
        <v>45714</v>
      </c>
      <c r="B423" t="str">
        <f t="shared" si="21"/>
        <v xml:space="preserve">februari </v>
      </c>
      <c r="C423">
        <v>-0.9</v>
      </c>
      <c r="D423" t="s">
        <v>26</v>
      </c>
      <c r="F423" t="s">
        <v>18</v>
      </c>
      <c r="G423">
        <f t="shared" si="22"/>
        <v>-0.9</v>
      </c>
      <c r="H423" t="str">
        <f>VLOOKUP(Tabel1[[#This Row],[categorie]],Lijst!A:B,2,FALSE)</f>
        <v>Variabel</v>
      </c>
      <c r="I423" t="str">
        <f t="shared" si="23"/>
        <v>OK</v>
      </c>
    </row>
    <row r="424" spans="1:9" hidden="1" x14ac:dyDescent="0.3">
      <c r="A424" s="2">
        <v>45714</v>
      </c>
      <c r="B424" t="str">
        <f t="shared" si="21"/>
        <v xml:space="preserve">februari </v>
      </c>
      <c r="C424">
        <v>-25.75</v>
      </c>
      <c r="D424" t="s">
        <v>3</v>
      </c>
      <c r="F424" t="s">
        <v>18</v>
      </c>
      <c r="G424">
        <f t="shared" si="22"/>
        <v>-25.75</v>
      </c>
      <c r="H424" t="str">
        <f>VLOOKUP(Tabel1[[#This Row],[categorie]],Lijst!A:B,2,FALSE)</f>
        <v>Vast</v>
      </c>
      <c r="I424" t="str">
        <f t="shared" si="23"/>
        <v>OK</v>
      </c>
    </row>
    <row r="425" spans="1:9" hidden="1" x14ac:dyDescent="0.3">
      <c r="A425" s="2">
        <v>45714</v>
      </c>
      <c r="B425" t="str">
        <f t="shared" si="21"/>
        <v xml:space="preserve">februari </v>
      </c>
      <c r="C425">
        <v>-113.49</v>
      </c>
      <c r="D425" t="s">
        <v>28</v>
      </c>
      <c r="F425" t="s">
        <v>18</v>
      </c>
      <c r="G425">
        <f t="shared" si="22"/>
        <v>-113.49</v>
      </c>
      <c r="H425" t="str">
        <f>VLOOKUP(Tabel1[[#This Row],[categorie]],Lijst!A:B,2,FALSE)</f>
        <v>Vast</v>
      </c>
      <c r="I425" t="str">
        <f t="shared" si="23"/>
        <v>OK</v>
      </c>
    </row>
    <row r="426" spans="1:9" hidden="1" x14ac:dyDescent="0.3">
      <c r="A426" s="2">
        <v>45715</v>
      </c>
      <c r="B426" t="str">
        <f t="shared" si="21"/>
        <v xml:space="preserve">februari </v>
      </c>
      <c r="C426">
        <v>-0.9</v>
      </c>
      <c r="D426" t="s">
        <v>26</v>
      </c>
      <c r="F426" t="s">
        <v>18</v>
      </c>
      <c r="G426">
        <f t="shared" si="22"/>
        <v>-0.9</v>
      </c>
      <c r="H426" t="str">
        <f>VLOOKUP(Tabel1[[#This Row],[categorie]],Lijst!A:B,2,FALSE)</f>
        <v>Variabel</v>
      </c>
      <c r="I426" t="str">
        <f t="shared" si="23"/>
        <v>OK</v>
      </c>
    </row>
    <row r="427" spans="1:9" hidden="1" x14ac:dyDescent="0.3">
      <c r="A427" s="2">
        <v>45715</v>
      </c>
      <c r="B427" t="str">
        <f t="shared" si="21"/>
        <v xml:space="preserve">februari </v>
      </c>
      <c r="C427">
        <v>-1.5</v>
      </c>
      <c r="D427" t="s">
        <v>26</v>
      </c>
      <c r="F427" t="s">
        <v>18</v>
      </c>
      <c r="G427">
        <f t="shared" si="22"/>
        <v>-1.5</v>
      </c>
      <c r="H427" t="str">
        <f>VLOOKUP(Tabel1[[#This Row],[categorie]],Lijst!A:B,2,FALSE)</f>
        <v>Variabel</v>
      </c>
      <c r="I427" t="str">
        <f t="shared" si="23"/>
        <v>OK</v>
      </c>
    </row>
    <row r="428" spans="1:9" hidden="1" x14ac:dyDescent="0.3">
      <c r="A428" s="2">
        <v>45715</v>
      </c>
      <c r="B428" t="str">
        <f t="shared" si="21"/>
        <v xml:space="preserve">februari </v>
      </c>
      <c r="C428">
        <v>-1.5</v>
      </c>
      <c r="D428" t="s">
        <v>26</v>
      </c>
      <c r="F428" t="s">
        <v>18</v>
      </c>
      <c r="G428">
        <f t="shared" si="22"/>
        <v>-1.5</v>
      </c>
      <c r="H428" t="str">
        <f>VLOOKUP(Tabel1[[#This Row],[categorie]],Lijst!A:B,2,FALSE)</f>
        <v>Variabel</v>
      </c>
      <c r="I428" t="str">
        <f t="shared" si="23"/>
        <v>OK</v>
      </c>
    </row>
    <row r="429" spans="1:9" hidden="1" x14ac:dyDescent="0.3">
      <c r="A429" s="2">
        <v>45715</v>
      </c>
      <c r="B429" t="str">
        <f t="shared" si="21"/>
        <v xml:space="preserve">februari </v>
      </c>
      <c r="C429">
        <v>-4.5999999999999996</v>
      </c>
      <c r="D429" t="s">
        <v>3</v>
      </c>
      <c r="F429" t="s">
        <v>18</v>
      </c>
      <c r="G429">
        <f t="shared" si="22"/>
        <v>-4.5999999999999996</v>
      </c>
      <c r="H429" t="str">
        <f>VLOOKUP(Tabel1[[#This Row],[categorie]],Lijst!A:B,2,FALSE)</f>
        <v>Vast</v>
      </c>
      <c r="I429" t="str">
        <f t="shared" si="23"/>
        <v>OK</v>
      </c>
    </row>
    <row r="430" spans="1:9" hidden="1" x14ac:dyDescent="0.3">
      <c r="A430" s="2">
        <v>45715</v>
      </c>
      <c r="B430" t="str">
        <f t="shared" si="21"/>
        <v xml:space="preserve">februari </v>
      </c>
      <c r="C430">
        <v>-1.5</v>
      </c>
      <c r="D430" t="s">
        <v>26</v>
      </c>
      <c r="F430" t="s">
        <v>18</v>
      </c>
      <c r="G430">
        <f t="shared" si="22"/>
        <v>-1.5</v>
      </c>
      <c r="H430" t="str">
        <f>VLOOKUP(Tabel1[[#This Row],[categorie]],Lijst!A:B,2,FALSE)</f>
        <v>Variabel</v>
      </c>
      <c r="I430" t="str">
        <f t="shared" si="23"/>
        <v>OK</v>
      </c>
    </row>
    <row r="431" spans="1:9" hidden="1" x14ac:dyDescent="0.3">
      <c r="A431" s="2">
        <v>45715</v>
      </c>
      <c r="B431" t="str">
        <f t="shared" si="21"/>
        <v xml:space="preserve">februari </v>
      </c>
      <c r="C431">
        <v>-60</v>
      </c>
      <c r="D431" t="s">
        <v>27</v>
      </c>
      <c r="F431" t="s">
        <v>18</v>
      </c>
      <c r="G431">
        <f t="shared" si="22"/>
        <v>-60</v>
      </c>
      <c r="H431" t="str">
        <f>VLOOKUP(Tabel1[[#This Row],[categorie]],Lijst!A:B,2,FALSE)</f>
        <v>Variabel</v>
      </c>
      <c r="I431" t="str">
        <f t="shared" si="23"/>
        <v>OK</v>
      </c>
    </row>
    <row r="432" spans="1:9" hidden="1" x14ac:dyDescent="0.3">
      <c r="A432" s="2">
        <v>45715</v>
      </c>
      <c r="B432" t="str">
        <f t="shared" si="21"/>
        <v xml:space="preserve">februari </v>
      </c>
      <c r="C432">
        <v>-5.7</v>
      </c>
      <c r="D432" t="s">
        <v>3</v>
      </c>
      <c r="F432" t="s">
        <v>18</v>
      </c>
      <c r="G432">
        <f t="shared" si="22"/>
        <v>-5.7</v>
      </c>
      <c r="H432" t="str">
        <f>VLOOKUP(Tabel1[[#This Row],[categorie]],Lijst!A:B,2,FALSE)</f>
        <v>Vast</v>
      </c>
      <c r="I432" t="str">
        <f t="shared" si="23"/>
        <v>OK</v>
      </c>
    </row>
    <row r="433" spans="1:9" hidden="1" x14ac:dyDescent="0.3">
      <c r="A433" s="2">
        <v>45715</v>
      </c>
      <c r="B433" t="str">
        <f t="shared" si="21"/>
        <v xml:space="preserve">februari </v>
      </c>
      <c r="C433">
        <v>-11.5</v>
      </c>
      <c r="D433" t="s">
        <v>3</v>
      </c>
      <c r="F433" t="s">
        <v>18</v>
      </c>
      <c r="G433">
        <f t="shared" si="22"/>
        <v>-11.5</v>
      </c>
      <c r="H433" t="str">
        <f>VLOOKUP(Tabel1[[#This Row],[categorie]],Lijst!A:B,2,FALSE)</f>
        <v>Vast</v>
      </c>
      <c r="I433" t="str">
        <f t="shared" si="23"/>
        <v>OK</v>
      </c>
    </row>
    <row r="434" spans="1:9" hidden="1" x14ac:dyDescent="0.3">
      <c r="A434" s="2">
        <v>45715</v>
      </c>
      <c r="B434" t="str">
        <f t="shared" si="21"/>
        <v xml:space="preserve">februari </v>
      </c>
      <c r="C434">
        <v>-6.54</v>
      </c>
      <c r="D434" t="s">
        <v>3</v>
      </c>
      <c r="F434" t="s">
        <v>18</v>
      </c>
      <c r="G434">
        <f t="shared" si="22"/>
        <v>-6.54</v>
      </c>
      <c r="H434" t="str">
        <f>VLOOKUP(Tabel1[[#This Row],[categorie]],Lijst!A:B,2,FALSE)</f>
        <v>Vast</v>
      </c>
      <c r="I434" t="str">
        <f t="shared" si="23"/>
        <v>OK</v>
      </c>
    </row>
    <row r="435" spans="1:9" hidden="1" x14ac:dyDescent="0.3">
      <c r="A435" s="2">
        <v>45716</v>
      </c>
      <c r="B435" t="str">
        <f t="shared" si="21"/>
        <v xml:space="preserve">februari </v>
      </c>
      <c r="C435">
        <v>-1.5</v>
      </c>
      <c r="D435" t="s">
        <v>19</v>
      </c>
      <c r="F435" t="s">
        <v>18</v>
      </c>
      <c r="G435">
        <f t="shared" si="22"/>
        <v>-1.5</v>
      </c>
      <c r="H435" t="str">
        <f>VLOOKUP(Tabel1[[#This Row],[categorie]],Lijst!A:B,2,FALSE)</f>
        <v>Vast</v>
      </c>
      <c r="I435" t="str">
        <f t="shared" si="23"/>
        <v>OK</v>
      </c>
    </row>
    <row r="436" spans="1:9" hidden="1" x14ac:dyDescent="0.3">
      <c r="A436" s="2">
        <v>45716</v>
      </c>
      <c r="B436" t="str">
        <f t="shared" si="21"/>
        <v xml:space="preserve">februari </v>
      </c>
      <c r="C436">
        <v>-1.5</v>
      </c>
      <c r="D436" t="s">
        <v>26</v>
      </c>
      <c r="F436" t="s">
        <v>18</v>
      </c>
      <c r="G436">
        <f t="shared" si="22"/>
        <v>-1.5</v>
      </c>
      <c r="H436" t="str">
        <f>VLOOKUP(Tabel1[[#This Row],[categorie]],Lijst!A:B,2,FALSE)</f>
        <v>Variabel</v>
      </c>
      <c r="I436" t="str">
        <f t="shared" si="23"/>
        <v>OK</v>
      </c>
    </row>
    <row r="437" spans="1:9" hidden="1" x14ac:dyDescent="0.3">
      <c r="A437" s="2">
        <v>45716</v>
      </c>
      <c r="B437" t="str">
        <f t="shared" si="21"/>
        <v xml:space="preserve">februari </v>
      </c>
      <c r="C437">
        <v>-21.95</v>
      </c>
      <c r="D437" t="s">
        <v>3</v>
      </c>
      <c r="F437" t="s">
        <v>18</v>
      </c>
      <c r="G437">
        <f t="shared" si="22"/>
        <v>-21.95</v>
      </c>
      <c r="H437" t="str">
        <f>VLOOKUP(Tabel1[[#This Row],[categorie]],Lijst!A:B,2,FALSE)</f>
        <v>Vast</v>
      </c>
      <c r="I437" t="str">
        <f t="shared" si="23"/>
        <v>OK</v>
      </c>
    </row>
    <row r="438" spans="1:9" hidden="1" x14ac:dyDescent="0.3">
      <c r="A438" s="2">
        <v>45716</v>
      </c>
      <c r="B438" t="str">
        <f t="shared" si="21"/>
        <v xml:space="preserve">februari </v>
      </c>
      <c r="C438">
        <v>-12.52</v>
      </c>
      <c r="D438" t="s">
        <v>3</v>
      </c>
      <c r="F438" t="s">
        <v>18</v>
      </c>
      <c r="G438">
        <f t="shared" si="22"/>
        <v>-12.52</v>
      </c>
      <c r="H438" t="str">
        <f>VLOOKUP(Tabel1[[#This Row],[categorie]],Lijst!A:B,2,FALSE)</f>
        <v>Vast</v>
      </c>
      <c r="I438" t="str">
        <f t="shared" si="23"/>
        <v>OK</v>
      </c>
    </row>
    <row r="439" spans="1:9" hidden="1" x14ac:dyDescent="0.3">
      <c r="A439" s="2">
        <v>45716</v>
      </c>
      <c r="B439" t="str">
        <f t="shared" si="21"/>
        <v xml:space="preserve">februari </v>
      </c>
      <c r="C439">
        <v>-1.5</v>
      </c>
      <c r="D439" t="s">
        <v>26</v>
      </c>
      <c r="F439" t="s">
        <v>18</v>
      </c>
      <c r="G439">
        <f t="shared" si="22"/>
        <v>-1.5</v>
      </c>
      <c r="H439" t="str">
        <f>VLOOKUP(Tabel1[[#This Row],[categorie]],Lijst!A:B,2,FALSE)</f>
        <v>Variabel</v>
      </c>
      <c r="I439" t="str">
        <f t="shared" si="23"/>
        <v>OK</v>
      </c>
    </row>
    <row r="440" spans="1:9" hidden="1" x14ac:dyDescent="0.3">
      <c r="A440" s="2">
        <v>45716</v>
      </c>
      <c r="B440" t="str">
        <f t="shared" si="21"/>
        <v xml:space="preserve">februari </v>
      </c>
      <c r="C440">
        <v>-12.76</v>
      </c>
      <c r="D440" t="s">
        <v>35</v>
      </c>
      <c r="F440" t="s">
        <v>18</v>
      </c>
      <c r="G440">
        <f t="shared" si="22"/>
        <v>-12.76</v>
      </c>
      <c r="H440" t="str">
        <f>VLOOKUP(Tabel1[[#This Row],[categorie]],Lijst!A:B,2,FALSE)</f>
        <v>Variabel</v>
      </c>
      <c r="I440" t="str">
        <f t="shared" si="23"/>
        <v>OK</v>
      </c>
    </row>
    <row r="441" spans="1:9" hidden="1" x14ac:dyDescent="0.3">
      <c r="A441" s="2">
        <v>45716</v>
      </c>
      <c r="B441" t="str">
        <f t="shared" si="21"/>
        <v xml:space="preserve">februari </v>
      </c>
      <c r="C441">
        <v>5.6</v>
      </c>
      <c r="D441" t="s">
        <v>75</v>
      </c>
      <c r="F441" t="s">
        <v>17</v>
      </c>
      <c r="G441">
        <f t="shared" si="22"/>
        <v>5.6</v>
      </c>
      <c r="H441" t="str">
        <f>VLOOKUP(Tabel1[[#This Row],[categorie]],Lijst!A:B,2,FALSE)</f>
        <v>Variabel</v>
      </c>
      <c r="I441" t="str">
        <f t="shared" si="23"/>
        <v>OK</v>
      </c>
    </row>
    <row r="442" spans="1:9" hidden="1" x14ac:dyDescent="0.3">
      <c r="A442" s="2">
        <v>45716</v>
      </c>
      <c r="B442" t="str">
        <f t="shared" si="21"/>
        <v xml:space="preserve">februari </v>
      </c>
      <c r="C442">
        <v>4.5999999999999996</v>
      </c>
      <c r="D442" t="s">
        <v>75</v>
      </c>
      <c r="F442" t="s">
        <v>17</v>
      </c>
      <c r="G442">
        <f t="shared" si="22"/>
        <v>4.5999999999999996</v>
      </c>
      <c r="H442" t="str">
        <f>VLOOKUP(Tabel1[[#This Row],[categorie]],Lijst!A:B,2,FALSE)</f>
        <v>Variabel</v>
      </c>
      <c r="I442" t="str">
        <f t="shared" si="23"/>
        <v>OK</v>
      </c>
    </row>
    <row r="443" spans="1:9" hidden="1" x14ac:dyDescent="0.3">
      <c r="A443" s="2">
        <v>45716</v>
      </c>
      <c r="B443" t="str">
        <f t="shared" si="21"/>
        <v xml:space="preserve">februari </v>
      </c>
      <c r="C443">
        <v>-44.64</v>
      </c>
      <c r="D443" t="str" cm="1">
        <f t="array" ref="D443">IFERROR(
  _xlfn.XLOOKUP(TRUE, ISNUMBER(FIND(Trefwoorden!$A$2:$A$99, E443)), Trefwoorden!$B$2:$B$99),
  "Onbekend"
)</f>
        <v>Hospitalisatie</v>
      </c>
      <c r="E443" t="s">
        <v>133</v>
      </c>
      <c r="F443" t="s">
        <v>18</v>
      </c>
      <c r="G443">
        <f t="shared" si="22"/>
        <v>-44.64</v>
      </c>
      <c r="H443" t="str">
        <f>VLOOKUP(Tabel1[[#This Row],[categorie]],Lijst!A:B,2,FALSE)</f>
        <v>Vast</v>
      </c>
      <c r="I443" t="str">
        <f t="shared" si="23"/>
        <v>OK</v>
      </c>
    </row>
    <row r="444" spans="1:9" hidden="1" x14ac:dyDescent="0.3">
      <c r="A444" s="2">
        <v>45716</v>
      </c>
      <c r="B444" t="str">
        <f t="shared" si="21"/>
        <v xml:space="preserve">februari </v>
      </c>
      <c r="C444">
        <v>-586.12</v>
      </c>
      <c r="D444" t="s">
        <v>73</v>
      </c>
      <c r="F444" t="s">
        <v>18</v>
      </c>
      <c r="G444">
        <f t="shared" si="22"/>
        <v>-586.12</v>
      </c>
      <c r="H444" t="str">
        <f>VLOOKUP(Tabel1[[#This Row],[categorie]],Lijst!A:B,2,FALSE)</f>
        <v>Vast</v>
      </c>
      <c r="I444" t="str">
        <f t="shared" si="23"/>
        <v>OK</v>
      </c>
    </row>
    <row r="445" spans="1:9" hidden="1" x14ac:dyDescent="0.3">
      <c r="A445" s="2">
        <v>45717</v>
      </c>
      <c r="B445" t="str">
        <f t="shared" si="21"/>
        <v xml:space="preserve">maart </v>
      </c>
      <c r="C445">
        <v>2562.54</v>
      </c>
      <c r="D445" t="s">
        <v>83</v>
      </c>
      <c r="F445" t="s">
        <v>17</v>
      </c>
      <c r="G445">
        <f t="shared" si="22"/>
        <v>2562.54</v>
      </c>
      <c r="H445" t="str">
        <f>VLOOKUP(Tabel1[[#This Row],[categorie]],Lijst!A:B,2,FALSE)</f>
        <v>Inkomsten</v>
      </c>
      <c r="I445" t="str">
        <f t="shared" si="23"/>
        <v>OK</v>
      </c>
    </row>
    <row r="446" spans="1:9" hidden="1" x14ac:dyDescent="0.3">
      <c r="A446" s="2">
        <v>45717</v>
      </c>
      <c r="B446" t="str">
        <f t="shared" si="21"/>
        <v xml:space="preserve">maart </v>
      </c>
      <c r="C446">
        <v>2983.48</v>
      </c>
      <c r="D446" t="s">
        <v>83</v>
      </c>
      <c r="F446" t="s">
        <v>17</v>
      </c>
      <c r="G446">
        <f t="shared" si="22"/>
        <v>2983.48</v>
      </c>
      <c r="H446" t="str">
        <f>VLOOKUP(Tabel1[[#This Row],[categorie]],Lijst!A:B,2,FALSE)</f>
        <v>Inkomsten</v>
      </c>
      <c r="I446" t="str">
        <f t="shared" si="23"/>
        <v>OK</v>
      </c>
    </row>
    <row r="447" spans="1:9" hidden="1" x14ac:dyDescent="0.3">
      <c r="A447" s="2">
        <v>45717</v>
      </c>
      <c r="B447" t="str">
        <f t="shared" si="21"/>
        <v xml:space="preserve">maart </v>
      </c>
      <c r="C447">
        <v>-26.5</v>
      </c>
      <c r="D447" t="s">
        <v>69</v>
      </c>
      <c r="F447" t="s">
        <v>18</v>
      </c>
      <c r="G447">
        <f t="shared" si="22"/>
        <v>-26.5</v>
      </c>
      <c r="H447" t="str">
        <f>VLOOKUP(Tabel1[[#This Row],[categorie]],Lijst!A:B,2,FALSE)</f>
        <v>Variabel</v>
      </c>
      <c r="I447" t="str">
        <f t="shared" si="23"/>
        <v>OK</v>
      </c>
    </row>
    <row r="448" spans="1:9" hidden="1" x14ac:dyDescent="0.3">
      <c r="A448" s="2">
        <v>45717</v>
      </c>
      <c r="B448" t="str">
        <f t="shared" si="21"/>
        <v xml:space="preserve">maart </v>
      </c>
      <c r="C448">
        <v>-18.149999999999999</v>
      </c>
      <c r="D448" t="s">
        <v>48</v>
      </c>
      <c r="F448" t="s">
        <v>18</v>
      </c>
      <c r="G448">
        <f t="shared" si="22"/>
        <v>-18.149999999999999</v>
      </c>
      <c r="H448" t="str">
        <f>VLOOKUP(Tabel1[[#This Row],[categorie]],Lijst!A:B,2,FALSE)</f>
        <v>Variabel</v>
      </c>
      <c r="I448" t="str">
        <f t="shared" si="23"/>
        <v>OK</v>
      </c>
    </row>
    <row r="449" spans="1:9" hidden="1" x14ac:dyDescent="0.3">
      <c r="A449" s="2">
        <v>45717</v>
      </c>
      <c r="B449" t="str">
        <f t="shared" si="21"/>
        <v xml:space="preserve">maart </v>
      </c>
      <c r="C449">
        <v>-25</v>
      </c>
      <c r="D449" t="s">
        <v>43</v>
      </c>
      <c r="F449" t="s">
        <v>18</v>
      </c>
      <c r="G449">
        <f t="shared" si="22"/>
        <v>-25</v>
      </c>
      <c r="H449" t="str">
        <f>VLOOKUP(Tabel1[[#This Row],[categorie]],Lijst!A:B,2,FALSE)</f>
        <v>Vast</v>
      </c>
      <c r="I449" t="str">
        <f t="shared" si="23"/>
        <v>OK</v>
      </c>
    </row>
    <row r="450" spans="1:9" hidden="1" x14ac:dyDescent="0.3">
      <c r="A450" s="2">
        <v>45719</v>
      </c>
      <c r="B450" t="str">
        <f t="shared" si="21"/>
        <v xml:space="preserve">maart </v>
      </c>
      <c r="C450">
        <v>-98.1</v>
      </c>
      <c r="D450" t="s">
        <v>9</v>
      </c>
      <c r="F450" t="s">
        <v>18</v>
      </c>
      <c r="G450">
        <f t="shared" si="22"/>
        <v>-98.1</v>
      </c>
      <c r="H450" t="str">
        <f>VLOOKUP(Tabel1[[#This Row],[categorie]],Lijst!A:B,2,FALSE)</f>
        <v>Variabel</v>
      </c>
      <c r="I450" t="str">
        <f t="shared" si="23"/>
        <v>OK</v>
      </c>
    </row>
    <row r="451" spans="1:9" hidden="1" x14ac:dyDescent="0.3">
      <c r="A451" s="2">
        <v>45719</v>
      </c>
      <c r="B451" t="str">
        <f t="shared" si="21"/>
        <v xml:space="preserve">maart </v>
      </c>
      <c r="C451">
        <v>-35.4</v>
      </c>
      <c r="D451" t="s">
        <v>9</v>
      </c>
      <c r="F451" t="s">
        <v>18</v>
      </c>
      <c r="G451">
        <f t="shared" si="22"/>
        <v>-35.4</v>
      </c>
      <c r="H451" t="str">
        <f>VLOOKUP(Tabel1[[#This Row],[categorie]],Lijst!A:B,2,FALSE)</f>
        <v>Variabel</v>
      </c>
      <c r="I451" t="str">
        <f t="shared" si="23"/>
        <v>OK</v>
      </c>
    </row>
    <row r="452" spans="1:9" hidden="1" x14ac:dyDescent="0.3">
      <c r="A452" s="2">
        <v>45719</v>
      </c>
      <c r="B452" t="str">
        <f t="shared" si="21"/>
        <v xml:space="preserve">maart </v>
      </c>
      <c r="C452">
        <v>-24</v>
      </c>
      <c r="D452" t="s">
        <v>75</v>
      </c>
      <c r="F452" t="s">
        <v>18</v>
      </c>
      <c r="G452">
        <f t="shared" si="22"/>
        <v>-24</v>
      </c>
      <c r="H452" t="str">
        <f>VLOOKUP(Tabel1[[#This Row],[categorie]],Lijst!A:B,2,FALSE)</f>
        <v>Variabel</v>
      </c>
      <c r="I452" t="str">
        <f t="shared" si="23"/>
        <v>OK</v>
      </c>
    </row>
    <row r="453" spans="1:9" hidden="1" x14ac:dyDescent="0.3">
      <c r="A453" s="2">
        <v>45719</v>
      </c>
      <c r="B453" t="str">
        <f t="shared" si="21"/>
        <v xml:space="preserve">maart </v>
      </c>
      <c r="C453">
        <v>-29</v>
      </c>
      <c r="D453" t="s">
        <v>3</v>
      </c>
      <c r="F453" t="s">
        <v>18</v>
      </c>
      <c r="G453">
        <f t="shared" si="22"/>
        <v>-29</v>
      </c>
      <c r="H453" t="str">
        <f>VLOOKUP(Tabel1[[#This Row],[categorie]],Lijst!A:B,2,FALSE)</f>
        <v>Vast</v>
      </c>
      <c r="I453" t="str">
        <f t="shared" si="23"/>
        <v>OK</v>
      </c>
    </row>
    <row r="454" spans="1:9" hidden="1" x14ac:dyDescent="0.3">
      <c r="A454" s="2">
        <v>45719</v>
      </c>
      <c r="B454" t="str">
        <f t="shared" si="21"/>
        <v xml:space="preserve">maart </v>
      </c>
      <c r="C454">
        <v>-30.88</v>
      </c>
      <c r="D454" t="s">
        <v>14</v>
      </c>
      <c r="F454" t="s">
        <v>18</v>
      </c>
      <c r="G454">
        <f t="shared" si="22"/>
        <v>-30.88</v>
      </c>
      <c r="H454" t="str">
        <f>VLOOKUP(Tabel1[[#This Row],[categorie]],Lijst!A:B,2,FALSE)</f>
        <v>Variabel</v>
      </c>
      <c r="I454" t="str">
        <f t="shared" si="23"/>
        <v>OK</v>
      </c>
    </row>
    <row r="455" spans="1:9" hidden="1" x14ac:dyDescent="0.3">
      <c r="A455" s="2">
        <v>45719</v>
      </c>
      <c r="B455" t="str">
        <f t="shared" si="21"/>
        <v xml:space="preserve">maart </v>
      </c>
      <c r="C455">
        <v>-0.02</v>
      </c>
      <c r="D455" t="s">
        <v>39</v>
      </c>
      <c r="F455" t="s">
        <v>18</v>
      </c>
      <c r="G455">
        <f t="shared" si="22"/>
        <v>-0.02</v>
      </c>
      <c r="H455" t="str">
        <f>VLOOKUP(Tabel1[[#This Row],[categorie]],Lijst!A:B,2,FALSE)</f>
        <v>Vast</v>
      </c>
      <c r="I455" t="str">
        <f t="shared" si="23"/>
        <v>OK</v>
      </c>
    </row>
    <row r="456" spans="1:9" hidden="1" x14ac:dyDescent="0.3">
      <c r="A456" s="2">
        <v>45719</v>
      </c>
      <c r="B456" t="str">
        <f t="shared" si="21"/>
        <v xml:space="preserve">maart </v>
      </c>
      <c r="C456">
        <v>-23.11</v>
      </c>
      <c r="D456" t="s">
        <v>3</v>
      </c>
      <c r="F456" t="s">
        <v>18</v>
      </c>
      <c r="G456">
        <f t="shared" si="22"/>
        <v>-23.11</v>
      </c>
      <c r="H456" t="str">
        <f>VLOOKUP(Tabel1[[#This Row],[categorie]],Lijst!A:B,2,FALSE)</f>
        <v>Vast</v>
      </c>
      <c r="I456" t="str">
        <f t="shared" si="23"/>
        <v>OK</v>
      </c>
    </row>
    <row r="457" spans="1:9" hidden="1" x14ac:dyDescent="0.3">
      <c r="A457" s="2">
        <v>45719</v>
      </c>
      <c r="B457" t="str">
        <f t="shared" si="21"/>
        <v xml:space="preserve">maart </v>
      </c>
      <c r="C457">
        <v>-5.68</v>
      </c>
      <c r="D457" t="s">
        <v>3</v>
      </c>
      <c r="F457" t="s">
        <v>18</v>
      </c>
      <c r="G457">
        <f t="shared" si="22"/>
        <v>-5.68</v>
      </c>
      <c r="H457" t="str">
        <f>VLOOKUP(Tabel1[[#This Row],[categorie]],Lijst!A:B,2,FALSE)</f>
        <v>Vast</v>
      </c>
      <c r="I457" t="str">
        <f t="shared" si="23"/>
        <v>OK</v>
      </c>
    </row>
    <row r="458" spans="1:9" hidden="1" x14ac:dyDescent="0.3">
      <c r="A458" s="2">
        <v>45719</v>
      </c>
      <c r="B458" t="str">
        <f t="shared" si="21"/>
        <v xml:space="preserve">maart </v>
      </c>
      <c r="C458">
        <v>-23.56</v>
      </c>
      <c r="D458" t="s">
        <v>3</v>
      </c>
      <c r="F458" t="s">
        <v>18</v>
      </c>
      <c r="G458">
        <f t="shared" si="22"/>
        <v>-23.56</v>
      </c>
      <c r="H458" t="str">
        <f>VLOOKUP(Tabel1[[#This Row],[categorie]],Lijst!A:B,2,FALSE)</f>
        <v>Vast</v>
      </c>
      <c r="I458" t="str">
        <f t="shared" si="23"/>
        <v>OK</v>
      </c>
    </row>
    <row r="459" spans="1:9" hidden="1" x14ac:dyDescent="0.3">
      <c r="A459" s="2">
        <v>45719</v>
      </c>
      <c r="B459" t="str">
        <f t="shared" si="21"/>
        <v xml:space="preserve">maart </v>
      </c>
      <c r="C459">
        <v>-4.09</v>
      </c>
      <c r="D459" t="s">
        <v>3</v>
      </c>
      <c r="F459" t="s">
        <v>18</v>
      </c>
      <c r="G459">
        <f t="shared" si="22"/>
        <v>-4.09</v>
      </c>
      <c r="H459" t="str">
        <f>VLOOKUP(Tabel1[[#This Row],[categorie]],Lijst!A:B,2,FALSE)</f>
        <v>Vast</v>
      </c>
      <c r="I459" t="str">
        <f t="shared" si="23"/>
        <v>OK</v>
      </c>
    </row>
    <row r="460" spans="1:9" hidden="1" x14ac:dyDescent="0.3">
      <c r="A460" s="2">
        <v>45719</v>
      </c>
      <c r="B460" t="str">
        <f t="shared" si="21"/>
        <v xml:space="preserve">maart </v>
      </c>
      <c r="C460">
        <v>-0.99</v>
      </c>
      <c r="D460" t="s">
        <v>3</v>
      </c>
      <c r="F460" t="s">
        <v>18</v>
      </c>
      <c r="G460">
        <f t="shared" si="22"/>
        <v>-0.99</v>
      </c>
      <c r="H460" t="str">
        <f>VLOOKUP(Tabel1[[#This Row],[categorie]],Lijst!A:B,2,FALSE)</f>
        <v>Vast</v>
      </c>
      <c r="I460" t="str">
        <f t="shared" si="23"/>
        <v>OK</v>
      </c>
    </row>
    <row r="461" spans="1:9" hidden="1" x14ac:dyDescent="0.3">
      <c r="A461" s="2">
        <v>45719</v>
      </c>
      <c r="B461" t="str">
        <f t="shared" si="21"/>
        <v xml:space="preserve">maart </v>
      </c>
      <c r="C461">
        <v>-9.09</v>
      </c>
      <c r="D461" t="s">
        <v>3</v>
      </c>
      <c r="F461" t="s">
        <v>18</v>
      </c>
      <c r="G461">
        <f t="shared" si="22"/>
        <v>-9.09</v>
      </c>
      <c r="H461" t="str">
        <f>VLOOKUP(Tabel1[[#This Row],[categorie]],Lijst!A:B,2,FALSE)</f>
        <v>Vast</v>
      </c>
      <c r="I461" t="str">
        <f t="shared" si="23"/>
        <v>OK</v>
      </c>
    </row>
    <row r="462" spans="1:9" hidden="1" x14ac:dyDescent="0.3">
      <c r="A462" s="2">
        <v>45719</v>
      </c>
      <c r="B462" t="str">
        <f t="shared" si="21"/>
        <v xml:space="preserve">maart </v>
      </c>
      <c r="C462">
        <v>-40.799999999999997</v>
      </c>
      <c r="D462" t="s">
        <v>68</v>
      </c>
      <c r="F462" t="s">
        <v>18</v>
      </c>
      <c r="G462">
        <f t="shared" si="22"/>
        <v>-40.799999999999997</v>
      </c>
      <c r="H462" t="str">
        <f>VLOOKUP(Tabel1[[#This Row],[categorie]],Lijst!A:B,2,FALSE)</f>
        <v>Variabel</v>
      </c>
      <c r="I462" t="str">
        <f t="shared" si="23"/>
        <v>OK</v>
      </c>
    </row>
    <row r="463" spans="1:9" hidden="1" x14ac:dyDescent="0.3">
      <c r="A463" s="2">
        <v>45719</v>
      </c>
      <c r="B463" t="str">
        <f t="shared" si="21"/>
        <v xml:space="preserve">maart </v>
      </c>
      <c r="C463">
        <v>-54.67</v>
      </c>
      <c r="D463" t="s">
        <v>35</v>
      </c>
      <c r="F463" t="s">
        <v>18</v>
      </c>
      <c r="G463">
        <f t="shared" si="22"/>
        <v>-54.67</v>
      </c>
      <c r="H463" t="str">
        <f>VLOOKUP(Tabel1[[#This Row],[categorie]],Lijst!A:B,2,FALSE)</f>
        <v>Variabel</v>
      </c>
      <c r="I463" t="str">
        <f t="shared" si="23"/>
        <v>OK</v>
      </c>
    </row>
    <row r="464" spans="1:9" hidden="1" x14ac:dyDescent="0.3">
      <c r="A464" s="2">
        <v>45719</v>
      </c>
      <c r="B464" t="str">
        <f t="shared" si="21"/>
        <v xml:space="preserve">maart </v>
      </c>
      <c r="C464">
        <v>-7.06</v>
      </c>
      <c r="D464" t="s">
        <v>13</v>
      </c>
      <c r="F464" t="s">
        <v>18</v>
      </c>
      <c r="G464">
        <f t="shared" si="22"/>
        <v>-7.06</v>
      </c>
      <c r="H464" t="str">
        <f>VLOOKUP(Tabel1[[#This Row],[categorie]],Lijst!A:B,2,FALSE)</f>
        <v>Vast</v>
      </c>
      <c r="I464" t="str">
        <f t="shared" si="23"/>
        <v>OK</v>
      </c>
    </row>
    <row r="465" spans="1:9" hidden="1" x14ac:dyDescent="0.3">
      <c r="A465" s="2">
        <v>45719</v>
      </c>
      <c r="B465" t="str">
        <f t="shared" si="21"/>
        <v xml:space="preserve">maart </v>
      </c>
      <c r="C465">
        <v>-5</v>
      </c>
      <c r="D465" t="s">
        <v>13</v>
      </c>
      <c r="F465" t="s">
        <v>18</v>
      </c>
      <c r="G465">
        <f t="shared" si="22"/>
        <v>-5</v>
      </c>
      <c r="H465" t="str">
        <f>VLOOKUP(Tabel1[[#This Row],[categorie]],Lijst!A:B,2,FALSE)</f>
        <v>Vast</v>
      </c>
      <c r="I465" t="str">
        <f t="shared" si="23"/>
        <v>OK</v>
      </c>
    </row>
    <row r="466" spans="1:9" hidden="1" x14ac:dyDescent="0.3">
      <c r="A466" s="2">
        <v>45719</v>
      </c>
      <c r="B466" t="str">
        <f t="shared" si="21"/>
        <v xml:space="preserve">maart </v>
      </c>
      <c r="C466">
        <v>-4.71</v>
      </c>
      <c r="D466" t="s">
        <v>13</v>
      </c>
      <c r="F466" t="s">
        <v>18</v>
      </c>
      <c r="G466">
        <f t="shared" si="22"/>
        <v>-4.71</v>
      </c>
      <c r="H466" t="str">
        <f>VLOOKUP(Tabel1[[#This Row],[categorie]],Lijst!A:B,2,FALSE)</f>
        <v>Vast</v>
      </c>
      <c r="I466" t="str">
        <f t="shared" si="23"/>
        <v>OK</v>
      </c>
    </row>
    <row r="467" spans="1:9" hidden="1" x14ac:dyDescent="0.3">
      <c r="A467" s="2">
        <v>45719</v>
      </c>
      <c r="B467" t="str">
        <f t="shared" si="21"/>
        <v xml:space="preserve">maart </v>
      </c>
      <c r="C467">
        <v>-5</v>
      </c>
      <c r="D467" t="s">
        <v>13</v>
      </c>
      <c r="F467" t="s">
        <v>18</v>
      </c>
      <c r="G467">
        <f t="shared" si="22"/>
        <v>-5</v>
      </c>
      <c r="H467" t="str">
        <f>VLOOKUP(Tabel1[[#This Row],[categorie]],Lijst!A:B,2,FALSE)</f>
        <v>Vast</v>
      </c>
      <c r="I467" t="str">
        <f t="shared" si="23"/>
        <v>OK</v>
      </c>
    </row>
    <row r="468" spans="1:9" hidden="1" x14ac:dyDescent="0.3">
      <c r="A468" s="2">
        <v>45719</v>
      </c>
      <c r="B468" t="str">
        <f t="shared" si="21"/>
        <v xml:space="preserve">maart </v>
      </c>
      <c r="C468">
        <v>-21.64</v>
      </c>
      <c r="D468" t="s">
        <v>14</v>
      </c>
      <c r="F468" t="s">
        <v>18</v>
      </c>
      <c r="G468">
        <f t="shared" si="22"/>
        <v>-21.64</v>
      </c>
      <c r="H468" t="str">
        <f>VLOOKUP(Tabel1[[#This Row],[categorie]],Lijst!A:B,2,FALSE)</f>
        <v>Variabel</v>
      </c>
      <c r="I468" t="str">
        <f t="shared" si="23"/>
        <v>OK</v>
      </c>
    </row>
    <row r="469" spans="1:9" hidden="1" x14ac:dyDescent="0.3">
      <c r="A469" s="2">
        <v>45719</v>
      </c>
      <c r="B469" t="str">
        <f t="shared" si="21"/>
        <v xml:space="preserve">maart </v>
      </c>
      <c r="C469">
        <v>-9.39</v>
      </c>
      <c r="D469" t="s">
        <v>3</v>
      </c>
      <c r="F469" t="s">
        <v>18</v>
      </c>
      <c r="G469">
        <f t="shared" si="22"/>
        <v>-9.39</v>
      </c>
      <c r="H469" t="str">
        <f>VLOOKUP(Tabel1[[#This Row],[categorie]],Lijst!A:B,2,FALSE)</f>
        <v>Vast</v>
      </c>
      <c r="I469" t="str">
        <f t="shared" si="23"/>
        <v>OK</v>
      </c>
    </row>
    <row r="470" spans="1:9" hidden="1" x14ac:dyDescent="0.3">
      <c r="A470" s="2">
        <v>45719</v>
      </c>
      <c r="B470" t="str">
        <f t="shared" si="21"/>
        <v xml:space="preserve">maart </v>
      </c>
      <c r="C470">
        <v>-10.18</v>
      </c>
      <c r="D470" t="s">
        <v>35</v>
      </c>
      <c r="F470" t="s">
        <v>18</v>
      </c>
      <c r="G470">
        <f t="shared" si="22"/>
        <v>-10.18</v>
      </c>
      <c r="H470" t="str">
        <f>VLOOKUP(Tabel1[[#This Row],[categorie]],Lijst!A:B,2,FALSE)</f>
        <v>Variabel</v>
      </c>
      <c r="I470" t="str">
        <f t="shared" si="23"/>
        <v>OK</v>
      </c>
    </row>
    <row r="471" spans="1:9" hidden="1" x14ac:dyDescent="0.3">
      <c r="A471" s="2">
        <v>45719</v>
      </c>
      <c r="B471" t="str">
        <f t="shared" si="21"/>
        <v xml:space="preserve">maart </v>
      </c>
      <c r="C471">
        <v>-3.5</v>
      </c>
      <c r="D471" t="s">
        <v>22</v>
      </c>
      <c r="F471" t="s">
        <v>18</v>
      </c>
      <c r="G471">
        <f t="shared" si="22"/>
        <v>-3.5</v>
      </c>
      <c r="H471" t="str">
        <f>VLOOKUP(Tabel1[[#This Row],[categorie]],Lijst!A:B,2,FALSE)</f>
        <v>Variabel</v>
      </c>
      <c r="I471" t="str">
        <f t="shared" si="23"/>
        <v>OK</v>
      </c>
    </row>
    <row r="472" spans="1:9" hidden="1" x14ac:dyDescent="0.3">
      <c r="A472" s="2">
        <v>45719</v>
      </c>
      <c r="B472" t="str">
        <f t="shared" si="21"/>
        <v xml:space="preserve">maart </v>
      </c>
      <c r="C472">
        <v>-1.0900000000000001</v>
      </c>
      <c r="D472" t="s">
        <v>76</v>
      </c>
      <c r="F472" t="s">
        <v>18</v>
      </c>
      <c r="G472">
        <f t="shared" si="22"/>
        <v>-1.0900000000000001</v>
      </c>
      <c r="H472" t="str">
        <f>VLOOKUP(Tabel1[[#This Row],[categorie]],Lijst!A:B,2,FALSE)</f>
        <v>Variabel</v>
      </c>
      <c r="I472" t="str">
        <f t="shared" si="23"/>
        <v>OK</v>
      </c>
    </row>
    <row r="473" spans="1:9" hidden="1" x14ac:dyDescent="0.3">
      <c r="A473" s="2">
        <v>45719</v>
      </c>
      <c r="B473" t="str">
        <f t="shared" si="21"/>
        <v xml:space="preserve">maart </v>
      </c>
      <c r="C473">
        <v>-17.5</v>
      </c>
      <c r="D473" t="s">
        <v>32</v>
      </c>
      <c r="F473" t="s">
        <v>18</v>
      </c>
      <c r="G473">
        <f t="shared" si="22"/>
        <v>-17.5</v>
      </c>
      <c r="H473" t="str">
        <f>VLOOKUP(Tabel1[[#This Row],[categorie]],Lijst!A:B,2,FALSE)</f>
        <v>Variabel</v>
      </c>
      <c r="I473" t="str">
        <f t="shared" si="23"/>
        <v>OK</v>
      </c>
    </row>
    <row r="474" spans="1:9" hidden="1" x14ac:dyDescent="0.3">
      <c r="A474" s="2">
        <v>45719</v>
      </c>
      <c r="B474" t="str">
        <f t="shared" si="21"/>
        <v xml:space="preserve">maart </v>
      </c>
      <c r="C474">
        <v>-2.36</v>
      </c>
      <c r="D474" t="s">
        <v>13</v>
      </c>
      <c r="F474" t="s">
        <v>18</v>
      </c>
      <c r="G474">
        <f t="shared" si="22"/>
        <v>-2.36</v>
      </c>
      <c r="H474" t="str">
        <f>VLOOKUP(Tabel1[[#This Row],[categorie]],Lijst!A:B,2,FALSE)</f>
        <v>Vast</v>
      </c>
      <c r="I474" t="str">
        <f t="shared" si="23"/>
        <v>OK</v>
      </c>
    </row>
    <row r="475" spans="1:9" hidden="1" x14ac:dyDescent="0.3">
      <c r="A475" s="2">
        <v>45719</v>
      </c>
      <c r="B475" t="str">
        <f t="shared" si="21"/>
        <v xml:space="preserve">maart </v>
      </c>
      <c r="C475">
        <v>-3.99</v>
      </c>
      <c r="D475" t="s">
        <v>3</v>
      </c>
      <c r="F475" t="s">
        <v>18</v>
      </c>
      <c r="G475">
        <f t="shared" si="22"/>
        <v>-3.99</v>
      </c>
      <c r="H475" t="str">
        <f>VLOOKUP(Tabel1[[#This Row],[categorie]],Lijst!A:B,2,FALSE)</f>
        <v>Vast</v>
      </c>
      <c r="I475" t="str">
        <f t="shared" si="23"/>
        <v>OK</v>
      </c>
    </row>
    <row r="476" spans="1:9" hidden="1" x14ac:dyDescent="0.3">
      <c r="A476" s="2">
        <v>45719</v>
      </c>
      <c r="B476" t="str">
        <f t="shared" si="21"/>
        <v xml:space="preserve">maart </v>
      </c>
      <c r="C476">
        <v>-10.32</v>
      </c>
      <c r="D476" t="s">
        <v>35</v>
      </c>
      <c r="F476" t="s">
        <v>18</v>
      </c>
      <c r="G476">
        <f t="shared" si="22"/>
        <v>-10.32</v>
      </c>
      <c r="H476" t="str">
        <f>VLOOKUP(Tabel1[[#This Row],[categorie]],Lijst!A:B,2,FALSE)</f>
        <v>Variabel</v>
      </c>
      <c r="I476" t="str">
        <f t="shared" si="23"/>
        <v>OK</v>
      </c>
    </row>
    <row r="477" spans="1:9" hidden="1" x14ac:dyDescent="0.3">
      <c r="A477" s="2">
        <v>45719</v>
      </c>
      <c r="B477" t="str">
        <f t="shared" si="21"/>
        <v xml:space="preserve">maart </v>
      </c>
      <c r="C477">
        <v>-14.9</v>
      </c>
      <c r="D477" t="s">
        <v>14</v>
      </c>
      <c r="F477" t="s">
        <v>18</v>
      </c>
      <c r="G477">
        <f t="shared" si="22"/>
        <v>-14.9</v>
      </c>
      <c r="H477" t="str">
        <f>VLOOKUP(Tabel1[[#This Row],[categorie]],Lijst!A:B,2,FALSE)</f>
        <v>Variabel</v>
      </c>
      <c r="I477" t="str">
        <f t="shared" si="23"/>
        <v>OK</v>
      </c>
    </row>
    <row r="478" spans="1:9" hidden="1" x14ac:dyDescent="0.3">
      <c r="A478" s="2">
        <v>45719</v>
      </c>
      <c r="B478" t="str">
        <f t="shared" si="21"/>
        <v xml:space="preserve">maart </v>
      </c>
      <c r="C478">
        <v>-25.5</v>
      </c>
      <c r="D478" t="s">
        <v>14</v>
      </c>
      <c r="F478" t="s">
        <v>18</v>
      </c>
      <c r="G478">
        <f t="shared" si="22"/>
        <v>-25.5</v>
      </c>
      <c r="H478" t="str">
        <f>VLOOKUP(Tabel1[[#This Row],[categorie]],Lijst!A:B,2,FALSE)</f>
        <v>Variabel</v>
      </c>
      <c r="I478" t="str">
        <f t="shared" si="23"/>
        <v>OK</v>
      </c>
    </row>
    <row r="479" spans="1:9" hidden="1" x14ac:dyDescent="0.3">
      <c r="A479" s="2">
        <v>45719</v>
      </c>
      <c r="B479" t="str">
        <f t="shared" si="21"/>
        <v xml:space="preserve">maart </v>
      </c>
      <c r="C479">
        <v>9.39</v>
      </c>
      <c r="D479" t="s">
        <v>75</v>
      </c>
      <c r="F479" t="s">
        <v>17</v>
      </c>
      <c r="G479">
        <f t="shared" si="22"/>
        <v>9.39</v>
      </c>
      <c r="H479" t="str">
        <f>VLOOKUP(Tabel1[[#This Row],[categorie]],Lijst!A:B,2,FALSE)</f>
        <v>Variabel</v>
      </c>
      <c r="I479" t="str">
        <f t="shared" si="23"/>
        <v>OK</v>
      </c>
    </row>
    <row r="480" spans="1:9" hidden="1" x14ac:dyDescent="0.3">
      <c r="A480" s="2">
        <v>45719</v>
      </c>
      <c r="B480" t="str">
        <f t="shared" si="21"/>
        <v xml:space="preserve">maart </v>
      </c>
      <c r="C480">
        <v>-66.41</v>
      </c>
      <c r="D480" t="s">
        <v>23</v>
      </c>
      <c r="F480" t="s">
        <v>18</v>
      </c>
      <c r="G480">
        <f t="shared" si="22"/>
        <v>-66.41</v>
      </c>
      <c r="H480" t="str">
        <f>VLOOKUP(Tabel1[[#This Row],[categorie]],Lijst!A:B,2,FALSE)</f>
        <v>Vast</v>
      </c>
      <c r="I480" t="str">
        <f t="shared" si="23"/>
        <v>OK</v>
      </c>
    </row>
    <row r="481" spans="1:9" hidden="1" x14ac:dyDescent="0.3">
      <c r="A481" s="2">
        <v>45719</v>
      </c>
      <c r="B481" t="str">
        <f t="shared" si="21"/>
        <v xml:space="preserve">maart </v>
      </c>
      <c r="C481">
        <v>-40.619999999999997</v>
      </c>
      <c r="D481" t="s">
        <v>209</v>
      </c>
      <c r="F481" t="s">
        <v>18</v>
      </c>
      <c r="G481">
        <f t="shared" si="22"/>
        <v>-40.619999999999997</v>
      </c>
      <c r="H481" t="str">
        <f>VLOOKUP(Tabel1[[#This Row],[categorie]],Lijst!A:B,2,FALSE)</f>
        <v>Vast</v>
      </c>
      <c r="I481" t="str">
        <f t="shared" si="23"/>
        <v>OK</v>
      </c>
    </row>
    <row r="482" spans="1:9" hidden="1" x14ac:dyDescent="0.3">
      <c r="A482" s="2">
        <v>45720</v>
      </c>
      <c r="B482" t="str">
        <f t="shared" si="21"/>
        <v xml:space="preserve">maart </v>
      </c>
      <c r="C482">
        <v>-127.5</v>
      </c>
      <c r="D482" t="s">
        <v>11</v>
      </c>
      <c r="F482" t="s">
        <v>18</v>
      </c>
      <c r="G482">
        <f t="shared" si="22"/>
        <v>-127.5</v>
      </c>
      <c r="H482" t="str">
        <f>VLOOKUP(Tabel1[[#This Row],[categorie]],Lijst!A:B,2,FALSE)</f>
        <v>Vast</v>
      </c>
      <c r="I482" t="str">
        <f t="shared" si="23"/>
        <v>OK</v>
      </c>
    </row>
    <row r="483" spans="1:9" hidden="1" x14ac:dyDescent="0.3">
      <c r="A483" s="2">
        <v>45720</v>
      </c>
      <c r="B483" t="str">
        <f t="shared" ref="B483:B546" si="24">TEXT(A483,"mmmm ")</f>
        <v xml:space="preserve">maart </v>
      </c>
      <c r="C483">
        <v>-9.1999999999999993</v>
      </c>
      <c r="D483" t="s">
        <v>3</v>
      </c>
      <c r="F483" t="s">
        <v>18</v>
      </c>
      <c r="G483">
        <f t="shared" ref="G483:G546" si="25">IF(F483="Uitgave", -ABS(C483), ABS(C483))</f>
        <v>-9.1999999999999993</v>
      </c>
      <c r="H483" t="str">
        <f>VLOOKUP(Tabel1[[#This Row],[categorie]],Lijst!A:B,2,FALSE)</f>
        <v>Vast</v>
      </c>
      <c r="I483" t="str">
        <f t="shared" ref="I483:I546" si="26">IF(OR(AND(F483="Uitgave", C483&lt;0), AND(F483="Inkomst", C483&gt;0)), "OK", "FOUT")</f>
        <v>OK</v>
      </c>
    </row>
    <row r="484" spans="1:9" hidden="1" x14ac:dyDescent="0.3">
      <c r="A484" s="2">
        <v>45720</v>
      </c>
      <c r="B484" t="str">
        <f t="shared" si="24"/>
        <v xml:space="preserve">maart </v>
      </c>
      <c r="C484">
        <v>-0.5</v>
      </c>
      <c r="D484" t="s">
        <v>26</v>
      </c>
      <c r="F484" t="s">
        <v>18</v>
      </c>
      <c r="G484">
        <f t="shared" si="25"/>
        <v>-0.5</v>
      </c>
      <c r="H484" t="str">
        <f>VLOOKUP(Tabel1[[#This Row],[categorie]],Lijst!A:B,2,FALSE)</f>
        <v>Variabel</v>
      </c>
      <c r="I484" t="str">
        <f t="shared" si="26"/>
        <v>OK</v>
      </c>
    </row>
    <row r="485" spans="1:9" hidden="1" x14ac:dyDescent="0.3">
      <c r="A485" s="2">
        <v>45720</v>
      </c>
      <c r="B485" t="str">
        <f t="shared" si="24"/>
        <v xml:space="preserve">maart </v>
      </c>
      <c r="C485">
        <v>-0.5</v>
      </c>
      <c r="D485" t="s">
        <v>26</v>
      </c>
      <c r="F485" t="s">
        <v>18</v>
      </c>
      <c r="G485">
        <f t="shared" si="25"/>
        <v>-0.5</v>
      </c>
      <c r="H485" t="str">
        <f>VLOOKUP(Tabel1[[#This Row],[categorie]],Lijst!A:B,2,FALSE)</f>
        <v>Variabel</v>
      </c>
      <c r="I485" t="str">
        <f t="shared" si="26"/>
        <v>OK</v>
      </c>
    </row>
    <row r="486" spans="1:9" hidden="1" x14ac:dyDescent="0.3">
      <c r="A486" s="2">
        <v>45720</v>
      </c>
      <c r="B486" t="str">
        <f t="shared" si="24"/>
        <v xml:space="preserve">maart </v>
      </c>
      <c r="C486">
        <v>-6.99</v>
      </c>
      <c r="D486" t="s">
        <v>3</v>
      </c>
      <c r="F486" t="s">
        <v>18</v>
      </c>
      <c r="G486">
        <f t="shared" si="25"/>
        <v>-6.99</v>
      </c>
      <c r="H486" t="str">
        <f>VLOOKUP(Tabel1[[#This Row],[categorie]],Lijst!A:B,2,FALSE)</f>
        <v>Vast</v>
      </c>
      <c r="I486" t="str">
        <f t="shared" si="26"/>
        <v>OK</v>
      </c>
    </row>
    <row r="487" spans="1:9" hidden="1" x14ac:dyDescent="0.3">
      <c r="A487" s="2">
        <v>45720</v>
      </c>
      <c r="B487" t="str">
        <f t="shared" si="24"/>
        <v xml:space="preserve">maart </v>
      </c>
      <c r="C487">
        <v>-15.88</v>
      </c>
      <c r="D487" t="s">
        <v>3</v>
      </c>
      <c r="F487" t="s">
        <v>18</v>
      </c>
      <c r="G487">
        <f t="shared" si="25"/>
        <v>-15.88</v>
      </c>
      <c r="H487" t="str">
        <f>VLOOKUP(Tabel1[[#This Row],[categorie]],Lijst!A:B,2,FALSE)</f>
        <v>Vast</v>
      </c>
      <c r="I487" t="str">
        <f t="shared" si="26"/>
        <v>OK</v>
      </c>
    </row>
    <row r="488" spans="1:9" hidden="1" x14ac:dyDescent="0.3">
      <c r="A488" s="2">
        <v>45720</v>
      </c>
      <c r="B488" t="str">
        <f t="shared" si="24"/>
        <v xml:space="preserve">maart </v>
      </c>
      <c r="C488">
        <v>-3.9</v>
      </c>
      <c r="D488" t="s">
        <v>35</v>
      </c>
      <c r="F488" t="s">
        <v>18</v>
      </c>
      <c r="G488">
        <f t="shared" si="25"/>
        <v>-3.9</v>
      </c>
      <c r="H488" t="str">
        <f>VLOOKUP(Tabel1[[#This Row],[categorie]],Lijst!A:B,2,FALSE)</f>
        <v>Variabel</v>
      </c>
      <c r="I488" t="str">
        <f t="shared" si="26"/>
        <v>OK</v>
      </c>
    </row>
    <row r="489" spans="1:9" hidden="1" x14ac:dyDescent="0.3">
      <c r="A489" s="2">
        <v>45720</v>
      </c>
      <c r="B489" t="str">
        <f t="shared" si="24"/>
        <v xml:space="preserve">maart </v>
      </c>
      <c r="C489">
        <v>4.5999999999999996</v>
      </c>
      <c r="D489" t="s">
        <v>75</v>
      </c>
      <c r="F489" t="s">
        <v>17</v>
      </c>
      <c r="G489">
        <f t="shared" si="25"/>
        <v>4.5999999999999996</v>
      </c>
      <c r="H489" t="str">
        <f>VLOOKUP(Tabel1[[#This Row],[categorie]],Lijst!A:B,2,FALSE)</f>
        <v>Variabel</v>
      </c>
      <c r="I489" t="str">
        <f t="shared" si="26"/>
        <v>OK</v>
      </c>
    </row>
    <row r="490" spans="1:9" hidden="1" x14ac:dyDescent="0.3">
      <c r="A490" s="2">
        <v>45720</v>
      </c>
      <c r="B490" t="str">
        <f t="shared" si="24"/>
        <v xml:space="preserve">maart </v>
      </c>
      <c r="C490">
        <v>-20.71</v>
      </c>
      <c r="D490" t="s">
        <v>38</v>
      </c>
      <c r="F490" t="s">
        <v>18</v>
      </c>
      <c r="G490">
        <f t="shared" si="25"/>
        <v>-20.71</v>
      </c>
      <c r="H490" t="str">
        <f>VLOOKUP(Tabel1[[#This Row],[categorie]],Lijst!A:B,2,FALSE)</f>
        <v>Vast</v>
      </c>
      <c r="I490" t="str">
        <f t="shared" si="26"/>
        <v>OK</v>
      </c>
    </row>
    <row r="491" spans="1:9" hidden="1" x14ac:dyDescent="0.3">
      <c r="A491" s="2">
        <v>45721</v>
      </c>
      <c r="B491" t="str">
        <f t="shared" si="24"/>
        <v xml:space="preserve">maart </v>
      </c>
      <c r="C491">
        <v>-4.5999999999999996</v>
      </c>
      <c r="D491" t="s">
        <v>3</v>
      </c>
      <c r="F491" t="s">
        <v>18</v>
      </c>
      <c r="G491">
        <f t="shared" si="25"/>
        <v>-4.5999999999999996</v>
      </c>
      <c r="H491" t="str">
        <f>VLOOKUP(Tabel1[[#This Row],[categorie]],Lijst!A:B,2,FALSE)</f>
        <v>Vast</v>
      </c>
      <c r="I491" t="str">
        <f t="shared" si="26"/>
        <v>OK</v>
      </c>
    </row>
    <row r="492" spans="1:9" hidden="1" x14ac:dyDescent="0.3">
      <c r="A492" s="2">
        <v>45721</v>
      </c>
      <c r="B492" t="str">
        <f t="shared" si="24"/>
        <v xml:space="preserve">maart </v>
      </c>
      <c r="C492">
        <v>-0.9</v>
      </c>
      <c r="D492" t="s">
        <v>26</v>
      </c>
      <c r="F492" t="s">
        <v>18</v>
      </c>
      <c r="G492">
        <f t="shared" si="25"/>
        <v>-0.9</v>
      </c>
      <c r="H492" t="str">
        <f>VLOOKUP(Tabel1[[#This Row],[categorie]],Lijst!A:B,2,FALSE)</f>
        <v>Variabel</v>
      </c>
      <c r="I492" t="str">
        <f t="shared" si="26"/>
        <v>OK</v>
      </c>
    </row>
    <row r="493" spans="1:9" hidden="1" x14ac:dyDescent="0.3">
      <c r="A493" s="2">
        <v>45721</v>
      </c>
      <c r="B493" t="str">
        <f t="shared" si="24"/>
        <v xml:space="preserve">maart </v>
      </c>
      <c r="C493">
        <v>-1.5</v>
      </c>
      <c r="D493" t="s">
        <v>26</v>
      </c>
      <c r="F493" t="s">
        <v>18</v>
      </c>
      <c r="G493">
        <f t="shared" si="25"/>
        <v>-1.5</v>
      </c>
      <c r="H493" t="str">
        <f>VLOOKUP(Tabel1[[#This Row],[categorie]],Lijst!A:B,2,FALSE)</f>
        <v>Variabel</v>
      </c>
      <c r="I493" t="str">
        <f t="shared" si="26"/>
        <v>OK</v>
      </c>
    </row>
    <row r="494" spans="1:9" hidden="1" x14ac:dyDescent="0.3">
      <c r="A494" s="2">
        <v>45721</v>
      </c>
      <c r="B494" t="str">
        <f t="shared" si="24"/>
        <v xml:space="preserve">maart </v>
      </c>
      <c r="C494">
        <v>-4.5999999999999996</v>
      </c>
      <c r="D494" t="s">
        <v>3</v>
      </c>
      <c r="F494" t="s">
        <v>18</v>
      </c>
      <c r="G494">
        <f t="shared" si="25"/>
        <v>-4.5999999999999996</v>
      </c>
      <c r="H494" t="str">
        <f>VLOOKUP(Tabel1[[#This Row],[categorie]],Lijst!A:B,2,FALSE)</f>
        <v>Vast</v>
      </c>
      <c r="I494" t="str">
        <f t="shared" si="26"/>
        <v>OK</v>
      </c>
    </row>
    <row r="495" spans="1:9" hidden="1" x14ac:dyDescent="0.3">
      <c r="A495" s="2">
        <v>45721</v>
      </c>
      <c r="B495" t="str">
        <f t="shared" si="24"/>
        <v xml:space="preserve">maart </v>
      </c>
      <c r="C495">
        <v>-1.48</v>
      </c>
      <c r="D495" t="s">
        <v>3</v>
      </c>
      <c r="F495" t="s">
        <v>18</v>
      </c>
      <c r="G495">
        <f t="shared" si="25"/>
        <v>-1.48</v>
      </c>
      <c r="H495" t="str">
        <f>VLOOKUP(Tabel1[[#This Row],[categorie]],Lijst!A:B,2,FALSE)</f>
        <v>Vast</v>
      </c>
      <c r="I495" t="str">
        <f t="shared" si="26"/>
        <v>OK</v>
      </c>
    </row>
    <row r="496" spans="1:9" hidden="1" x14ac:dyDescent="0.3">
      <c r="A496" s="2">
        <v>45721</v>
      </c>
      <c r="B496" t="str">
        <f t="shared" si="24"/>
        <v xml:space="preserve">maart </v>
      </c>
      <c r="C496">
        <v>6.4</v>
      </c>
      <c r="D496" t="s">
        <v>39</v>
      </c>
      <c r="F496" t="s">
        <v>17</v>
      </c>
      <c r="G496">
        <f t="shared" si="25"/>
        <v>6.4</v>
      </c>
      <c r="H496" t="str">
        <f>VLOOKUP(Tabel1[[#This Row],[categorie]],Lijst!A:B,2,FALSE)</f>
        <v>Vast</v>
      </c>
      <c r="I496" t="str">
        <f t="shared" si="26"/>
        <v>OK</v>
      </c>
    </row>
    <row r="497" spans="1:9" hidden="1" x14ac:dyDescent="0.3">
      <c r="A497" s="2">
        <v>45721</v>
      </c>
      <c r="B497" t="str">
        <f t="shared" si="24"/>
        <v xml:space="preserve">maart </v>
      </c>
      <c r="C497">
        <v>-19.95</v>
      </c>
      <c r="D497" t="s">
        <v>14</v>
      </c>
      <c r="F497" t="s">
        <v>18</v>
      </c>
      <c r="G497">
        <f t="shared" si="25"/>
        <v>-19.95</v>
      </c>
      <c r="H497" t="str">
        <f>VLOOKUP(Tabel1[[#This Row],[categorie]],Lijst!A:B,2,FALSE)</f>
        <v>Variabel</v>
      </c>
      <c r="I497" t="str">
        <f t="shared" si="26"/>
        <v>OK</v>
      </c>
    </row>
    <row r="498" spans="1:9" hidden="1" x14ac:dyDescent="0.3">
      <c r="A498" s="2">
        <v>45721</v>
      </c>
      <c r="B498" t="str">
        <f t="shared" si="24"/>
        <v xml:space="preserve">maart </v>
      </c>
      <c r="C498">
        <v>-47.5</v>
      </c>
      <c r="D498" t="s">
        <v>3</v>
      </c>
      <c r="F498" t="s">
        <v>18</v>
      </c>
      <c r="G498">
        <f t="shared" si="25"/>
        <v>-47.5</v>
      </c>
      <c r="H498" t="str">
        <f>VLOOKUP(Tabel1[[#This Row],[categorie]],Lijst!A:B,2,FALSE)</f>
        <v>Vast</v>
      </c>
      <c r="I498" t="str">
        <f t="shared" si="26"/>
        <v>OK</v>
      </c>
    </row>
    <row r="499" spans="1:9" hidden="1" x14ac:dyDescent="0.3">
      <c r="A499" s="2">
        <v>45721</v>
      </c>
      <c r="B499" t="str">
        <f t="shared" si="24"/>
        <v xml:space="preserve">maart </v>
      </c>
      <c r="C499">
        <v>-30.8</v>
      </c>
      <c r="D499" t="s">
        <v>9</v>
      </c>
      <c r="F499" t="s">
        <v>18</v>
      </c>
      <c r="G499">
        <f t="shared" si="25"/>
        <v>-30.8</v>
      </c>
      <c r="H499" t="str">
        <f>VLOOKUP(Tabel1[[#This Row],[categorie]],Lijst!A:B,2,FALSE)</f>
        <v>Variabel</v>
      </c>
      <c r="I499" t="str">
        <f t="shared" si="26"/>
        <v>OK</v>
      </c>
    </row>
    <row r="500" spans="1:9" hidden="1" x14ac:dyDescent="0.3">
      <c r="A500" s="2">
        <v>45722</v>
      </c>
      <c r="B500" t="str">
        <f t="shared" si="24"/>
        <v xml:space="preserve">maart </v>
      </c>
      <c r="C500">
        <v>-12.58</v>
      </c>
      <c r="D500" t="s">
        <v>3</v>
      </c>
      <c r="F500" t="s">
        <v>18</v>
      </c>
      <c r="G500">
        <f t="shared" si="25"/>
        <v>-12.58</v>
      </c>
      <c r="H500" t="str">
        <f>VLOOKUP(Tabel1[[#This Row],[categorie]],Lijst!A:B,2,FALSE)</f>
        <v>Vast</v>
      </c>
      <c r="I500" t="str">
        <f t="shared" si="26"/>
        <v>OK</v>
      </c>
    </row>
    <row r="501" spans="1:9" hidden="1" x14ac:dyDescent="0.3">
      <c r="A501" s="2">
        <v>45722</v>
      </c>
      <c r="B501" t="str">
        <f t="shared" si="24"/>
        <v xml:space="preserve">maart </v>
      </c>
      <c r="C501">
        <v>-1.5</v>
      </c>
      <c r="D501" t="s">
        <v>26</v>
      </c>
      <c r="F501" t="s">
        <v>18</v>
      </c>
      <c r="G501">
        <f t="shared" si="25"/>
        <v>-1.5</v>
      </c>
      <c r="H501" t="str">
        <f>VLOOKUP(Tabel1[[#This Row],[categorie]],Lijst!A:B,2,FALSE)</f>
        <v>Variabel</v>
      </c>
      <c r="I501" t="str">
        <f t="shared" si="26"/>
        <v>OK</v>
      </c>
    </row>
    <row r="502" spans="1:9" hidden="1" x14ac:dyDescent="0.3">
      <c r="A502" s="2">
        <v>45722</v>
      </c>
      <c r="B502" t="str">
        <f t="shared" si="24"/>
        <v xml:space="preserve">maart </v>
      </c>
      <c r="C502">
        <v>-18</v>
      </c>
      <c r="D502" t="s">
        <v>14</v>
      </c>
      <c r="F502" t="s">
        <v>18</v>
      </c>
      <c r="G502">
        <f t="shared" si="25"/>
        <v>-18</v>
      </c>
      <c r="H502" t="str">
        <f>VLOOKUP(Tabel1[[#This Row],[categorie]],Lijst!A:B,2,FALSE)</f>
        <v>Variabel</v>
      </c>
      <c r="I502" t="str">
        <f t="shared" si="26"/>
        <v>OK</v>
      </c>
    </row>
    <row r="503" spans="1:9" hidden="1" x14ac:dyDescent="0.3">
      <c r="A503" s="2">
        <v>45722</v>
      </c>
      <c r="B503" t="str">
        <f t="shared" si="24"/>
        <v xml:space="preserve">maart </v>
      </c>
      <c r="C503">
        <v>-27.95</v>
      </c>
      <c r="D503" t="s">
        <v>82</v>
      </c>
      <c r="F503" t="s">
        <v>18</v>
      </c>
      <c r="G503">
        <f t="shared" si="25"/>
        <v>-27.95</v>
      </c>
      <c r="H503" t="str">
        <f>VLOOKUP(Tabel1[[#This Row],[categorie]],Lijst!A:B,2,FALSE)</f>
        <v>Vast</v>
      </c>
      <c r="I503" t="str">
        <f t="shared" si="26"/>
        <v>OK</v>
      </c>
    </row>
    <row r="504" spans="1:9" hidden="1" x14ac:dyDescent="0.3">
      <c r="A504" s="2">
        <v>45723</v>
      </c>
      <c r="B504" t="str">
        <f t="shared" si="24"/>
        <v xml:space="preserve">maart </v>
      </c>
      <c r="C504">
        <v>-8.31</v>
      </c>
      <c r="D504" t="s">
        <v>13</v>
      </c>
      <c r="F504" t="s">
        <v>18</v>
      </c>
      <c r="G504">
        <f t="shared" si="25"/>
        <v>-8.31</v>
      </c>
      <c r="H504" t="str">
        <f>VLOOKUP(Tabel1[[#This Row],[categorie]],Lijst!A:B,2,FALSE)</f>
        <v>Vast</v>
      </c>
      <c r="I504" t="str">
        <f t="shared" si="26"/>
        <v>OK</v>
      </c>
    </row>
    <row r="505" spans="1:9" hidden="1" x14ac:dyDescent="0.3">
      <c r="A505" s="2">
        <v>45723</v>
      </c>
      <c r="B505" t="str">
        <f t="shared" si="24"/>
        <v xml:space="preserve">maart </v>
      </c>
      <c r="C505">
        <v>-5</v>
      </c>
      <c r="D505" t="s">
        <v>13</v>
      </c>
      <c r="F505" t="s">
        <v>18</v>
      </c>
      <c r="G505">
        <f t="shared" si="25"/>
        <v>-5</v>
      </c>
      <c r="H505" t="str">
        <f>VLOOKUP(Tabel1[[#This Row],[categorie]],Lijst!A:B,2,FALSE)</f>
        <v>Vast</v>
      </c>
      <c r="I505" t="str">
        <f t="shared" si="26"/>
        <v>OK</v>
      </c>
    </row>
    <row r="506" spans="1:9" hidden="1" x14ac:dyDescent="0.3">
      <c r="A506" s="2">
        <v>45723</v>
      </c>
      <c r="B506" t="str">
        <f t="shared" si="24"/>
        <v xml:space="preserve">maart </v>
      </c>
      <c r="C506">
        <v>-40</v>
      </c>
      <c r="D506" t="s">
        <v>14</v>
      </c>
      <c r="F506" t="s">
        <v>18</v>
      </c>
      <c r="G506">
        <f t="shared" si="25"/>
        <v>-40</v>
      </c>
      <c r="H506" t="str">
        <f>VLOOKUP(Tabel1[[#This Row],[categorie]],Lijst!A:B,2,FALSE)</f>
        <v>Variabel</v>
      </c>
      <c r="I506" t="str">
        <f t="shared" si="26"/>
        <v>OK</v>
      </c>
    </row>
    <row r="507" spans="1:9" hidden="1" x14ac:dyDescent="0.3">
      <c r="A507" s="2">
        <v>45723</v>
      </c>
      <c r="B507" t="str">
        <f t="shared" si="24"/>
        <v xml:space="preserve">maart </v>
      </c>
      <c r="C507">
        <v>-10.55</v>
      </c>
      <c r="D507" t="s">
        <v>3</v>
      </c>
      <c r="F507" t="s">
        <v>18</v>
      </c>
      <c r="G507">
        <f t="shared" si="25"/>
        <v>-10.55</v>
      </c>
      <c r="H507" t="str">
        <f>VLOOKUP(Tabel1[[#This Row],[categorie]],Lijst!A:B,2,FALSE)</f>
        <v>Vast</v>
      </c>
      <c r="I507" t="str">
        <f t="shared" si="26"/>
        <v>OK</v>
      </c>
    </row>
    <row r="508" spans="1:9" hidden="1" x14ac:dyDescent="0.3">
      <c r="A508" s="2">
        <v>45723</v>
      </c>
      <c r="B508" t="str">
        <f t="shared" si="24"/>
        <v xml:space="preserve">maart </v>
      </c>
      <c r="C508">
        <v>-4.99</v>
      </c>
      <c r="D508" t="s">
        <v>3</v>
      </c>
      <c r="F508" t="s">
        <v>18</v>
      </c>
      <c r="G508">
        <f t="shared" si="25"/>
        <v>-4.99</v>
      </c>
      <c r="H508" t="str">
        <f>VLOOKUP(Tabel1[[#This Row],[categorie]],Lijst!A:B,2,FALSE)</f>
        <v>Vast</v>
      </c>
      <c r="I508" t="str">
        <f t="shared" si="26"/>
        <v>OK</v>
      </c>
    </row>
    <row r="509" spans="1:9" hidden="1" x14ac:dyDescent="0.3">
      <c r="A509" s="2">
        <v>45723</v>
      </c>
      <c r="B509" t="str">
        <f t="shared" si="24"/>
        <v xml:space="preserve">maart </v>
      </c>
      <c r="C509">
        <v>-1.5</v>
      </c>
      <c r="D509" t="s">
        <v>26</v>
      </c>
      <c r="F509" t="s">
        <v>18</v>
      </c>
      <c r="G509">
        <f t="shared" si="25"/>
        <v>-1.5</v>
      </c>
      <c r="H509" t="str">
        <f>VLOOKUP(Tabel1[[#This Row],[categorie]],Lijst!A:B,2,FALSE)</f>
        <v>Variabel</v>
      </c>
      <c r="I509" t="str">
        <f t="shared" si="26"/>
        <v>OK</v>
      </c>
    </row>
    <row r="510" spans="1:9" hidden="1" x14ac:dyDescent="0.3">
      <c r="A510" s="2">
        <v>45723</v>
      </c>
      <c r="B510" t="str">
        <f t="shared" si="24"/>
        <v xml:space="preserve">maart </v>
      </c>
      <c r="C510">
        <v>-13.24</v>
      </c>
      <c r="D510" t="s">
        <v>35</v>
      </c>
      <c r="F510" t="s">
        <v>18</v>
      </c>
      <c r="G510">
        <f t="shared" si="25"/>
        <v>-13.24</v>
      </c>
      <c r="H510" t="str">
        <f>VLOOKUP(Tabel1[[#This Row],[categorie]],Lijst!A:B,2,FALSE)</f>
        <v>Variabel</v>
      </c>
      <c r="I510" t="str">
        <f t="shared" si="26"/>
        <v>OK</v>
      </c>
    </row>
    <row r="511" spans="1:9" hidden="1" x14ac:dyDescent="0.3">
      <c r="A511" s="2">
        <v>45723</v>
      </c>
      <c r="B511" t="str">
        <f t="shared" si="24"/>
        <v xml:space="preserve">maart </v>
      </c>
      <c r="C511">
        <v>-0.5</v>
      </c>
      <c r="D511" t="s">
        <v>13</v>
      </c>
      <c r="F511" t="s">
        <v>18</v>
      </c>
      <c r="G511">
        <f t="shared" si="25"/>
        <v>-0.5</v>
      </c>
      <c r="H511" t="str">
        <f>VLOOKUP(Tabel1[[#This Row],[categorie]],Lijst!A:B,2,FALSE)</f>
        <v>Vast</v>
      </c>
      <c r="I511" t="str">
        <f t="shared" si="26"/>
        <v>OK</v>
      </c>
    </row>
    <row r="512" spans="1:9" hidden="1" x14ac:dyDescent="0.3">
      <c r="A512" s="2">
        <v>45723</v>
      </c>
      <c r="B512" t="str">
        <f t="shared" si="24"/>
        <v xml:space="preserve">maart </v>
      </c>
      <c r="C512">
        <v>-810.65</v>
      </c>
      <c r="D512" t="s">
        <v>10</v>
      </c>
      <c r="F512" t="s">
        <v>18</v>
      </c>
      <c r="G512">
        <f t="shared" si="25"/>
        <v>-810.65</v>
      </c>
      <c r="H512" t="str">
        <f>VLOOKUP(Tabel1[[#This Row],[categorie]],Lijst!A:B,2,FALSE)</f>
        <v>Vast</v>
      </c>
      <c r="I512" t="str">
        <f t="shared" si="26"/>
        <v>OK</v>
      </c>
    </row>
    <row r="513" spans="1:9" hidden="1" x14ac:dyDescent="0.3">
      <c r="A513" s="2">
        <v>45723</v>
      </c>
      <c r="B513" t="str">
        <f t="shared" si="24"/>
        <v xml:space="preserve">maart </v>
      </c>
      <c r="C513">
        <v>-5.13</v>
      </c>
      <c r="D513" t="s">
        <v>13</v>
      </c>
      <c r="F513" t="s">
        <v>18</v>
      </c>
      <c r="G513">
        <f t="shared" si="25"/>
        <v>-5.13</v>
      </c>
      <c r="H513" t="str">
        <f>VLOOKUP(Tabel1[[#This Row],[categorie]],Lijst!A:B,2,FALSE)</f>
        <v>Vast</v>
      </c>
      <c r="I513" t="str">
        <f t="shared" si="26"/>
        <v>OK</v>
      </c>
    </row>
    <row r="514" spans="1:9" hidden="1" x14ac:dyDescent="0.3">
      <c r="A514" s="2">
        <v>45723</v>
      </c>
      <c r="B514" t="str">
        <f t="shared" si="24"/>
        <v xml:space="preserve">maart </v>
      </c>
      <c r="C514">
        <v>-45.21</v>
      </c>
      <c r="D514" t="s">
        <v>13</v>
      </c>
      <c r="F514" t="s">
        <v>18</v>
      </c>
      <c r="G514">
        <f t="shared" si="25"/>
        <v>-45.21</v>
      </c>
      <c r="H514" t="str">
        <f>VLOOKUP(Tabel1[[#This Row],[categorie]],Lijst!A:B,2,FALSE)</f>
        <v>Vast</v>
      </c>
      <c r="I514" t="str">
        <f t="shared" si="26"/>
        <v>OK</v>
      </c>
    </row>
    <row r="515" spans="1:9" hidden="1" x14ac:dyDescent="0.3">
      <c r="A515" s="2">
        <v>45723</v>
      </c>
      <c r="B515" t="str">
        <f t="shared" si="24"/>
        <v xml:space="preserve">maart </v>
      </c>
      <c r="C515">
        <v>-8.9499999999999993</v>
      </c>
      <c r="D515" t="s">
        <v>82</v>
      </c>
      <c r="F515" t="s">
        <v>18</v>
      </c>
      <c r="G515">
        <f t="shared" si="25"/>
        <v>-8.9499999999999993</v>
      </c>
      <c r="H515" t="str">
        <f>VLOOKUP(Tabel1[[#This Row],[categorie]],Lijst!A:B,2,FALSE)</f>
        <v>Vast</v>
      </c>
      <c r="I515" t="str">
        <f t="shared" si="26"/>
        <v>OK</v>
      </c>
    </row>
    <row r="516" spans="1:9" hidden="1" x14ac:dyDescent="0.3">
      <c r="A516" s="2">
        <v>45724</v>
      </c>
      <c r="B516" t="str">
        <f t="shared" si="24"/>
        <v xml:space="preserve">maart </v>
      </c>
      <c r="C516">
        <v>-14</v>
      </c>
      <c r="D516" t="s">
        <v>25</v>
      </c>
      <c r="F516" t="s">
        <v>18</v>
      </c>
      <c r="G516">
        <f t="shared" si="25"/>
        <v>-14</v>
      </c>
      <c r="H516" t="str">
        <f>VLOOKUP(Tabel1[[#This Row],[categorie]],Lijst!A:B,2,FALSE)</f>
        <v>Variabel</v>
      </c>
      <c r="I516" t="str">
        <f t="shared" si="26"/>
        <v>OK</v>
      </c>
    </row>
    <row r="517" spans="1:9" hidden="1" x14ac:dyDescent="0.3">
      <c r="A517" s="2">
        <v>45724</v>
      </c>
      <c r="B517" t="str">
        <f t="shared" si="24"/>
        <v xml:space="preserve">maart </v>
      </c>
      <c r="C517">
        <v>-11.45</v>
      </c>
      <c r="D517" t="s">
        <v>82</v>
      </c>
      <c r="F517" t="s">
        <v>18</v>
      </c>
      <c r="G517">
        <f t="shared" si="25"/>
        <v>-11.45</v>
      </c>
      <c r="H517" t="str">
        <f>VLOOKUP(Tabel1[[#This Row],[categorie]],Lijst!A:B,2,FALSE)</f>
        <v>Vast</v>
      </c>
      <c r="I517" t="str">
        <f t="shared" si="26"/>
        <v>OK</v>
      </c>
    </row>
    <row r="518" spans="1:9" hidden="1" x14ac:dyDescent="0.3">
      <c r="A518" s="2">
        <v>45725</v>
      </c>
      <c r="B518" t="str">
        <f t="shared" si="24"/>
        <v xml:space="preserve">maart </v>
      </c>
      <c r="C518">
        <v>80</v>
      </c>
      <c r="D518" t="s">
        <v>48</v>
      </c>
      <c r="F518" t="s">
        <v>17</v>
      </c>
      <c r="G518">
        <f t="shared" si="25"/>
        <v>80</v>
      </c>
      <c r="H518" t="str">
        <f>VLOOKUP(Tabel1[[#This Row],[categorie]],Lijst!A:B,2,FALSE)</f>
        <v>Variabel</v>
      </c>
      <c r="I518" t="str">
        <f t="shared" si="26"/>
        <v>OK</v>
      </c>
    </row>
    <row r="519" spans="1:9" hidden="1" x14ac:dyDescent="0.3">
      <c r="A519" s="2">
        <v>45726</v>
      </c>
      <c r="B519" t="str">
        <f t="shared" si="24"/>
        <v xml:space="preserve">maart </v>
      </c>
      <c r="C519">
        <v>-109.99</v>
      </c>
      <c r="D519" t="s">
        <v>9</v>
      </c>
      <c r="F519" t="s">
        <v>18</v>
      </c>
      <c r="G519">
        <f t="shared" si="25"/>
        <v>-109.99</v>
      </c>
      <c r="H519" t="str">
        <f>VLOOKUP(Tabel1[[#This Row],[categorie]],Lijst!A:B,2,FALSE)</f>
        <v>Variabel</v>
      </c>
      <c r="I519" t="str">
        <f t="shared" si="26"/>
        <v>OK</v>
      </c>
    </row>
    <row r="520" spans="1:9" hidden="1" x14ac:dyDescent="0.3">
      <c r="A520" s="2">
        <v>45726</v>
      </c>
      <c r="B520" t="str">
        <f t="shared" si="24"/>
        <v xml:space="preserve">maart </v>
      </c>
      <c r="C520">
        <v>-46</v>
      </c>
      <c r="D520" t="s">
        <v>9</v>
      </c>
      <c r="F520" t="s">
        <v>18</v>
      </c>
      <c r="G520">
        <f t="shared" si="25"/>
        <v>-46</v>
      </c>
      <c r="H520" t="str">
        <f>VLOOKUP(Tabel1[[#This Row],[categorie]],Lijst!A:B,2,FALSE)</f>
        <v>Variabel</v>
      </c>
      <c r="I520" t="str">
        <f t="shared" si="26"/>
        <v>OK</v>
      </c>
    </row>
    <row r="521" spans="1:9" hidden="1" x14ac:dyDescent="0.3">
      <c r="A521" s="2">
        <v>45726</v>
      </c>
      <c r="B521" t="str">
        <f t="shared" si="24"/>
        <v xml:space="preserve">maart </v>
      </c>
      <c r="C521">
        <v>-19.95</v>
      </c>
      <c r="D521" t="s">
        <v>3</v>
      </c>
      <c r="F521" t="s">
        <v>18</v>
      </c>
      <c r="G521">
        <f t="shared" si="25"/>
        <v>-19.95</v>
      </c>
      <c r="H521" t="str">
        <f>VLOOKUP(Tabel1[[#This Row],[categorie]],Lijst!A:B,2,FALSE)</f>
        <v>Vast</v>
      </c>
      <c r="I521" t="str">
        <f t="shared" si="26"/>
        <v>OK</v>
      </c>
    </row>
    <row r="522" spans="1:9" hidden="1" x14ac:dyDescent="0.3">
      <c r="A522" s="2">
        <v>45726</v>
      </c>
      <c r="B522" t="str">
        <f t="shared" si="24"/>
        <v xml:space="preserve">maart </v>
      </c>
      <c r="C522">
        <v>-5.18</v>
      </c>
      <c r="D522" t="s">
        <v>3</v>
      </c>
      <c r="F522" t="s">
        <v>18</v>
      </c>
      <c r="G522">
        <f t="shared" si="25"/>
        <v>-5.18</v>
      </c>
      <c r="H522" t="str">
        <f>VLOOKUP(Tabel1[[#This Row],[categorie]],Lijst!A:B,2,FALSE)</f>
        <v>Vast</v>
      </c>
      <c r="I522" t="str">
        <f t="shared" si="26"/>
        <v>OK</v>
      </c>
    </row>
    <row r="523" spans="1:9" hidden="1" x14ac:dyDescent="0.3">
      <c r="A523" s="2">
        <v>45726</v>
      </c>
      <c r="B523" t="str">
        <f t="shared" si="24"/>
        <v xml:space="preserve">maart </v>
      </c>
      <c r="C523">
        <v>-22</v>
      </c>
      <c r="D523" t="s">
        <v>3</v>
      </c>
      <c r="F523" t="s">
        <v>18</v>
      </c>
      <c r="G523">
        <f t="shared" si="25"/>
        <v>-22</v>
      </c>
      <c r="H523" t="str">
        <f>VLOOKUP(Tabel1[[#This Row],[categorie]],Lijst!A:B,2,FALSE)</f>
        <v>Vast</v>
      </c>
      <c r="I523" t="str">
        <f t="shared" si="26"/>
        <v>OK</v>
      </c>
    </row>
    <row r="524" spans="1:9" hidden="1" x14ac:dyDescent="0.3">
      <c r="A524" s="2">
        <v>45726</v>
      </c>
      <c r="B524" t="str">
        <f t="shared" si="24"/>
        <v xml:space="preserve">maart </v>
      </c>
      <c r="C524">
        <v>-160</v>
      </c>
      <c r="D524" t="s">
        <v>75</v>
      </c>
      <c r="F524" t="s">
        <v>18</v>
      </c>
      <c r="G524">
        <f t="shared" si="25"/>
        <v>-160</v>
      </c>
      <c r="H524" t="str">
        <f>VLOOKUP(Tabel1[[#This Row],[categorie]],Lijst!A:B,2,FALSE)</f>
        <v>Variabel</v>
      </c>
      <c r="I524" t="str">
        <f t="shared" si="26"/>
        <v>OK</v>
      </c>
    </row>
    <row r="525" spans="1:9" hidden="1" x14ac:dyDescent="0.3">
      <c r="A525" s="2">
        <v>45726</v>
      </c>
      <c r="B525" t="str">
        <f t="shared" si="24"/>
        <v xml:space="preserve">maart </v>
      </c>
      <c r="C525">
        <v>-23.6</v>
      </c>
      <c r="D525" t="s">
        <v>3</v>
      </c>
      <c r="F525" t="s">
        <v>18</v>
      </c>
      <c r="G525">
        <f t="shared" si="25"/>
        <v>-23.6</v>
      </c>
      <c r="H525" t="str">
        <f>VLOOKUP(Tabel1[[#This Row],[categorie]],Lijst!A:B,2,FALSE)</f>
        <v>Vast</v>
      </c>
      <c r="I525" t="str">
        <f t="shared" si="26"/>
        <v>OK</v>
      </c>
    </row>
    <row r="526" spans="1:9" hidden="1" x14ac:dyDescent="0.3">
      <c r="A526" s="2">
        <v>45726</v>
      </c>
      <c r="B526" t="str">
        <f t="shared" si="24"/>
        <v xml:space="preserve">maart </v>
      </c>
      <c r="C526">
        <v>-108.42</v>
      </c>
      <c r="D526" t="s">
        <v>3</v>
      </c>
      <c r="F526" t="s">
        <v>18</v>
      </c>
      <c r="G526">
        <f t="shared" si="25"/>
        <v>-108.42</v>
      </c>
      <c r="H526" t="str">
        <f>VLOOKUP(Tabel1[[#This Row],[categorie]],Lijst!A:B,2,FALSE)</f>
        <v>Vast</v>
      </c>
      <c r="I526" t="str">
        <f t="shared" si="26"/>
        <v>OK</v>
      </c>
    </row>
    <row r="527" spans="1:9" hidden="1" x14ac:dyDescent="0.3">
      <c r="A527" s="2">
        <v>45726</v>
      </c>
      <c r="B527" t="str">
        <f t="shared" si="24"/>
        <v xml:space="preserve">maart </v>
      </c>
      <c r="C527">
        <v>-4.5999999999999996</v>
      </c>
      <c r="D527" t="s">
        <v>3</v>
      </c>
      <c r="F527" t="s">
        <v>18</v>
      </c>
      <c r="G527">
        <f t="shared" si="25"/>
        <v>-4.5999999999999996</v>
      </c>
      <c r="H527" t="str">
        <f>VLOOKUP(Tabel1[[#This Row],[categorie]],Lijst!A:B,2,FALSE)</f>
        <v>Vast</v>
      </c>
      <c r="I527" t="str">
        <f t="shared" si="26"/>
        <v>OK</v>
      </c>
    </row>
    <row r="528" spans="1:9" hidden="1" x14ac:dyDescent="0.3">
      <c r="A528" s="2">
        <v>45726</v>
      </c>
      <c r="B528" t="str">
        <f t="shared" si="24"/>
        <v xml:space="preserve">maart </v>
      </c>
      <c r="C528">
        <v>-4.2699999999999996</v>
      </c>
      <c r="D528" t="s">
        <v>13</v>
      </c>
      <c r="F528" t="s">
        <v>18</v>
      </c>
      <c r="G528">
        <f t="shared" si="25"/>
        <v>-4.2699999999999996</v>
      </c>
      <c r="H528" t="str">
        <f>VLOOKUP(Tabel1[[#This Row],[categorie]],Lijst!A:B,2,FALSE)</f>
        <v>Vast</v>
      </c>
      <c r="I528" t="str">
        <f t="shared" si="26"/>
        <v>OK</v>
      </c>
    </row>
    <row r="529" spans="1:9" hidden="1" x14ac:dyDescent="0.3">
      <c r="A529" s="2">
        <v>45726</v>
      </c>
      <c r="B529" t="str">
        <f t="shared" si="24"/>
        <v xml:space="preserve">maart </v>
      </c>
      <c r="C529">
        <v>-13.99</v>
      </c>
      <c r="D529" t="s">
        <v>45</v>
      </c>
      <c r="F529" t="s">
        <v>18</v>
      </c>
      <c r="G529">
        <f t="shared" si="25"/>
        <v>-13.99</v>
      </c>
      <c r="H529" t="str">
        <f>VLOOKUP(Tabel1[[#This Row],[categorie]],Lijst!A:B,2,FALSE)</f>
        <v>Variabel</v>
      </c>
      <c r="I529" t="str">
        <f t="shared" si="26"/>
        <v>OK</v>
      </c>
    </row>
    <row r="530" spans="1:9" hidden="1" x14ac:dyDescent="0.3">
      <c r="A530" s="2">
        <v>45726</v>
      </c>
      <c r="B530" t="str">
        <f t="shared" si="24"/>
        <v xml:space="preserve">maart </v>
      </c>
      <c r="C530">
        <v>-5</v>
      </c>
      <c r="D530" t="s">
        <v>13</v>
      </c>
      <c r="F530" t="s">
        <v>18</v>
      </c>
      <c r="G530">
        <f t="shared" si="25"/>
        <v>-5</v>
      </c>
      <c r="H530" t="str">
        <f>VLOOKUP(Tabel1[[#This Row],[categorie]],Lijst!A:B,2,FALSE)</f>
        <v>Vast</v>
      </c>
      <c r="I530" t="str">
        <f t="shared" si="26"/>
        <v>OK</v>
      </c>
    </row>
    <row r="531" spans="1:9" hidden="1" x14ac:dyDescent="0.3">
      <c r="A531" s="2">
        <v>45726</v>
      </c>
      <c r="B531" t="str">
        <f t="shared" si="24"/>
        <v xml:space="preserve">maart </v>
      </c>
      <c r="C531">
        <v>-71</v>
      </c>
      <c r="D531" t="s">
        <v>14</v>
      </c>
      <c r="F531" t="s">
        <v>18</v>
      </c>
      <c r="G531">
        <f t="shared" si="25"/>
        <v>-71</v>
      </c>
      <c r="H531" t="str">
        <f>VLOOKUP(Tabel1[[#This Row],[categorie]],Lijst!A:B,2,FALSE)</f>
        <v>Variabel</v>
      </c>
      <c r="I531" t="str">
        <f t="shared" si="26"/>
        <v>OK</v>
      </c>
    </row>
    <row r="532" spans="1:9" hidden="1" x14ac:dyDescent="0.3">
      <c r="A532" s="2">
        <v>45726</v>
      </c>
      <c r="B532" t="str">
        <f t="shared" si="24"/>
        <v xml:space="preserve">maart </v>
      </c>
      <c r="C532">
        <v>-21.57</v>
      </c>
      <c r="D532" t="s">
        <v>14</v>
      </c>
      <c r="F532" t="s">
        <v>18</v>
      </c>
      <c r="G532">
        <f t="shared" si="25"/>
        <v>-21.57</v>
      </c>
      <c r="H532" t="str">
        <f>VLOOKUP(Tabel1[[#This Row],[categorie]],Lijst!A:B,2,FALSE)</f>
        <v>Variabel</v>
      </c>
      <c r="I532" t="str">
        <f t="shared" si="26"/>
        <v>OK</v>
      </c>
    </row>
    <row r="533" spans="1:9" hidden="1" x14ac:dyDescent="0.3">
      <c r="A533" s="2">
        <v>45726</v>
      </c>
      <c r="B533" t="str">
        <f t="shared" si="24"/>
        <v xml:space="preserve">maart </v>
      </c>
      <c r="C533">
        <v>-1.5</v>
      </c>
      <c r="D533" t="s">
        <v>26</v>
      </c>
      <c r="F533" t="s">
        <v>18</v>
      </c>
      <c r="G533">
        <f t="shared" si="25"/>
        <v>-1.5</v>
      </c>
      <c r="H533" t="str">
        <f>VLOOKUP(Tabel1[[#This Row],[categorie]],Lijst!A:B,2,FALSE)</f>
        <v>Variabel</v>
      </c>
      <c r="I533" t="str">
        <f t="shared" si="26"/>
        <v>OK</v>
      </c>
    </row>
    <row r="534" spans="1:9" hidden="1" x14ac:dyDescent="0.3">
      <c r="A534" s="2">
        <v>45726</v>
      </c>
      <c r="B534" t="str">
        <f t="shared" si="24"/>
        <v xml:space="preserve">maart </v>
      </c>
      <c r="C534">
        <v>-34.94</v>
      </c>
      <c r="D534" t="s">
        <v>3</v>
      </c>
      <c r="F534" t="s">
        <v>18</v>
      </c>
      <c r="G534">
        <f t="shared" si="25"/>
        <v>-34.94</v>
      </c>
      <c r="H534" t="str">
        <f>VLOOKUP(Tabel1[[#This Row],[categorie]],Lijst!A:B,2,FALSE)</f>
        <v>Vast</v>
      </c>
      <c r="I534" t="str">
        <f t="shared" si="26"/>
        <v>OK</v>
      </c>
    </row>
    <row r="535" spans="1:9" hidden="1" x14ac:dyDescent="0.3">
      <c r="A535" s="2">
        <v>45726</v>
      </c>
      <c r="B535" t="str">
        <f t="shared" si="24"/>
        <v xml:space="preserve">maart </v>
      </c>
      <c r="C535">
        <v>-16.79</v>
      </c>
      <c r="D535" t="s">
        <v>14</v>
      </c>
      <c r="F535" t="s">
        <v>18</v>
      </c>
      <c r="G535">
        <f t="shared" si="25"/>
        <v>-16.79</v>
      </c>
      <c r="H535" t="str">
        <f>VLOOKUP(Tabel1[[#This Row],[categorie]],Lijst!A:B,2,FALSE)</f>
        <v>Variabel</v>
      </c>
      <c r="I535" t="str">
        <f t="shared" si="26"/>
        <v>OK</v>
      </c>
    </row>
    <row r="536" spans="1:9" hidden="1" x14ac:dyDescent="0.3">
      <c r="A536" s="2">
        <v>45726</v>
      </c>
      <c r="B536" t="str">
        <f t="shared" si="24"/>
        <v xml:space="preserve">maart </v>
      </c>
      <c r="C536">
        <v>-31.61</v>
      </c>
      <c r="D536" t="s">
        <v>3</v>
      </c>
      <c r="F536" t="s">
        <v>18</v>
      </c>
      <c r="G536">
        <f t="shared" si="25"/>
        <v>-31.61</v>
      </c>
      <c r="H536" t="str">
        <f>VLOOKUP(Tabel1[[#This Row],[categorie]],Lijst!A:B,2,FALSE)</f>
        <v>Vast</v>
      </c>
      <c r="I536" t="str">
        <f t="shared" si="26"/>
        <v>OK</v>
      </c>
    </row>
    <row r="537" spans="1:9" hidden="1" x14ac:dyDescent="0.3">
      <c r="A537" s="2">
        <v>45726</v>
      </c>
      <c r="B537" t="str">
        <f t="shared" si="24"/>
        <v xml:space="preserve">maart </v>
      </c>
      <c r="C537">
        <v>-12.11</v>
      </c>
      <c r="D537" t="s">
        <v>3</v>
      </c>
      <c r="F537" t="s">
        <v>18</v>
      </c>
      <c r="G537">
        <f t="shared" si="25"/>
        <v>-12.11</v>
      </c>
      <c r="H537" t="str">
        <f>VLOOKUP(Tabel1[[#This Row],[categorie]],Lijst!A:B,2,FALSE)</f>
        <v>Vast</v>
      </c>
      <c r="I537" t="str">
        <f t="shared" si="26"/>
        <v>OK</v>
      </c>
    </row>
    <row r="538" spans="1:9" hidden="1" x14ac:dyDescent="0.3">
      <c r="A538" s="2">
        <v>45726</v>
      </c>
      <c r="B538" t="str">
        <f t="shared" si="24"/>
        <v xml:space="preserve">maart </v>
      </c>
      <c r="C538">
        <v>-4</v>
      </c>
      <c r="D538" t="s">
        <v>76</v>
      </c>
      <c r="F538" t="s">
        <v>18</v>
      </c>
      <c r="G538">
        <f t="shared" si="25"/>
        <v>-4</v>
      </c>
      <c r="H538" t="str">
        <f>VLOOKUP(Tabel1[[#This Row],[categorie]],Lijst!A:B,2,FALSE)</f>
        <v>Variabel</v>
      </c>
      <c r="I538" t="str">
        <f t="shared" si="26"/>
        <v>OK</v>
      </c>
    </row>
    <row r="539" spans="1:9" hidden="1" x14ac:dyDescent="0.3">
      <c r="A539" s="2">
        <v>45726</v>
      </c>
      <c r="B539" t="str">
        <f t="shared" si="24"/>
        <v xml:space="preserve">maart </v>
      </c>
      <c r="C539">
        <v>-9</v>
      </c>
      <c r="D539" t="s">
        <v>22</v>
      </c>
      <c r="F539" t="s">
        <v>18</v>
      </c>
      <c r="G539">
        <f t="shared" si="25"/>
        <v>-9</v>
      </c>
      <c r="H539" t="str">
        <f>VLOOKUP(Tabel1[[#This Row],[categorie]],Lijst!A:B,2,FALSE)</f>
        <v>Variabel</v>
      </c>
      <c r="I539" t="str">
        <f t="shared" si="26"/>
        <v>OK</v>
      </c>
    </row>
    <row r="540" spans="1:9" hidden="1" x14ac:dyDescent="0.3">
      <c r="A540" s="2">
        <v>45726</v>
      </c>
      <c r="B540" t="str">
        <f t="shared" si="24"/>
        <v xml:space="preserve">maart </v>
      </c>
      <c r="C540">
        <v>-2.4900000000000002</v>
      </c>
      <c r="D540" t="s">
        <v>47</v>
      </c>
      <c r="F540" t="s">
        <v>18</v>
      </c>
      <c r="G540">
        <f t="shared" si="25"/>
        <v>-2.4900000000000002</v>
      </c>
      <c r="H540" t="str">
        <f>VLOOKUP(Tabel1[[#This Row],[categorie]],Lijst!A:B,2,FALSE)</f>
        <v>Variabel</v>
      </c>
      <c r="I540" t="str">
        <f t="shared" si="26"/>
        <v>OK</v>
      </c>
    </row>
    <row r="541" spans="1:9" hidden="1" x14ac:dyDescent="0.3">
      <c r="A541" s="2">
        <v>45726</v>
      </c>
      <c r="B541" t="str">
        <f t="shared" si="24"/>
        <v xml:space="preserve">maart </v>
      </c>
      <c r="C541">
        <v>-5.5</v>
      </c>
      <c r="D541" t="s">
        <v>47</v>
      </c>
      <c r="F541" t="s">
        <v>18</v>
      </c>
      <c r="G541">
        <f t="shared" si="25"/>
        <v>-5.5</v>
      </c>
      <c r="H541" t="str">
        <f>VLOOKUP(Tabel1[[#This Row],[categorie]],Lijst!A:B,2,FALSE)</f>
        <v>Variabel</v>
      </c>
      <c r="I541" t="str">
        <f t="shared" si="26"/>
        <v>OK</v>
      </c>
    </row>
    <row r="542" spans="1:9" hidden="1" x14ac:dyDescent="0.3">
      <c r="A542" s="2">
        <v>45726</v>
      </c>
      <c r="B542" t="str">
        <f t="shared" si="24"/>
        <v xml:space="preserve">maart </v>
      </c>
      <c r="C542">
        <v>-2.6</v>
      </c>
      <c r="D542" t="s">
        <v>47</v>
      </c>
      <c r="F542" t="s">
        <v>18</v>
      </c>
      <c r="G542">
        <f t="shared" si="25"/>
        <v>-2.6</v>
      </c>
      <c r="H542" t="str">
        <f>VLOOKUP(Tabel1[[#This Row],[categorie]],Lijst!A:B,2,FALSE)</f>
        <v>Variabel</v>
      </c>
      <c r="I542" t="str">
        <f t="shared" si="26"/>
        <v>OK</v>
      </c>
    </row>
    <row r="543" spans="1:9" hidden="1" x14ac:dyDescent="0.3">
      <c r="A543" s="2">
        <v>45726</v>
      </c>
      <c r="B543" t="str">
        <f t="shared" si="24"/>
        <v xml:space="preserve">maart </v>
      </c>
      <c r="C543">
        <v>-28.15</v>
      </c>
      <c r="D543" t="s">
        <v>47</v>
      </c>
      <c r="F543" t="s">
        <v>18</v>
      </c>
      <c r="G543">
        <f t="shared" si="25"/>
        <v>-28.15</v>
      </c>
      <c r="H543" t="str">
        <f>VLOOKUP(Tabel1[[#This Row],[categorie]],Lijst!A:B,2,FALSE)</f>
        <v>Variabel</v>
      </c>
      <c r="I543" t="str">
        <f t="shared" si="26"/>
        <v>OK</v>
      </c>
    </row>
    <row r="544" spans="1:9" hidden="1" x14ac:dyDescent="0.3">
      <c r="A544" s="2">
        <v>45726</v>
      </c>
      <c r="B544" t="str">
        <f t="shared" si="24"/>
        <v xml:space="preserve">maart </v>
      </c>
      <c r="C544">
        <v>-12</v>
      </c>
      <c r="D544" t="s">
        <v>39</v>
      </c>
      <c r="F544" t="s">
        <v>18</v>
      </c>
      <c r="G544">
        <f t="shared" si="25"/>
        <v>-12</v>
      </c>
      <c r="H544" t="str">
        <f>VLOOKUP(Tabel1[[#This Row],[categorie]],Lijst!A:B,2,FALSE)</f>
        <v>Vast</v>
      </c>
      <c r="I544" t="str">
        <f t="shared" si="26"/>
        <v>OK</v>
      </c>
    </row>
    <row r="545" spans="1:9" hidden="1" x14ac:dyDescent="0.3">
      <c r="A545" s="2">
        <v>45726</v>
      </c>
      <c r="B545" t="str">
        <f t="shared" si="24"/>
        <v xml:space="preserve">maart </v>
      </c>
      <c r="C545">
        <v>-22.4</v>
      </c>
      <c r="D545" t="s">
        <v>82</v>
      </c>
      <c r="F545" t="s">
        <v>18</v>
      </c>
      <c r="G545">
        <f t="shared" si="25"/>
        <v>-22.4</v>
      </c>
      <c r="H545" t="str">
        <f>VLOOKUP(Tabel1[[#This Row],[categorie]],Lijst!A:B,2,FALSE)</f>
        <v>Vast</v>
      </c>
      <c r="I545" t="str">
        <f t="shared" si="26"/>
        <v>OK</v>
      </c>
    </row>
    <row r="546" spans="1:9" hidden="1" x14ac:dyDescent="0.3">
      <c r="A546" s="2">
        <v>45727</v>
      </c>
      <c r="B546" t="str">
        <f t="shared" si="24"/>
        <v xml:space="preserve">maart </v>
      </c>
      <c r="C546">
        <v>-4</v>
      </c>
      <c r="D546" t="s">
        <v>82</v>
      </c>
      <c r="F546" t="s">
        <v>18</v>
      </c>
      <c r="G546">
        <f t="shared" si="25"/>
        <v>-4</v>
      </c>
      <c r="H546" t="str">
        <f>VLOOKUP(Tabel1[[#This Row],[categorie]],Lijst!A:B,2,FALSE)</f>
        <v>Vast</v>
      </c>
      <c r="I546" t="str">
        <f t="shared" si="26"/>
        <v>OK</v>
      </c>
    </row>
    <row r="547" spans="1:9" hidden="1" x14ac:dyDescent="0.3">
      <c r="A547" s="2">
        <v>45727</v>
      </c>
      <c r="B547" t="str">
        <f t="shared" ref="B547:B610" si="27">TEXT(A547,"mmmm ")</f>
        <v xml:space="preserve">maart </v>
      </c>
      <c r="C547">
        <v>-4.5999999999999996</v>
      </c>
      <c r="D547" t="s">
        <v>3</v>
      </c>
      <c r="F547" t="s">
        <v>18</v>
      </c>
      <c r="G547">
        <f t="shared" ref="G547:G610" si="28">IF(F547="Uitgave", -ABS(C547), ABS(C547))</f>
        <v>-4.5999999999999996</v>
      </c>
      <c r="H547" t="str">
        <f>VLOOKUP(Tabel1[[#This Row],[categorie]],Lijst!A:B,2,FALSE)</f>
        <v>Vast</v>
      </c>
      <c r="I547" t="str">
        <f t="shared" ref="I547:I610" si="29">IF(OR(AND(F547="Uitgave", C547&lt;0), AND(F547="Inkomst", C547&gt;0)), "OK", "FOUT")</f>
        <v>OK</v>
      </c>
    </row>
    <row r="548" spans="1:9" hidden="1" x14ac:dyDescent="0.3">
      <c r="A548" s="2">
        <v>45727</v>
      </c>
      <c r="B548" t="str">
        <f t="shared" si="27"/>
        <v xml:space="preserve">maart </v>
      </c>
      <c r="C548">
        <v>-12.14</v>
      </c>
      <c r="D548" t="s">
        <v>3</v>
      </c>
      <c r="F548" t="s">
        <v>18</v>
      </c>
      <c r="G548">
        <f t="shared" si="28"/>
        <v>-12.14</v>
      </c>
      <c r="H548" t="str">
        <f>VLOOKUP(Tabel1[[#This Row],[categorie]],Lijst!A:B,2,FALSE)</f>
        <v>Vast</v>
      </c>
      <c r="I548" t="str">
        <f t="shared" si="29"/>
        <v>OK</v>
      </c>
    </row>
    <row r="549" spans="1:9" hidden="1" x14ac:dyDescent="0.3">
      <c r="A549" s="2">
        <v>45727</v>
      </c>
      <c r="B549" t="str">
        <f t="shared" si="27"/>
        <v xml:space="preserve">maart </v>
      </c>
      <c r="C549">
        <v>-12.54</v>
      </c>
      <c r="D549" t="s">
        <v>3</v>
      </c>
      <c r="F549" t="s">
        <v>18</v>
      </c>
      <c r="G549">
        <f t="shared" si="28"/>
        <v>-12.54</v>
      </c>
      <c r="H549" t="str">
        <f>VLOOKUP(Tabel1[[#This Row],[categorie]],Lijst!A:B,2,FALSE)</f>
        <v>Vast</v>
      </c>
      <c r="I549" t="str">
        <f t="shared" si="29"/>
        <v>OK</v>
      </c>
    </row>
    <row r="550" spans="1:9" hidden="1" x14ac:dyDescent="0.3">
      <c r="A550" s="2">
        <v>45727</v>
      </c>
      <c r="B550" t="str">
        <f t="shared" si="27"/>
        <v xml:space="preserve">maart </v>
      </c>
      <c r="C550">
        <v>-50</v>
      </c>
      <c r="D550" t="s">
        <v>75</v>
      </c>
      <c r="F550" t="s">
        <v>18</v>
      </c>
      <c r="G550">
        <f t="shared" si="28"/>
        <v>-50</v>
      </c>
      <c r="H550" t="str">
        <f>VLOOKUP(Tabel1[[#This Row],[categorie]],Lijst!A:B,2,FALSE)</f>
        <v>Variabel</v>
      </c>
      <c r="I550" t="str">
        <f t="shared" si="29"/>
        <v>OK</v>
      </c>
    </row>
    <row r="551" spans="1:9" hidden="1" x14ac:dyDescent="0.3">
      <c r="A551" s="2">
        <v>45728</v>
      </c>
      <c r="B551" t="str">
        <f t="shared" si="27"/>
        <v xml:space="preserve">maart </v>
      </c>
      <c r="C551">
        <v>-35.5</v>
      </c>
      <c r="D551" t="s">
        <v>9</v>
      </c>
      <c r="F551" t="s">
        <v>18</v>
      </c>
      <c r="G551">
        <f t="shared" si="28"/>
        <v>-35.5</v>
      </c>
      <c r="H551" t="str">
        <f>VLOOKUP(Tabel1[[#This Row],[categorie]],Lijst!A:B,2,FALSE)</f>
        <v>Variabel</v>
      </c>
      <c r="I551" t="str">
        <f t="shared" si="29"/>
        <v>OK</v>
      </c>
    </row>
    <row r="552" spans="1:9" hidden="1" x14ac:dyDescent="0.3">
      <c r="A552" s="2">
        <v>45728</v>
      </c>
      <c r="B552" t="str">
        <f t="shared" si="27"/>
        <v xml:space="preserve">maart </v>
      </c>
      <c r="C552">
        <v>-9.35</v>
      </c>
      <c r="D552" t="s">
        <v>75</v>
      </c>
      <c r="F552" t="s">
        <v>18</v>
      </c>
      <c r="G552">
        <f t="shared" si="28"/>
        <v>-9.35</v>
      </c>
      <c r="H552" t="str">
        <f>VLOOKUP(Tabel1[[#This Row],[categorie]],Lijst!A:B,2,FALSE)</f>
        <v>Variabel</v>
      </c>
      <c r="I552" t="str">
        <f t="shared" si="29"/>
        <v>OK</v>
      </c>
    </row>
    <row r="553" spans="1:9" hidden="1" x14ac:dyDescent="0.3">
      <c r="A553" s="2">
        <v>45728</v>
      </c>
      <c r="B553" t="str">
        <f t="shared" si="27"/>
        <v xml:space="preserve">maart </v>
      </c>
      <c r="C553">
        <v>-1.5</v>
      </c>
      <c r="D553" t="s">
        <v>26</v>
      </c>
      <c r="F553" t="s">
        <v>18</v>
      </c>
      <c r="G553">
        <f t="shared" si="28"/>
        <v>-1.5</v>
      </c>
      <c r="H553" t="str">
        <f>VLOOKUP(Tabel1[[#This Row],[categorie]],Lijst!A:B,2,FALSE)</f>
        <v>Variabel</v>
      </c>
      <c r="I553" t="str">
        <f t="shared" si="29"/>
        <v>OK</v>
      </c>
    </row>
    <row r="554" spans="1:9" hidden="1" x14ac:dyDescent="0.3">
      <c r="A554" s="2">
        <v>45728</v>
      </c>
      <c r="B554" t="str">
        <f t="shared" si="27"/>
        <v xml:space="preserve">maart </v>
      </c>
      <c r="C554">
        <v>-26.3</v>
      </c>
      <c r="D554" t="s">
        <v>35</v>
      </c>
      <c r="F554" t="s">
        <v>18</v>
      </c>
      <c r="G554">
        <f t="shared" si="28"/>
        <v>-26.3</v>
      </c>
      <c r="H554" t="str">
        <f>VLOOKUP(Tabel1[[#This Row],[categorie]],Lijst!A:B,2,FALSE)</f>
        <v>Variabel</v>
      </c>
      <c r="I554" t="str">
        <f t="shared" si="29"/>
        <v>OK</v>
      </c>
    </row>
    <row r="555" spans="1:9" hidden="1" x14ac:dyDescent="0.3">
      <c r="A555" s="2">
        <v>45728</v>
      </c>
      <c r="B555" t="str">
        <f t="shared" si="27"/>
        <v xml:space="preserve">maart </v>
      </c>
      <c r="C555">
        <v>-14.06</v>
      </c>
      <c r="D555" t="s">
        <v>3</v>
      </c>
      <c r="F555" t="s">
        <v>18</v>
      </c>
      <c r="G555">
        <f t="shared" si="28"/>
        <v>-14.06</v>
      </c>
      <c r="H555" t="str">
        <f>VLOOKUP(Tabel1[[#This Row],[categorie]],Lijst!A:B,2,FALSE)</f>
        <v>Vast</v>
      </c>
      <c r="I555" t="str">
        <f t="shared" si="29"/>
        <v>OK</v>
      </c>
    </row>
    <row r="556" spans="1:9" hidden="1" x14ac:dyDescent="0.3">
      <c r="A556" s="2">
        <v>45728</v>
      </c>
      <c r="B556" t="str">
        <f t="shared" si="27"/>
        <v xml:space="preserve">maart </v>
      </c>
      <c r="C556">
        <v>-14.23</v>
      </c>
      <c r="D556" t="s">
        <v>3</v>
      </c>
      <c r="F556" t="s">
        <v>18</v>
      </c>
      <c r="G556">
        <f t="shared" si="28"/>
        <v>-14.23</v>
      </c>
      <c r="H556" t="str">
        <f>VLOOKUP(Tabel1[[#This Row],[categorie]],Lijst!A:B,2,FALSE)</f>
        <v>Vast</v>
      </c>
      <c r="I556" t="str">
        <f t="shared" si="29"/>
        <v>OK</v>
      </c>
    </row>
    <row r="557" spans="1:9" hidden="1" x14ac:dyDescent="0.3">
      <c r="A557" s="2">
        <v>45728</v>
      </c>
      <c r="B557" t="str">
        <f t="shared" si="27"/>
        <v xml:space="preserve">maart </v>
      </c>
      <c r="C557">
        <v>-7.98</v>
      </c>
      <c r="D557" t="s">
        <v>3</v>
      </c>
      <c r="F557" t="s">
        <v>18</v>
      </c>
      <c r="G557">
        <f t="shared" si="28"/>
        <v>-7.98</v>
      </c>
      <c r="H557" t="str">
        <f>VLOOKUP(Tabel1[[#This Row],[categorie]],Lijst!A:B,2,FALSE)</f>
        <v>Vast</v>
      </c>
      <c r="I557" t="str">
        <f t="shared" si="29"/>
        <v>OK</v>
      </c>
    </row>
    <row r="558" spans="1:9" hidden="1" x14ac:dyDescent="0.3">
      <c r="A558" s="2">
        <v>45728</v>
      </c>
      <c r="B558" t="str">
        <f t="shared" si="27"/>
        <v xml:space="preserve">maart </v>
      </c>
      <c r="C558">
        <v>-8</v>
      </c>
      <c r="D558" t="s">
        <v>13</v>
      </c>
      <c r="F558" t="s">
        <v>18</v>
      </c>
      <c r="G558">
        <f t="shared" si="28"/>
        <v>-8</v>
      </c>
      <c r="H558" t="str">
        <f>VLOOKUP(Tabel1[[#This Row],[categorie]],Lijst!A:B,2,FALSE)</f>
        <v>Vast</v>
      </c>
      <c r="I558" t="str">
        <f t="shared" si="29"/>
        <v>OK</v>
      </c>
    </row>
    <row r="559" spans="1:9" hidden="1" x14ac:dyDescent="0.3">
      <c r="A559" s="2">
        <v>45728</v>
      </c>
      <c r="B559" t="str">
        <f t="shared" si="27"/>
        <v xml:space="preserve">maart </v>
      </c>
      <c r="C559">
        <v>-12.01</v>
      </c>
      <c r="D559" t="s">
        <v>46</v>
      </c>
      <c r="F559" t="s">
        <v>18</v>
      </c>
      <c r="G559">
        <f t="shared" si="28"/>
        <v>-12.01</v>
      </c>
      <c r="H559" t="str">
        <f>VLOOKUP(Tabel1[[#This Row],[categorie]],Lijst!A:B,2,FALSE)</f>
        <v>Vast</v>
      </c>
      <c r="I559" t="str">
        <f t="shared" si="29"/>
        <v>OK</v>
      </c>
    </row>
    <row r="560" spans="1:9" hidden="1" x14ac:dyDescent="0.3">
      <c r="A560" s="2">
        <v>45729</v>
      </c>
      <c r="B560" t="str">
        <f t="shared" si="27"/>
        <v xml:space="preserve">maart </v>
      </c>
      <c r="C560">
        <v>-1</v>
      </c>
      <c r="D560" t="s">
        <v>75</v>
      </c>
      <c r="F560" t="s">
        <v>18</v>
      </c>
      <c r="G560">
        <f t="shared" si="28"/>
        <v>-1</v>
      </c>
      <c r="H560" t="str">
        <f>VLOOKUP(Tabel1[[#This Row],[categorie]],Lijst!A:B,2,FALSE)</f>
        <v>Variabel</v>
      </c>
      <c r="I560" t="str">
        <f t="shared" si="29"/>
        <v>OK</v>
      </c>
    </row>
    <row r="561" spans="1:9" hidden="1" x14ac:dyDescent="0.3">
      <c r="A561" s="2">
        <v>45729</v>
      </c>
      <c r="B561" t="str">
        <f t="shared" si="27"/>
        <v xml:space="preserve">maart </v>
      </c>
      <c r="C561">
        <v>-3.75</v>
      </c>
      <c r="D561" t="s">
        <v>35</v>
      </c>
      <c r="F561" t="s">
        <v>18</v>
      </c>
      <c r="G561">
        <f t="shared" si="28"/>
        <v>-3.75</v>
      </c>
      <c r="H561" t="str">
        <f>VLOOKUP(Tabel1[[#This Row],[categorie]],Lijst!A:B,2,FALSE)</f>
        <v>Variabel</v>
      </c>
      <c r="I561" t="str">
        <f t="shared" si="29"/>
        <v>OK</v>
      </c>
    </row>
    <row r="562" spans="1:9" hidden="1" x14ac:dyDescent="0.3">
      <c r="A562" s="2">
        <v>45729</v>
      </c>
      <c r="B562" t="str">
        <f t="shared" si="27"/>
        <v xml:space="preserve">maart </v>
      </c>
      <c r="C562">
        <v>-9.64</v>
      </c>
      <c r="D562" t="s">
        <v>35</v>
      </c>
      <c r="F562" t="s">
        <v>18</v>
      </c>
      <c r="G562">
        <f t="shared" si="28"/>
        <v>-9.64</v>
      </c>
      <c r="H562" t="str">
        <f>VLOOKUP(Tabel1[[#This Row],[categorie]],Lijst!A:B,2,FALSE)</f>
        <v>Variabel</v>
      </c>
      <c r="I562" t="str">
        <f t="shared" si="29"/>
        <v>OK</v>
      </c>
    </row>
    <row r="563" spans="1:9" hidden="1" x14ac:dyDescent="0.3">
      <c r="A563" s="2">
        <v>45729</v>
      </c>
      <c r="B563" t="str">
        <f t="shared" si="27"/>
        <v xml:space="preserve">maart </v>
      </c>
      <c r="C563">
        <v>50</v>
      </c>
      <c r="D563" t="s">
        <v>75</v>
      </c>
      <c r="F563" t="s">
        <v>17</v>
      </c>
      <c r="G563">
        <f t="shared" si="28"/>
        <v>50</v>
      </c>
      <c r="H563" t="str">
        <f>VLOOKUP(Tabel1[[#This Row],[categorie]],Lijst!A:B,2,FALSE)</f>
        <v>Variabel</v>
      </c>
      <c r="I563" t="str">
        <f t="shared" si="29"/>
        <v>OK</v>
      </c>
    </row>
    <row r="564" spans="1:9" hidden="1" x14ac:dyDescent="0.3">
      <c r="A564" s="2">
        <v>45729</v>
      </c>
      <c r="B564" t="str">
        <f t="shared" si="27"/>
        <v xml:space="preserve">maart </v>
      </c>
      <c r="C564">
        <v>9.35</v>
      </c>
      <c r="D564" t="s">
        <v>75</v>
      </c>
      <c r="F564" t="s">
        <v>17</v>
      </c>
      <c r="G564">
        <f t="shared" si="28"/>
        <v>9.35</v>
      </c>
      <c r="H564" t="str">
        <f>VLOOKUP(Tabel1[[#This Row],[categorie]],Lijst!A:B,2,FALSE)</f>
        <v>Variabel</v>
      </c>
      <c r="I564" t="str">
        <f t="shared" si="29"/>
        <v>OK</v>
      </c>
    </row>
    <row r="565" spans="1:9" hidden="1" x14ac:dyDescent="0.3">
      <c r="A565" s="2">
        <v>45729</v>
      </c>
      <c r="B565" t="str">
        <f t="shared" si="27"/>
        <v xml:space="preserve">maart </v>
      </c>
      <c r="C565">
        <v>-10.59</v>
      </c>
      <c r="D565" t="s">
        <v>3</v>
      </c>
      <c r="F565" t="s">
        <v>18</v>
      </c>
      <c r="G565">
        <f t="shared" si="28"/>
        <v>-10.59</v>
      </c>
      <c r="H565" t="str">
        <f>VLOOKUP(Tabel1[[#This Row],[categorie]],Lijst!A:B,2,FALSE)</f>
        <v>Vast</v>
      </c>
      <c r="I565" t="str">
        <f t="shared" si="29"/>
        <v>OK</v>
      </c>
    </row>
    <row r="566" spans="1:9" hidden="1" x14ac:dyDescent="0.3">
      <c r="A566" s="2">
        <v>45729</v>
      </c>
      <c r="B566" t="str">
        <f t="shared" si="27"/>
        <v xml:space="preserve">maart </v>
      </c>
      <c r="C566">
        <v>-1.5</v>
      </c>
      <c r="D566" t="s">
        <v>26</v>
      </c>
      <c r="F566" t="s">
        <v>18</v>
      </c>
      <c r="G566">
        <f t="shared" si="28"/>
        <v>-1.5</v>
      </c>
      <c r="H566" t="str">
        <f>VLOOKUP(Tabel1[[#This Row],[categorie]],Lijst!A:B,2,FALSE)</f>
        <v>Variabel</v>
      </c>
      <c r="I566" t="str">
        <f t="shared" si="29"/>
        <v>OK</v>
      </c>
    </row>
    <row r="567" spans="1:9" hidden="1" x14ac:dyDescent="0.3">
      <c r="A567" s="2">
        <v>45729</v>
      </c>
      <c r="B567" t="str">
        <f t="shared" si="27"/>
        <v xml:space="preserve">maart </v>
      </c>
      <c r="C567">
        <v>-0.9</v>
      </c>
      <c r="D567" t="s">
        <v>26</v>
      </c>
      <c r="F567" t="s">
        <v>18</v>
      </c>
      <c r="G567">
        <f t="shared" si="28"/>
        <v>-0.9</v>
      </c>
      <c r="H567" t="str">
        <f>VLOOKUP(Tabel1[[#This Row],[categorie]],Lijst!A:B,2,FALSE)</f>
        <v>Variabel</v>
      </c>
      <c r="I567" t="str">
        <f t="shared" si="29"/>
        <v>OK</v>
      </c>
    </row>
    <row r="568" spans="1:9" hidden="1" x14ac:dyDescent="0.3">
      <c r="A568" s="2">
        <v>45729</v>
      </c>
      <c r="B568" t="str">
        <f t="shared" si="27"/>
        <v xml:space="preserve">maart </v>
      </c>
      <c r="C568">
        <v>-13.58</v>
      </c>
      <c r="D568" t="s">
        <v>3</v>
      </c>
      <c r="F568" t="s">
        <v>18</v>
      </c>
      <c r="G568">
        <f t="shared" si="28"/>
        <v>-13.58</v>
      </c>
      <c r="H568" t="str">
        <f>VLOOKUP(Tabel1[[#This Row],[categorie]],Lijst!A:B,2,FALSE)</f>
        <v>Vast</v>
      </c>
      <c r="I568" t="str">
        <f t="shared" si="29"/>
        <v>OK</v>
      </c>
    </row>
    <row r="569" spans="1:9" hidden="1" x14ac:dyDescent="0.3">
      <c r="A569" s="2">
        <v>45729</v>
      </c>
      <c r="B569" t="str">
        <f t="shared" si="27"/>
        <v xml:space="preserve">maart </v>
      </c>
      <c r="C569">
        <v>-5.7</v>
      </c>
      <c r="D569" t="s">
        <v>3</v>
      </c>
      <c r="F569" t="s">
        <v>18</v>
      </c>
      <c r="G569">
        <f t="shared" si="28"/>
        <v>-5.7</v>
      </c>
      <c r="H569" t="str">
        <f>VLOOKUP(Tabel1[[#This Row],[categorie]],Lijst!A:B,2,FALSE)</f>
        <v>Vast</v>
      </c>
      <c r="I569" t="str">
        <f t="shared" si="29"/>
        <v>OK</v>
      </c>
    </row>
    <row r="570" spans="1:9" hidden="1" x14ac:dyDescent="0.3">
      <c r="A570" s="2">
        <v>45729</v>
      </c>
      <c r="B570" t="str">
        <f t="shared" si="27"/>
        <v xml:space="preserve">maart </v>
      </c>
      <c r="C570">
        <v>-77</v>
      </c>
      <c r="D570" t="s">
        <v>45</v>
      </c>
      <c r="F570" t="s">
        <v>18</v>
      </c>
      <c r="G570">
        <f t="shared" si="28"/>
        <v>-77</v>
      </c>
      <c r="H570" t="str">
        <f>VLOOKUP(Tabel1[[#This Row],[categorie]],Lijst!A:B,2,FALSE)</f>
        <v>Variabel</v>
      </c>
      <c r="I570" t="str">
        <f t="shared" si="29"/>
        <v>OK</v>
      </c>
    </row>
    <row r="571" spans="1:9" hidden="1" x14ac:dyDescent="0.3">
      <c r="A571" s="2">
        <v>45730</v>
      </c>
      <c r="B571" t="str">
        <f t="shared" si="27"/>
        <v xml:space="preserve">maart </v>
      </c>
      <c r="C571">
        <v>-1.5</v>
      </c>
      <c r="D571" t="s">
        <v>26</v>
      </c>
      <c r="F571" t="s">
        <v>18</v>
      </c>
      <c r="G571">
        <f t="shared" si="28"/>
        <v>-1.5</v>
      </c>
      <c r="H571" t="str">
        <f>VLOOKUP(Tabel1[[#This Row],[categorie]],Lijst!A:B,2,FALSE)</f>
        <v>Variabel</v>
      </c>
      <c r="I571" t="str">
        <f t="shared" si="29"/>
        <v>OK</v>
      </c>
    </row>
    <row r="572" spans="1:9" hidden="1" x14ac:dyDescent="0.3">
      <c r="A572" s="2">
        <v>45730</v>
      </c>
      <c r="B572" t="str">
        <f t="shared" si="27"/>
        <v xml:space="preserve">maart </v>
      </c>
      <c r="C572">
        <v>-27.54</v>
      </c>
      <c r="D572" t="s">
        <v>3</v>
      </c>
      <c r="F572" t="s">
        <v>18</v>
      </c>
      <c r="G572">
        <f t="shared" si="28"/>
        <v>-27.54</v>
      </c>
      <c r="H572" t="str">
        <f>VLOOKUP(Tabel1[[#This Row],[categorie]],Lijst!A:B,2,FALSE)</f>
        <v>Vast</v>
      </c>
      <c r="I572" t="str">
        <f t="shared" si="29"/>
        <v>OK</v>
      </c>
    </row>
    <row r="573" spans="1:9" hidden="1" x14ac:dyDescent="0.3">
      <c r="A573" s="2">
        <v>45730</v>
      </c>
      <c r="B573" t="str">
        <f t="shared" si="27"/>
        <v xml:space="preserve">maart </v>
      </c>
      <c r="C573">
        <v>-1.5</v>
      </c>
      <c r="D573" t="s">
        <v>26</v>
      </c>
      <c r="F573" t="s">
        <v>18</v>
      </c>
      <c r="G573">
        <f t="shared" si="28"/>
        <v>-1.5</v>
      </c>
      <c r="H573" t="str">
        <f>VLOOKUP(Tabel1[[#This Row],[categorie]],Lijst!A:B,2,FALSE)</f>
        <v>Variabel</v>
      </c>
      <c r="I573" t="str">
        <f t="shared" si="29"/>
        <v>OK</v>
      </c>
    </row>
    <row r="574" spans="1:9" hidden="1" x14ac:dyDescent="0.3">
      <c r="A574" s="2">
        <v>45730</v>
      </c>
      <c r="B574" t="str">
        <f t="shared" si="27"/>
        <v xml:space="preserve">maart </v>
      </c>
      <c r="C574">
        <v>-11.57</v>
      </c>
      <c r="D574" t="s">
        <v>35</v>
      </c>
      <c r="F574" t="s">
        <v>18</v>
      </c>
      <c r="G574">
        <f t="shared" si="28"/>
        <v>-11.57</v>
      </c>
      <c r="H574" t="str">
        <f>VLOOKUP(Tabel1[[#This Row],[categorie]],Lijst!A:B,2,FALSE)</f>
        <v>Variabel</v>
      </c>
      <c r="I574" t="str">
        <f t="shared" si="29"/>
        <v>OK</v>
      </c>
    </row>
    <row r="575" spans="1:9" hidden="1" x14ac:dyDescent="0.3">
      <c r="A575" s="2">
        <v>45732</v>
      </c>
      <c r="B575" t="str">
        <f t="shared" si="27"/>
        <v xml:space="preserve">maart </v>
      </c>
      <c r="C575">
        <v>-7.8</v>
      </c>
      <c r="D575" t="s">
        <v>3</v>
      </c>
      <c r="F575" t="s">
        <v>18</v>
      </c>
      <c r="G575">
        <f t="shared" si="28"/>
        <v>-7.8</v>
      </c>
      <c r="H575" t="str">
        <f>VLOOKUP(Tabel1[[#This Row],[categorie]],Lijst!A:B,2,FALSE)</f>
        <v>Vast</v>
      </c>
      <c r="I575" t="str">
        <f t="shared" si="29"/>
        <v>OK</v>
      </c>
    </row>
    <row r="576" spans="1:9" hidden="1" x14ac:dyDescent="0.3">
      <c r="A576" s="2">
        <v>45732</v>
      </c>
      <c r="B576" t="str">
        <f t="shared" si="27"/>
        <v xml:space="preserve">maart </v>
      </c>
      <c r="C576">
        <v>-150</v>
      </c>
      <c r="D576" t="s">
        <v>48</v>
      </c>
      <c r="F576" t="s">
        <v>18</v>
      </c>
      <c r="G576">
        <f t="shared" si="28"/>
        <v>-150</v>
      </c>
      <c r="H576" t="str">
        <f>VLOOKUP(Tabel1[[#This Row],[categorie]],Lijst!A:B,2,FALSE)</f>
        <v>Variabel</v>
      </c>
      <c r="I576" t="str">
        <f t="shared" si="29"/>
        <v>OK</v>
      </c>
    </row>
    <row r="577" spans="1:9" hidden="1" x14ac:dyDescent="0.3">
      <c r="A577" s="2">
        <v>45733</v>
      </c>
      <c r="B577" t="str">
        <f t="shared" si="27"/>
        <v xml:space="preserve">maart </v>
      </c>
      <c r="C577">
        <v>-58.9</v>
      </c>
      <c r="D577" t="s">
        <v>9</v>
      </c>
      <c r="F577" t="s">
        <v>18</v>
      </c>
      <c r="G577">
        <f t="shared" si="28"/>
        <v>-58.9</v>
      </c>
      <c r="H577" t="str">
        <f>VLOOKUP(Tabel1[[#This Row],[categorie]],Lijst!A:B,2,FALSE)</f>
        <v>Variabel</v>
      </c>
      <c r="I577" t="str">
        <f t="shared" si="29"/>
        <v>OK</v>
      </c>
    </row>
    <row r="578" spans="1:9" hidden="1" x14ac:dyDescent="0.3">
      <c r="A578" s="2">
        <v>45733</v>
      </c>
      <c r="B578" t="str">
        <f t="shared" si="27"/>
        <v xml:space="preserve">maart </v>
      </c>
      <c r="C578">
        <v>-5.3</v>
      </c>
      <c r="D578" t="s">
        <v>13</v>
      </c>
      <c r="F578" t="s">
        <v>18</v>
      </c>
      <c r="G578">
        <f t="shared" si="28"/>
        <v>-5.3</v>
      </c>
      <c r="H578" t="str">
        <f>VLOOKUP(Tabel1[[#This Row],[categorie]],Lijst!A:B,2,FALSE)</f>
        <v>Vast</v>
      </c>
      <c r="I578" t="str">
        <f t="shared" si="29"/>
        <v>OK</v>
      </c>
    </row>
    <row r="579" spans="1:9" hidden="1" x14ac:dyDescent="0.3">
      <c r="A579" s="2">
        <v>45733</v>
      </c>
      <c r="B579" t="str">
        <f t="shared" si="27"/>
        <v xml:space="preserve">maart </v>
      </c>
      <c r="C579">
        <v>-5</v>
      </c>
      <c r="D579" t="s">
        <v>13</v>
      </c>
      <c r="F579" t="s">
        <v>18</v>
      </c>
      <c r="G579">
        <f t="shared" si="28"/>
        <v>-5</v>
      </c>
      <c r="H579" t="str">
        <f>VLOOKUP(Tabel1[[#This Row],[categorie]],Lijst!A:B,2,FALSE)</f>
        <v>Vast</v>
      </c>
      <c r="I579" t="str">
        <f t="shared" si="29"/>
        <v>OK</v>
      </c>
    </row>
    <row r="580" spans="1:9" hidden="1" x14ac:dyDescent="0.3">
      <c r="A580" s="2">
        <v>45733</v>
      </c>
      <c r="B580" t="str">
        <f t="shared" si="27"/>
        <v xml:space="preserve">maart </v>
      </c>
      <c r="C580">
        <v>-67.349999999999994</v>
      </c>
      <c r="D580" t="s">
        <v>14</v>
      </c>
      <c r="F580" t="s">
        <v>18</v>
      </c>
      <c r="G580">
        <f t="shared" si="28"/>
        <v>-67.349999999999994</v>
      </c>
      <c r="H580" t="str">
        <f>VLOOKUP(Tabel1[[#This Row],[categorie]],Lijst!A:B,2,FALSE)</f>
        <v>Variabel</v>
      </c>
      <c r="I580" t="str">
        <f t="shared" si="29"/>
        <v>OK</v>
      </c>
    </row>
    <row r="581" spans="1:9" hidden="1" x14ac:dyDescent="0.3">
      <c r="A581" s="2">
        <v>45733</v>
      </c>
      <c r="B581" t="str">
        <f t="shared" si="27"/>
        <v xml:space="preserve">maart </v>
      </c>
      <c r="C581">
        <v>-17.86</v>
      </c>
      <c r="D581" t="s">
        <v>3</v>
      </c>
      <c r="F581" t="s">
        <v>18</v>
      </c>
      <c r="G581">
        <f t="shared" si="28"/>
        <v>-17.86</v>
      </c>
      <c r="H581" t="str">
        <f>VLOOKUP(Tabel1[[#This Row],[categorie]],Lijst!A:B,2,FALSE)</f>
        <v>Vast</v>
      </c>
      <c r="I581" t="str">
        <f t="shared" si="29"/>
        <v>OK</v>
      </c>
    </row>
    <row r="582" spans="1:9" hidden="1" x14ac:dyDescent="0.3">
      <c r="A582" s="2">
        <v>45733</v>
      </c>
      <c r="B582" t="str">
        <f t="shared" si="27"/>
        <v xml:space="preserve">maart </v>
      </c>
      <c r="C582">
        <v>-2.0099999999999998</v>
      </c>
      <c r="D582" t="s">
        <v>3</v>
      </c>
      <c r="F582" t="s">
        <v>18</v>
      </c>
      <c r="G582">
        <f t="shared" si="28"/>
        <v>-2.0099999999999998</v>
      </c>
      <c r="H582" t="str">
        <f>VLOOKUP(Tabel1[[#This Row],[categorie]],Lijst!A:B,2,FALSE)</f>
        <v>Vast</v>
      </c>
      <c r="I582" t="str">
        <f t="shared" si="29"/>
        <v>OK</v>
      </c>
    </row>
    <row r="583" spans="1:9" hidden="1" x14ac:dyDescent="0.3">
      <c r="A583" s="2">
        <v>45733</v>
      </c>
      <c r="B583" t="str">
        <f t="shared" si="27"/>
        <v xml:space="preserve">maart </v>
      </c>
      <c r="C583">
        <v>-15</v>
      </c>
      <c r="D583" t="s">
        <v>14</v>
      </c>
      <c r="F583" t="s">
        <v>18</v>
      </c>
      <c r="G583">
        <f t="shared" si="28"/>
        <v>-15</v>
      </c>
      <c r="H583" t="str">
        <f>VLOOKUP(Tabel1[[#This Row],[categorie]],Lijst!A:B,2,FALSE)</f>
        <v>Variabel</v>
      </c>
      <c r="I583" t="str">
        <f t="shared" si="29"/>
        <v>OK</v>
      </c>
    </row>
    <row r="584" spans="1:9" hidden="1" x14ac:dyDescent="0.3">
      <c r="A584" s="2">
        <v>45733</v>
      </c>
      <c r="B584" t="str">
        <f t="shared" si="27"/>
        <v xml:space="preserve">maart </v>
      </c>
      <c r="C584">
        <v>-7.5</v>
      </c>
      <c r="D584" t="s">
        <v>3</v>
      </c>
      <c r="F584" t="s">
        <v>18</v>
      </c>
      <c r="G584">
        <f t="shared" si="28"/>
        <v>-7.5</v>
      </c>
      <c r="H584" t="str">
        <f>VLOOKUP(Tabel1[[#This Row],[categorie]],Lijst!A:B,2,FALSE)</f>
        <v>Vast</v>
      </c>
      <c r="I584" t="str">
        <f t="shared" si="29"/>
        <v>OK</v>
      </c>
    </row>
    <row r="585" spans="1:9" hidden="1" x14ac:dyDescent="0.3">
      <c r="A585" s="2">
        <v>45733</v>
      </c>
      <c r="B585" t="str">
        <f t="shared" si="27"/>
        <v xml:space="preserve">maart </v>
      </c>
      <c r="C585">
        <v>-5.95</v>
      </c>
      <c r="D585" t="s">
        <v>56</v>
      </c>
      <c r="F585" t="s">
        <v>18</v>
      </c>
      <c r="G585">
        <f t="shared" si="28"/>
        <v>-5.95</v>
      </c>
      <c r="H585" t="str">
        <f>VLOOKUP(Tabel1[[#This Row],[categorie]],Lijst!A:B,2,FALSE)</f>
        <v>Variabel</v>
      </c>
      <c r="I585" t="str">
        <f t="shared" si="29"/>
        <v>OK</v>
      </c>
    </row>
    <row r="586" spans="1:9" hidden="1" x14ac:dyDescent="0.3">
      <c r="A586" s="2">
        <v>45733</v>
      </c>
      <c r="B586" t="str">
        <f t="shared" si="27"/>
        <v xml:space="preserve">maart </v>
      </c>
      <c r="C586">
        <v>-254.85</v>
      </c>
      <c r="D586" t="s">
        <v>14</v>
      </c>
      <c r="F586" t="s">
        <v>18</v>
      </c>
      <c r="G586">
        <f t="shared" si="28"/>
        <v>-254.85</v>
      </c>
      <c r="H586" t="str">
        <f>VLOOKUP(Tabel1[[#This Row],[categorie]],Lijst!A:B,2,FALSE)</f>
        <v>Variabel</v>
      </c>
      <c r="I586" t="str">
        <f t="shared" si="29"/>
        <v>OK</v>
      </c>
    </row>
    <row r="587" spans="1:9" hidden="1" x14ac:dyDescent="0.3">
      <c r="A587" s="2">
        <v>45733</v>
      </c>
      <c r="B587" t="str">
        <f t="shared" si="27"/>
        <v xml:space="preserve">maart </v>
      </c>
      <c r="C587">
        <v>-16.489999999999998</v>
      </c>
      <c r="D587" t="s">
        <v>3</v>
      </c>
      <c r="F587" t="s">
        <v>18</v>
      </c>
      <c r="G587">
        <f t="shared" si="28"/>
        <v>-16.489999999999998</v>
      </c>
      <c r="H587" t="str">
        <f>VLOOKUP(Tabel1[[#This Row],[categorie]],Lijst!A:B,2,FALSE)</f>
        <v>Vast</v>
      </c>
      <c r="I587" t="str">
        <f t="shared" si="29"/>
        <v>OK</v>
      </c>
    </row>
    <row r="588" spans="1:9" hidden="1" x14ac:dyDescent="0.3">
      <c r="A588" s="2">
        <v>45733</v>
      </c>
      <c r="B588" t="str">
        <f t="shared" si="27"/>
        <v xml:space="preserve">maart </v>
      </c>
      <c r="C588">
        <v>-5.48</v>
      </c>
      <c r="D588" t="s">
        <v>3</v>
      </c>
      <c r="F588" t="s">
        <v>18</v>
      </c>
      <c r="G588">
        <f t="shared" si="28"/>
        <v>-5.48</v>
      </c>
      <c r="H588" t="str">
        <f>VLOOKUP(Tabel1[[#This Row],[categorie]],Lijst!A:B,2,FALSE)</f>
        <v>Vast</v>
      </c>
      <c r="I588" t="str">
        <f t="shared" si="29"/>
        <v>OK</v>
      </c>
    </row>
    <row r="589" spans="1:9" hidden="1" x14ac:dyDescent="0.3">
      <c r="A589" s="2">
        <v>45733</v>
      </c>
      <c r="B589" t="str">
        <f t="shared" si="27"/>
        <v xml:space="preserve">maart </v>
      </c>
      <c r="C589">
        <v>-81.66</v>
      </c>
      <c r="D589" t="s">
        <v>33</v>
      </c>
      <c r="F589" t="s">
        <v>18</v>
      </c>
      <c r="G589">
        <f t="shared" si="28"/>
        <v>-81.66</v>
      </c>
      <c r="H589" t="str">
        <f>VLOOKUP(Tabel1[[#This Row],[categorie]],Lijst!A:B,2,FALSE)</f>
        <v>Vast</v>
      </c>
      <c r="I589" t="str">
        <f t="shared" si="29"/>
        <v>OK</v>
      </c>
    </row>
    <row r="590" spans="1:9" hidden="1" x14ac:dyDescent="0.3">
      <c r="A590" s="2">
        <v>45733</v>
      </c>
      <c r="B590" t="str">
        <f t="shared" si="27"/>
        <v xml:space="preserve">maart </v>
      </c>
      <c r="C590">
        <v>-85</v>
      </c>
      <c r="D590" t="s">
        <v>33</v>
      </c>
      <c r="F590" t="s">
        <v>18</v>
      </c>
      <c r="G590">
        <f t="shared" si="28"/>
        <v>-85</v>
      </c>
      <c r="H590" t="str">
        <f>VLOOKUP(Tabel1[[#This Row],[categorie]],Lijst!A:B,2,FALSE)</f>
        <v>Vast</v>
      </c>
      <c r="I590" t="str">
        <f t="shared" si="29"/>
        <v>OK</v>
      </c>
    </row>
    <row r="591" spans="1:9" hidden="1" x14ac:dyDescent="0.3">
      <c r="A591" s="2">
        <v>45733</v>
      </c>
      <c r="B591" t="str">
        <f t="shared" si="27"/>
        <v xml:space="preserve">maart </v>
      </c>
      <c r="C591">
        <v>-33.549999999999997</v>
      </c>
      <c r="D591" t="s">
        <v>8</v>
      </c>
      <c r="F591" t="s">
        <v>18</v>
      </c>
      <c r="G591">
        <f t="shared" si="28"/>
        <v>-33.549999999999997</v>
      </c>
      <c r="H591" t="str">
        <f>VLOOKUP(Tabel1[[#This Row],[categorie]],Lijst!A:B,2,FALSE)</f>
        <v>Vast</v>
      </c>
      <c r="I591" t="str">
        <f t="shared" si="29"/>
        <v>OK</v>
      </c>
    </row>
    <row r="592" spans="1:9" hidden="1" x14ac:dyDescent="0.3">
      <c r="A592" s="2">
        <v>45733</v>
      </c>
      <c r="B592" t="str">
        <f t="shared" si="27"/>
        <v xml:space="preserve">maart </v>
      </c>
      <c r="C592">
        <v>-21.94</v>
      </c>
      <c r="D592" t="s">
        <v>9</v>
      </c>
      <c r="F592" t="s">
        <v>18</v>
      </c>
      <c r="G592">
        <f t="shared" si="28"/>
        <v>-21.94</v>
      </c>
      <c r="H592" t="str">
        <f>VLOOKUP(Tabel1[[#This Row],[categorie]],Lijst!A:B,2,FALSE)</f>
        <v>Variabel</v>
      </c>
      <c r="I592" t="str">
        <f t="shared" si="29"/>
        <v>OK</v>
      </c>
    </row>
    <row r="593" spans="1:9" hidden="1" x14ac:dyDescent="0.3">
      <c r="A593" s="2">
        <v>45734</v>
      </c>
      <c r="B593" t="str">
        <f t="shared" si="27"/>
        <v xml:space="preserve">maart </v>
      </c>
      <c r="C593">
        <v>-138.21</v>
      </c>
      <c r="D593" t="s">
        <v>11</v>
      </c>
      <c r="F593" t="s">
        <v>18</v>
      </c>
      <c r="G593">
        <f t="shared" si="28"/>
        <v>-138.21</v>
      </c>
      <c r="H593" t="str">
        <f>VLOOKUP(Tabel1[[#This Row],[categorie]],Lijst!A:B,2,FALSE)</f>
        <v>Vast</v>
      </c>
      <c r="I593" t="str">
        <f t="shared" si="29"/>
        <v>OK</v>
      </c>
    </row>
    <row r="594" spans="1:9" hidden="1" x14ac:dyDescent="0.3">
      <c r="A594" s="2">
        <v>45734</v>
      </c>
      <c r="B594" t="str">
        <f t="shared" si="27"/>
        <v xml:space="preserve">maart </v>
      </c>
      <c r="C594">
        <v>-10.59</v>
      </c>
      <c r="D594" t="s">
        <v>3</v>
      </c>
      <c r="F594" t="s">
        <v>18</v>
      </c>
      <c r="G594">
        <f t="shared" si="28"/>
        <v>-10.59</v>
      </c>
      <c r="H594" t="str">
        <f>VLOOKUP(Tabel1[[#This Row],[categorie]],Lijst!A:B,2,FALSE)</f>
        <v>Vast</v>
      </c>
      <c r="I594" t="str">
        <f t="shared" si="29"/>
        <v>OK</v>
      </c>
    </row>
    <row r="595" spans="1:9" hidden="1" x14ac:dyDescent="0.3">
      <c r="A595" s="2">
        <v>45734</v>
      </c>
      <c r="B595" t="str">
        <f t="shared" si="27"/>
        <v xml:space="preserve">maart </v>
      </c>
      <c r="C595">
        <v>-8.81</v>
      </c>
      <c r="D595" t="s">
        <v>3</v>
      </c>
      <c r="F595" t="s">
        <v>18</v>
      </c>
      <c r="G595">
        <f t="shared" si="28"/>
        <v>-8.81</v>
      </c>
      <c r="H595" t="str">
        <f>VLOOKUP(Tabel1[[#This Row],[categorie]],Lijst!A:B,2,FALSE)</f>
        <v>Vast</v>
      </c>
      <c r="I595" t="str">
        <f t="shared" si="29"/>
        <v>OK</v>
      </c>
    </row>
    <row r="596" spans="1:9" hidden="1" x14ac:dyDescent="0.3">
      <c r="A596" s="2">
        <v>45734</v>
      </c>
      <c r="B596" t="str">
        <f t="shared" si="27"/>
        <v xml:space="preserve">maart </v>
      </c>
      <c r="C596">
        <v>-6.39</v>
      </c>
      <c r="D596" t="s">
        <v>3</v>
      </c>
      <c r="F596" t="s">
        <v>18</v>
      </c>
      <c r="G596">
        <f t="shared" si="28"/>
        <v>-6.39</v>
      </c>
      <c r="H596" t="str">
        <f>VLOOKUP(Tabel1[[#This Row],[categorie]],Lijst!A:B,2,FALSE)</f>
        <v>Vast</v>
      </c>
      <c r="I596" t="str">
        <f t="shared" si="29"/>
        <v>OK</v>
      </c>
    </row>
    <row r="597" spans="1:9" hidden="1" x14ac:dyDescent="0.3">
      <c r="A597" s="2">
        <v>45734</v>
      </c>
      <c r="B597" t="str">
        <f t="shared" si="27"/>
        <v xml:space="preserve">maart </v>
      </c>
      <c r="C597">
        <v>-1.5</v>
      </c>
      <c r="D597" t="s">
        <v>26</v>
      </c>
      <c r="F597" t="s">
        <v>18</v>
      </c>
      <c r="G597">
        <f t="shared" si="28"/>
        <v>-1.5</v>
      </c>
      <c r="H597" t="str">
        <f>VLOOKUP(Tabel1[[#This Row],[categorie]],Lijst!A:B,2,FALSE)</f>
        <v>Variabel</v>
      </c>
      <c r="I597" t="str">
        <f t="shared" si="29"/>
        <v>OK</v>
      </c>
    </row>
    <row r="598" spans="1:9" hidden="1" x14ac:dyDescent="0.3">
      <c r="A598" s="2">
        <v>45734</v>
      </c>
      <c r="B598" t="str">
        <f t="shared" si="27"/>
        <v xml:space="preserve">maart </v>
      </c>
      <c r="C598">
        <v>-0.5</v>
      </c>
      <c r="D598" t="s">
        <v>26</v>
      </c>
      <c r="F598" t="s">
        <v>18</v>
      </c>
      <c r="G598">
        <f t="shared" si="28"/>
        <v>-0.5</v>
      </c>
      <c r="H598" t="str">
        <f>VLOOKUP(Tabel1[[#This Row],[categorie]],Lijst!A:B,2,FALSE)</f>
        <v>Variabel</v>
      </c>
      <c r="I598" t="str">
        <f t="shared" si="29"/>
        <v>OK</v>
      </c>
    </row>
    <row r="599" spans="1:9" hidden="1" x14ac:dyDescent="0.3">
      <c r="A599" s="2">
        <v>45734</v>
      </c>
      <c r="B599" t="str">
        <f t="shared" si="27"/>
        <v xml:space="preserve">maart </v>
      </c>
      <c r="C599">
        <v>-0.5</v>
      </c>
      <c r="D599" t="s">
        <v>26</v>
      </c>
      <c r="F599" t="s">
        <v>18</v>
      </c>
      <c r="G599">
        <f t="shared" si="28"/>
        <v>-0.5</v>
      </c>
      <c r="H599" t="str">
        <f>VLOOKUP(Tabel1[[#This Row],[categorie]],Lijst!A:B,2,FALSE)</f>
        <v>Variabel</v>
      </c>
      <c r="I599" t="str">
        <f t="shared" si="29"/>
        <v>OK</v>
      </c>
    </row>
    <row r="600" spans="1:9" hidden="1" x14ac:dyDescent="0.3">
      <c r="A600" s="2">
        <v>45734</v>
      </c>
      <c r="B600" t="str">
        <f t="shared" si="27"/>
        <v xml:space="preserve">maart </v>
      </c>
      <c r="C600">
        <v>4.5999999999999996</v>
      </c>
      <c r="D600" t="s">
        <v>75</v>
      </c>
      <c r="F600" t="s">
        <v>17</v>
      </c>
      <c r="G600">
        <f t="shared" si="28"/>
        <v>4.5999999999999996</v>
      </c>
      <c r="H600" t="str">
        <f>VLOOKUP(Tabel1[[#This Row],[categorie]],Lijst!A:B,2,FALSE)</f>
        <v>Variabel</v>
      </c>
      <c r="I600" t="str">
        <f t="shared" si="29"/>
        <v>OK</v>
      </c>
    </row>
    <row r="601" spans="1:9" hidden="1" x14ac:dyDescent="0.3">
      <c r="A601" s="2">
        <v>45734</v>
      </c>
      <c r="B601" t="str">
        <f t="shared" si="27"/>
        <v xml:space="preserve">maart </v>
      </c>
      <c r="C601">
        <v>-55.97</v>
      </c>
      <c r="D601" t="s">
        <v>30</v>
      </c>
      <c r="F601" t="s">
        <v>18</v>
      </c>
      <c r="G601">
        <f t="shared" si="28"/>
        <v>-55.97</v>
      </c>
      <c r="H601" t="str">
        <f>VLOOKUP(Tabel1[[#This Row],[categorie]],Lijst!A:B,2,FALSE)</f>
        <v>Vast</v>
      </c>
      <c r="I601" t="str">
        <f t="shared" si="29"/>
        <v>OK</v>
      </c>
    </row>
    <row r="602" spans="1:9" hidden="1" x14ac:dyDescent="0.3">
      <c r="A602" s="2">
        <v>45734</v>
      </c>
      <c r="B602" t="str">
        <f t="shared" si="27"/>
        <v xml:space="preserve">maart </v>
      </c>
      <c r="C602">
        <v>-4.7</v>
      </c>
      <c r="D602" t="s">
        <v>9</v>
      </c>
      <c r="F602" t="s">
        <v>18</v>
      </c>
      <c r="G602">
        <f t="shared" si="28"/>
        <v>-4.7</v>
      </c>
      <c r="H602" t="str">
        <f>VLOOKUP(Tabel1[[#This Row],[categorie]],Lijst!A:B,2,FALSE)</f>
        <v>Variabel</v>
      </c>
      <c r="I602" t="str">
        <f t="shared" si="29"/>
        <v>OK</v>
      </c>
    </row>
    <row r="603" spans="1:9" hidden="1" x14ac:dyDescent="0.3">
      <c r="A603" s="2">
        <v>45735</v>
      </c>
      <c r="B603" t="str">
        <f t="shared" si="27"/>
        <v xml:space="preserve">maart </v>
      </c>
      <c r="C603">
        <v>-1.26</v>
      </c>
      <c r="D603" t="s">
        <v>3</v>
      </c>
      <c r="F603" t="s">
        <v>18</v>
      </c>
      <c r="G603">
        <f t="shared" si="28"/>
        <v>-1.26</v>
      </c>
      <c r="H603" t="str">
        <f>VLOOKUP(Tabel1[[#This Row],[categorie]],Lijst!A:B,2,FALSE)</f>
        <v>Vast</v>
      </c>
      <c r="I603" t="str">
        <f t="shared" si="29"/>
        <v>OK</v>
      </c>
    </row>
    <row r="604" spans="1:9" hidden="1" x14ac:dyDescent="0.3">
      <c r="A604" s="2">
        <v>45735</v>
      </c>
      <c r="B604" t="str">
        <f t="shared" si="27"/>
        <v xml:space="preserve">maart </v>
      </c>
      <c r="C604">
        <v>-1.5</v>
      </c>
      <c r="D604" t="s">
        <v>26</v>
      </c>
      <c r="F604" t="s">
        <v>18</v>
      </c>
      <c r="G604">
        <f t="shared" si="28"/>
        <v>-1.5</v>
      </c>
      <c r="H604" t="str">
        <f>VLOOKUP(Tabel1[[#This Row],[categorie]],Lijst!A:B,2,FALSE)</f>
        <v>Variabel</v>
      </c>
      <c r="I604" t="str">
        <f t="shared" si="29"/>
        <v>OK</v>
      </c>
    </row>
    <row r="605" spans="1:9" hidden="1" x14ac:dyDescent="0.3">
      <c r="A605" s="2">
        <v>45735</v>
      </c>
      <c r="B605" t="str">
        <f t="shared" si="27"/>
        <v xml:space="preserve">maart </v>
      </c>
      <c r="C605">
        <v>-6.7</v>
      </c>
      <c r="D605" t="s">
        <v>3</v>
      </c>
      <c r="F605" t="s">
        <v>18</v>
      </c>
      <c r="G605">
        <f t="shared" si="28"/>
        <v>-6.7</v>
      </c>
      <c r="H605" t="str">
        <f>VLOOKUP(Tabel1[[#This Row],[categorie]],Lijst!A:B,2,FALSE)</f>
        <v>Vast</v>
      </c>
      <c r="I605" t="str">
        <f t="shared" si="29"/>
        <v>OK</v>
      </c>
    </row>
    <row r="606" spans="1:9" hidden="1" x14ac:dyDescent="0.3">
      <c r="A606" s="2">
        <v>45735</v>
      </c>
      <c r="B606" t="str">
        <f t="shared" si="27"/>
        <v xml:space="preserve">maart </v>
      </c>
      <c r="C606">
        <v>-3.96</v>
      </c>
      <c r="D606" t="s">
        <v>3</v>
      </c>
      <c r="F606" t="s">
        <v>18</v>
      </c>
      <c r="G606">
        <f t="shared" si="28"/>
        <v>-3.96</v>
      </c>
      <c r="H606" t="str">
        <f>VLOOKUP(Tabel1[[#This Row],[categorie]],Lijst!A:B,2,FALSE)</f>
        <v>Vast</v>
      </c>
      <c r="I606" t="str">
        <f t="shared" si="29"/>
        <v>OK</v>
      </c>
    </row>
    <row r="607" spans="1:9" hidden="1" x14ac:dyDescent="0.3">
      <c r="A607" s="2">
        <v>45735</v>
      </c>
      <c r="B607" t="str">
        <f t="shared" si="27"/>
        <v xml:space="preserve">maart </v>
      </c>
      <c r="C607">
        <v>-28.5</v>
      </c>
      <c r="D607" t="s">
        <v>9</v>
      </c>
      <c r="F607" t="s">
        <v>18</v>
      </c>
      <c r="G607">
        <f t="shared" si="28"/>
        <v>-28.5</v>
      </c>
      <c r="H607" t="str">
        <f>VLOOKUP(Tabel1[[#This Row],[categorie]],Lijst!A:B,2,FALSE)</f>
        <v>Variabel</v>
      </c>
      <c r="I607" t="str">
        <f t="shared" si="29"/>
        <v>OK</v>
      </c>
    </row>
    <row r="608" spans="1:9" hidden="1" x14ac:dyDescent="0.3">
      <c r="A608" s="2">
        <v>45736</v>
      </c>
      <c r="B608" t="str">
        <f t="shared" si="27"/>
        <v xml:space="preserve">maart </v>
      </c>
      <c r="C608">
        <v>-48</v>
      </c>
      <c r="D608" t="s">
        <v>9</v>
      </c>
      <c r="F608" t="s">
        <v>18</v>
      </c>
      <c r="G608">
        <f t="shared" si="28"/>
        <v>-48</v>
      </c>
      <c r="H608" t="str">
        <f>VLOOKUP(Tabel1[[#This Row],[categorie]],Lijst!A:B,2,FALSE)</f>
        <v>Variabel</v>
      </c>
      <c r="I608" t="str">
        <f t="shared" si="29"/>
        <v>OK</v>
      </c>
    </row>
    <row r="609" spans="1:9" hidden="1" x14ac:dyDescent="0.3">
      <c r="A609" s="2">
        <v>45736</v>
      </c>
      <c r="B609" t="str">
        <f t="shared" si="27"/>
        <v xml:space="preserve">maart </v>
      </c>
      <c r="C609">
        <v>-33.83</v>
      </c>
      <c r="D609" t="s">
        <v>48</v>
      </c>
      <c r="F609" t="s">
        <v>18</v>
      </c>
      <c r="G609">
        <f t="shared" si="28"/>
        <v>-33.83</v>
      </c>
      <c r="H609" t="str">
        <f>VLOOKUP(Tabel1[[#This Row],[categorie]],Lijst!A:B,2,FALSE)</f>
        <v>Variabel</v>
      </c>
      <c r="I609" t="str">
        <f t="shared" si="29"/>
        <v>OK</v>
      </c>
    </row>
    <row r="610" spans="1:9" hidden="1" x14ac:dyDescent="0.3">
      <c r="A610" s="2">
        <v>45736</v>
      </c>
      <c r="B610" t="str">
        <f t="shared" si="27"/>
        <v xml:space="preserve">maart </v>
      </c>
      <c r="C610">
        <v>-1.5</v>
      </c>
      <c r="D610" t="s">
        <v>26</v>
      </c>
      <c r="F610" t="s">
        <v>18</v>
      </c>
      <c r="G610">
        <f t="shared" si="28"/>
        <v>-1.5</v>
      </c>
      <c r="H610" t="str">
        <f>VLOOKUP(Tabel1[[#This Row],[categorie]],Lijst!A:B,2,FALSE)</f>
        <v>Variabel</v>
      </c>
      <c r="I610" t="str">
        <f t="shared" si="29"/>
        <v>OK</v>
      </c>
    </row>
    <row r="611" spans="1:9" hidden="1" x14ac:dyDescent="0.3">
      <c r="A611" s="2">
        <v>45736</v>
      </c>
      <c r="B611" t="str">
        <f t="shared" ref="B611:B674" si="30">TEXT(A611,"mmmm ")</f>
        <v xml:space="preserve">maart </v>
      </c>
      <c r="C611">
        <v>-1.5</v>
      </c>
      <c r="D611" t="s">
        <v>26</v>
      </c>
      <c r="F611" t="s">
        <v>18</v>
      </c>
      <c r="G611">
        <f t="shared" ref="G611:G674" si="31">IF(F611="Uitgave", -ABS(C611), ABS(C611))</f>
        <v>-1.5</v>
      </c>
      <c r="H611" t="str">
        <f>VLOOKUP(Tabel1[[#This Row],[categorie]],Lijst!A:B,2,FALSE)</f>
        <v>Variabel</v>
      </c>
      <c r="I611" t="str">
        <f t="shared" ref="I611:I674" si="32">IF(OR(AND(F611="Uitgave", C611&lt;0), AND(F611="Inkomst", C611&gt;0)), "OK", "FOUT")</f>
        <v>OK</v>
      </c>
    </row>
    <row r="612" spans="1:9" hidden="1" x14ac:dyDescent="0.3">
      <c r="A612" s="2">
        <v>45736</v>
      </c>
      <c r="B612" t="str">
        <f t="shared" si="30"/>
        <v xml:space="preserve">maart </v>
      </c>
      <c r="C612">
        <v>-9.52</v>
      </c>
      <c r="D612" t="s">
        <v>3</v>
      </c>
      <c r="F612" t="s">
        <v>18</v>
      </c>
      <c r="G612">
        <f t="shared" si="31"/>
        <v>-9.52</v>
      </c>
      <c r="H612" t="str">
        <f>VLOOKUP(Tabel1[[#This Row],[categorie]],Lijst!A:B,2,FALSE)</f>
        <v>Vast</v>
      </c>
      <c r="I612" t="str">
        <f t="shared" si="32"/>
        <v>OK</v>
      </c>
    </row>
    <row r="613" spans="1:9" hidden="1" x14ac:dyDescent="0.3">
      <c r="A613" s="2">
        <v>45736</v>
      </c>
      <c r="B613" t="str">
        <f t="shared" si="30"/>
        <v xml:space="preserve">maart </v>
      </c>
      <c r="C613">
        <v>-9.6999999999999993</v>
      </c>
      <c r="D613" t="s">
        <v>3</v>
      </c>
      <c r="F613" t="s">
        <v>18</v>
      </c>
      <c r="G613">
        <f t="shared" si="31"/>
        <v>-9.6999999999999993</v>
      </c>
      <c r="H613" t="str">
        <f>VLOOKUP(Tabel1[[#This Row],[categorie]],Lijst!A:B,2,FALSE)</f>
        <v>Vast</v>
      </c>
      <c r="I613" t="str">
        <f t="shared" si="32"/>
        <v>OK</v>
      </c>
    </row>
    <row r="614" spans="1:9" hidden="1" x14ac:dyDescent="0.3">
      <c r="A614" s="2">
        <v>45736</v>
      </c>
      <c r="B614" t="str">
        <f t="shared" si="30"/>
        <v xml:space="preserve">maart </v>
      </c>
      <c r="C614">
        <v>-2.7</v>
      </c>
      <c r="D614" t="s">
        <v>3</v>
      </c>
      <c r="F614" t="s">
        <v>18</v>
      </c>
      <c r="G614">
        <f t="shared" si="31"/>
        <v>-2.7</v>
      </c>
      <c r="H614" t="str">
        <f>VLOOKUP(Tabel1[[#This Row],[categorie]],Lijst!A:B,2,FALSE)</f>
        <v>Vast</v>
      </c>
      <c r="I614" t="str">
        <f t="shared" si="32"/>
        <v>OK</v>
      </c>
    </row>
    <row r="615" spans="1:9" hidden="1" x14ac:dyDescent="0.3">
      <c r="A615" s="2">
        <v>45736</v>
      </c>
      <c r="B615" t="str">
        <f t="shared" si="30"/>
        <v xml:space="preserve">maart </v>
      </c>
      <c r="C615">
        <v>8</v>
      </c>
      <c r="D615" t="s">
        <v>3</v>
      </c>
      <c r="F615" t="s">
        <v>17</v>
      </c>
      <c r="G615">
        <f t="shared" si="31"/>
        <v>8</v>
      </c>
      <c r="H615" t="str">
        <f>VLOOKUP(Tabel1[[#This Row],[categorie]],Lijst!A:B,2,FALSE)</f>
        <v>Vast</v>
      </c>
      <c r="I615" t="str">
        <f t="shared" si="32"/>
        <v>OK</v>
      </c>
    </row>
    <row r="616" spans="1:9" hidden="1" x14ac:dyDescent="0.3">
      <c r="A616" s="2">
        <v>45736</v>
      </c>
      <c r="B616" t="str">
        <f t="shared" si="30"/>
        <v xml:space="preserve">maart </v>
      </c>
      <c r="C616">
        <v>8</v>
      </c>
      <c r="D616" t="s">
        <v>3</v>
      </c>
      <c r="F616" t="s">
        <v>17</v>
      </c>
      <c r="G616">
        <f t="shared" si="31"/>
        <v>8</v>
      </c>
      <c r="H616" t="str">
        <f>VLOOKUP(Tabel1[[#This Row],[categorie]],Lijst!A:B,2,FALSE)</f>
        <v>Vast</v>
      </c>
      <c r="I616" t="str">
        <f t="shared" si="32"/>
        <v>OK</v>
      </c>
    </row>
    <row r="617" spans="1:9" hidden="1" x14ac:dyDescent="0.3">
      <c r="A617" s="2">
        <v>45736</v>
      </c>
      <c r="B617" t="str">
        <f t="shared" si="30"/>
        <v xml:space="preserve">maart </v>
      </c>
      <c r="C617">
        <v>7</v>
      </c>
      <c r="D617" t="s">
        <v>25</v>
      </c>
      <c r="F617" t="s">
        <v>17</v>
      </c>
      <c r="G617">
        <f t="shared" si="31"/>
        <v>7</v>
      </c>
      <c r="H617" t="str">
        <f>VLOOKUP(Tabel1[[#This Row],[categorie]],Lijst!A:B,2,FALSE)</f>
        <v>Variabel</v>
      </c>
      <c r="I617" t="str">
        <f t="shared" si="32"/>
        <v>OK</v>
      </c>
    </row>
    <row r="618" spans="1:9" hidden="1" x14ac:dyDescent="0.3">
      <c r="A618" s="2">
        <v>45737</v>
      </c>
      <c r="B618" t="str">
        <f t="shared" si="30"/>
        <v xml:space="preserve">maart </v>
      </c>
      <c r="C618">
        <v>-121.6</v>
      </c>
      <c r="D618" t="s">
        <v>3</v>
      </c>
      <c r="F618" t="s">
        <v>18</v>
      </c>
      <c r="G618">
        <f t="shared" si="31"/>
        <v>-121.6</v>
      </c>
      <c r="H618" t="str">
        <f>VLOOKUP(Tabel1[[#This Row],[categorie]],Lijst!A:B,2,FALSE)</f>
        <v>Vast</v>
      </c>
      <c r="I618" t="str">
        <f t="shared" si="32"/>
        <v>OK</v>
      </c>
    </row>
    <row r="619" spans="1:9" hidden="1" x14ac:dyDescent="0.3">
      <c r="A619" s="2">
        <v>45737</v>
      </c>
      <c r="B619" t="str">
        <f t="shared" si="30"/>
        <v xml:space="preserve">maart </v>
      </c>
      <c r="C619">
        <v>-1.47</v>
      </c>
      <c r="D619" t="s">
        <v>3</v>
      </c>
      <c r="F619" t="s">
        <v>18</v>
      </c>
      <c r="G619">
        <f t="shared" si="31"/>
        <v>-1.47</v>
      </c>
      <c r="H619" t="str">
        <f>VLOOKUP(Tabel1[[#This Row],[categorie]],Lijst!A:B,2,FALSE)</f>
        <v>Vast</v>
      </c>
      <c r="I619" t="str">
        <f t="shared" si="32"/>
        <v>OK</v>
      </c>
    </row>
    <row r="620" spans="1:9" hidden="1" x14ac:dyDescent="0.3">
      <c r="A620" s="2">
        <v>45737</v>
      </c>
      <c r="B620" t="str">
        <f t="shared" si="30"/>
        <v xml:space="preserve">maart </v>
      </c>
      <c r="C620">
        <v>-1.5</v>
      </c>
      <c r="D620" t="s">
        <v>26</v>
      </c>
      <c r="F620" t="s">
        <v>18</v>
      </c>
      <c r="G620">
        <f t="shared" si="31"/>
        <v>-1.5</v>
      </c>
      <c r="H620" t="str">
        <f>VLOOKUP(Tabel1[[#This Row],[categorie]],Lijst!A:B,2,FALSE)</f>
        <v>Variabel</v>
      </c>
      <c r="I620" t="str">
        <f t="shared" si="32"/>
        <v>OK</v>
      </c>
    </row>
    <row r="621" spans="1:9" hidden="1" x14ac:dyDescent="0.3">
      <c r="A621" s="2">
        <v>45737</v>
      </c>
      <c r="B621" t="str">
        <f t="shared" si="30"/>
        <v xml:space="preserve">maart </v>
      </c>
      <c r="C621">
        <v>-1.5</v>
      </c>
      <c r="D621" t="s">
        <v>26</v>
      </c>
      <c r="F621" t="s">
        <v>18</v>
      </c>
      <c r="G621">
        <f t="shared" si="31"/>
        <v>-1.5</v>
      </c>
      <c r="H621" t="str">
        <f>VLOOKUP(Tabel1[[#This Row],[categorie]],Lijst!A:B,2,FALSE)</f>
        <v>Variabel</v>
      </c>
      <c r="I621" t="str">
        <f t="shared" si="32"/>
        <v>OK</v>
      </c>
    </row>
    <row r="622" spans="1:9" hidden="1" x14ac:dyDescent="0.3">
      <c r="A622" s="2">
        <v>45737</v>
      </c>
      <c r="B622" t="str">
        <f t="shared" si="30"/>
        <v xml:space="preserve">maart </v>
      </c>
      <c r="C622">
        <v>-1.5</v>
      </c>
      <c r="D622" t="s">
        <v>26</v>
      </c>
      <c r="F622" t="s">
        <v>18</v>
      </c>
      <c r="G622">
        <f t="shared" si="31"/>
        <v>-1.5</v>
      </c>
      <c r="H622" t="str">
        <f>VLOOKUP(Tabel1[[#This Row],[categorie]],Lijst!A:B,2,FALSE)</f>
        <v>Variabel</v>
      </c>
      <c r="I622" t="str">
        <f t="shared" si="32"/>
        <v>OK</v>
      </c>
    </row>
    <row r="623" spans="1:9" hidden="1" x14ac:dyDescent="0.3">
      <c r="A623" s="2">
        <v>45737</v>
      </c>
      <c r="B623" t="str">
        <f t="shared" si="30"/>
        <v xml:space="preserve">maart </v>
      </c>
      <c r="C623">
        <v>-34.5</v>
      </c>
      <c r="D623" t="s">
        <v>44</v>
      </c>
      <c r="F623" t="s">
        <v>18</v>
      </c>
      <c r="G623">
        <f t="shared" si="31"/>
        <v>-34.5</v>
      </c>
      <c r="H623" t="str">
        <f>VLOOKUP(Tabel1[[#This Row],[categorie]],Lijst!A:B,2,FALSE)</f>
        <v>Variabel</v>
      </c>
      <c r="I623" t="str">
        <f t="shared" si="32"/>
        <v>OK</v>
      </c>
    </row>
    <row r="624" spans="1:9" hidden="1" x14ac:dyDescent="0.3">
      <c r="A624" s="2">
        <v>45737</v>
      </c>
      <c r="B624" t="str">
        <f t="shared" si="30"/>
        <v xml:space="preserve">maart </v>
      </c>
      <c r="C624">
        <v>-53.29</v>
      </c>
      <c r="D624" t="s">
        <v>28</v>
      </c>
      <c r="F624" t="s">
        <v>18</v>
      </c>
      <c r="G624">
        <f t="shared" si="31"/>
        <v>-53.29</v>
      </c>
      <c r="H624" t="str">
        <f>VLOOKUP(Tabel1[[#This Row],[categorie]],Lijst!A:B,2,FALSE)</f>
        <v>Vast</v>
      </c>
      <c r="I624" t="str">
        <f t="shared" si="32"/>
        <v>OK</v>
      </c>
    </row>
    <row r="625" spans="1:9" hidden="1" x14ac:dyDescent="0.3">
      <c r="A625" s="2">
        <v>45740</v>
      </c>
      <c r="B625" t="str">
        <f t="shared" si="30"/>
        <v xml:space="preserve">maart </v>
      </c>
      <c r="C625">
        <v>-7.66</v>
      </c>
      <c r="D625" t="s">
        <v>13</v>
      </c>
      <c r="F625" t="s">
        <v>18</v>
      </c>
      <c r="G625">
        <f t="shared" si="31"/>
        <v>-7.66</v>
      </c>
      <c r="H625" t="str">
        <f>VLOOKUP(Tabel1[[#This Row],[categorie]],Lijst!A:B,2,FALSE)</f>
        <v>Vast</v>
      </c>
      <c r="I625" t="str">
        <f t="shared" si="32"/>
        <v>OK</v>
      </c>
    </row>
    <row r="626" spans="1:9" hidden="1" x14ac:dyDescent="0.3">
      <c r="A626" s="2">
        <v>45740</v>
      </c>
      <c r="B626" t="str">
        <f t="shared" si="30"/>
        <v xml:space="preserve">maart </v>
      </c>
      <c r="C626">
        <v>-5</v>
      </c>
      <c r="D626" t="s">
        <v>13</v>
      </c>
      <c r="F626" t="s">
        <v>18</v>
      </c>
      <c r="G626">
        <f t="shared" si="31"/>
        <v>-5</v>
      </c>
      <c r="H626" t="str">
        <f>VLOOKUP(Tabel1[[#This Row],[categorie]],Lijst!A:B,2,FALSE)</f>
        <v>Vast</v>
      </c>
      <c r="I626" t="str">
        <f t="shared" si="32"/>
        <v>OK</v>
      </c>
    </row>
    <row r="627" spans="1:9" hidden="1" x14ac:dyDescent="0.3">
      <c r="A627" s="2">
        <v>45740</v>
      </c>
      <c r="B627" t="str">
        <f t="shared" si="30"/>
        <v xml:space="preserve">maart </v>
      </c>
      <c r="C627">
        <v>-7.63</v>
      </c>
      <c r="D627" t="s">
        <v>3</v>
      </c>
      <c r="F627" t="s">
        <v>18</v>
      </c>
      <c r="G627">
        <f t="shared" si="31"/>
        <v>-7.63</v>
      </c>
      <c r="H627" t="str">
        <f>VLOOKUP(Tabel1[[#This Row],[categorie]],Lijst!A:B,2,FALSE)</f>
        <v>Vast</v>
      </c>
      <c r="I627" t="str">
        <f t="shared" si="32"/>
        <v>OK</v>
      </c>
    </row>
    <row r="628" spans="1:9" hidden="1" x14ac:dyDescent="0.3">
      <c r="A628" s="2">
        <v>45740</v>
      </c>
      <c r="B628" t="str">
        <f t="shared" si="30"/>
        <v xml:space="preserve">maart </v>
      </c>
      <c r="C628">
        <v>-5.16</v>
      </c>
      <c r="D628" t="s">
        <v>3</v>
      </c>
      <c r="F628" t="s">
        <v>18</v>
      </c>
      <c r="G628">
        <f t="shared" si="31"/>
        <v>-5.16</v>
      </c>
      <c r="H628" t="str">
        <f>VLOOKUP(Tabel1[[#This Row],[categorie]],Lijst!A:B,2,FALSE)</f>
        <v>Vast</v>
      </c>
      <c r="I628" t="str">
        <f t="shared" si="32"/>
        <v>OK</v>
      </c>
    </row>
    <row r="629" spans="1:9" hidden="1" x14ac:dyDescent="0.3">
      <c r="A629" s="2">
        <v>45740</v>
      </c>
      <c r="B629" t="str">
        <f t="shared" si="30"/>
        <v xml:space="preserve">maart </v>
      </c>
      <c r="C629">
        <v>-29.95</v>
      </c>
      <c r="D629" t="s">
        <v>14</v>
      </c>
      <c r="F629" t="s">
        <v>18</v>
      </c>
      <c r="G629">
        <f t="shared" si="31"/>
        <v>-29.95</v>
      </c>
      <c r="H629" t="str">
        <f>VLOOKUP(Tabel1[[#This Row],[categorie]],Lijst!A:B,2,FALSE)</f>
        <v>Variabel</v>
      </c>
      <c r="I629" t="str">
        <f t="shared" si="32"/>
        <v>OK</v>
      </c>
    </row>
    <row r="630" spans="1:9" hidden="1" x14ac:dyDescent="0.3">
      <c r="A630" s="2">
        <v>45740</v>
      </c>
      <c r="B630" t="str">
        <f t="shared" si="30"/>
        <v xml:space="preserve">maart </v>
      </c>
      <c r="C630">
        <v>-3.99</v>
      </c>
      <c r="D630" t="s">
        <v>13</v>
      </c>
      <c r="F630" t="s">
        <v>18</v>
      </c>
      <c r="G630">
        <f t="shared" si="31"/>
        <v>-3.99</v>
      </c>
      <c r="H630" t="str">
        <f>VLOOKUP(Tabel1[[#This Row],[categorie]],Lijst!A:B,2,FALSE)</f>
        <v>Vast</v>
      </c>
      <c r="I630" t="str">
        <f t="shared" si="32"/>
        <v>OK</v>
      </c>
    </row>
    <row r="631" spans="1:9" hidden="1" x14ac:dyDescent="0.3">
      <c r="A631" s="2">
        <v>45740</v>
      </c>
      <c r="B631" t="str">
        <f t="shared" si="30"/>
        <v xml:space="preserve">maart </v>
      </c>
      <c r="C631">
        <v>-11.68</v>
      </c>
      <c r="D631" t="s">
        <v>3</v>
      </c>
      <c r="F631" t="s">
        <v>18</v>
      </c>
      <c r="G631">
        <f t="shared" si="31"/>
        <v>-11.68</v>
      </c>
      <c r="H631" t="str">
        <f>VLOOKUP(Tabel1[[#This Row],[categorie]],Lijst!A:B,2,FALSE)</f>
        <v>Vast</v>
      </c>
      <c r="I631" t="str">
        <f t="shared" si="32"/>
        <v>OK</v>
      </c>
    </row>
    <row r="632" spans="1:9" hidden="1" x14ac:dyDescent="0.3">
      <c r="A632" s="2">
        <v>45740</v>
      </c>
      <c r="B632" t="str">
        <f t="shared" si="30"/>
        <v xml:space="preserve">maart </v>
      </c>
      <c r="C632">
        <v>-1.5</v>
      </c>
      <c r="D632" t="s">
        <v>26</v>
      </c>
      <c r="F632" t="s">
        <v>18</v>
      </c>
      <c r="G632">
        <f t="shared" si="31"/>
        <v>-1.5</v>
      </c>
      <c r="H632" t="str">
        <f>VLOOKUP(Tabel1[[#This Row],[categorie]],Lijst!A:B,2,FALSE)</f>
        <v>Variabel</v>
      </c>
      <c r="I632" t="str">
        <f t="shared" si="32"/>
        <v>OK</v>
      </c>
    </row>
    <row r="633" spans="1:9" hidden="1" x14ac:dyDescent="0.3">
      <c r="A633" s="2">
        <v>45740</v>
      </c>
      <c r="B633" t="str">
        <f t="shared" si="30"/>
        <v xml:space="preserve">maart </v>
      </c>
      <c r="C633">
        <v>-0.9</v>
      </c>
      <c r="D633" t="s">
        <v>26</v>
      </c>
      <c r="F633" t="s">
        <v>18</v>
      </c>
      <c r="G633">
        <f t="shared" si="31"/>
        <v>-0.9</v>
      </c>
      <c r="H633" t="str">
        <f>VLOOKUP(Tabel1[[#This Row],[categorie]],Lijst!A:B,2,FALSE)</f>
        <v>Variabel</v>
      </c>
      <c r="I633" t="str">
        <f t="shared" si="32"/>
        <v>OK</v>
      </c>
    </row>
    <row r="634" spans="1:9" hidden="1" x14ac:dyDescent="0.3">
      <c r="A634" s="2">
        <v>45740</v>
      </c>
      <c r="B634" t="str">
        <f t="shared" si="30"/>
        <v xml:space="preserve">maart </v>
      </c>
      <c r="C634">
        <v>-0.99</v>
      </c>
      <c r="D634" t="s">
        <v>3</v>
      </c>
      <c r="F634" t="s">
        <v>18</v>
      </c>
      <c r="G634">
        <f t="shared" si="31"/>
        <v>-0.99</v>
      </c>
      <c r="H634" t="str">
        <f>VLOOKUP(Tabel1[[#This Row],[categorie]],Lijst!A:B,2,FALSE)</f>
        <v>Vast</v>
      </c>
      <c r="I634" t="str">
        <f t="shared" si="32"/>
        <v>OK</v>
      </c>
    </row>
    <row r="635" spans="1:9" hidden="1" x14ac:dyDescent="0.3">
      <c r="A635" s="2">
        <v>45740</v>
      </c>
      <c r="B635" t="str">
        <f t="shared" si="30"/>
        <v xml:space="preserve">maart </v>
      </c>
      <c r="C635">
        <v>-1.5</v>
      </c>
      <c r="D635" t="s">
        <v>26</v>
      </c>
      <c r="F635" t="s">
        <v>18</v>
      </c>
      <c r="G635">
        <f t="shared" si="31"/>
        <v>-1.5</v>
      </c>
      <c r="H635" t="str">
        <f>VLOOKUP(Tabel1[[#This Row],[categorie]],Lijst!A:B,2,FALSE)</f>
        <v>Variabel</v>
      </c>
      <c r="I635" t="str">
        <f t="shared" si="32"/>
        <v>OK</v>
      </c>
    </row>
    <row r="636" spans="1:9" hidden="1" x14ac:dyDescent="0.3">
      <c r="A636" s="2">
        <v>45740</v>
      </c>
      <c r="B636" t="str">
        <f t="shared" si="30"/>
        <v xml:space="preserve">maart </v>
      </c>
      <c r="C636">
        <v>-19.989999999999998</v>
      </c>
      <c r="D636" t="s">
        <v>30</v>
      </c>
      <c r="F636" t="s">
        <v>18</v>
      </c>
      <c r="G636">
        <f t="shared" si="31"/>
        <v>-19.989999999999998</v>
      </c>
      <c r="H636" t="str">
        <f>VLOOKUP(Tabel1[[#This Row],[categorie]],Lijst!A:B,2,FALSE)</f>
        <v>Vast</v>
      </c>
      <c r="I636" t="str">
        <f t="shared" si="32"/>
        <v>OK</v>
      </c>
    </row>
    <row r="637" spans="1:9" hidden="1" x14ac:dyDescent="0.3">
      <c r="A637" s="2">
        <v>45740</v>
      </c>
      <c r="B637" t="str">
        <f t="shared" si="30"/>
        <v xml:space="preserve">maart </v>
      </c>
      <c r="C637">
        <v>-15.56</v>
      </c>
      <c r="D637" t="s">
        <v>82</v>
      </c>
      <c r="F637" t="s">
        <v>18</v>
      </c>
      <c r="G637">
        <f t="shared" si="31"/>
        <v>-15.56</v>
      </c>
      <c r="H637" t="str">
        <f>VLOOKUP(Tabel1[[#This Row],[categorie]],Lijst!A:B,2,FALSE)</f>
        <v>Vast</v>
      </c>
      <c r="I637" t="str">
        <f t="shared" si="32"/>
        <v>OK</v>
      </c>
    </row>
    <row r="638" spans="1:9" hidden="1" x14ac:dyDescent="0.3">
      <c r="A638" s="2">
        <v>45740</v>
      </c>
      <c r="B638" t="str">
        <f t="shared" si="30"/>
        <v xml:space="preserve">maart </v>
      </c>
      <c r="C638">
        <v>-6.6</v>
      </c>
      <c r="D638" t="s">
        <v>9</v>
      </c>
      <c r="F638" t="s">
        <v>18</v>
      </c>
      <c r="G638">
        <f t="shared" si="31"/>
        <v>-6.6</v>
      </c>
      <c r="H638" t="str">
        <f>VLOOKUP(Tabel1[[#This Row],[categorie]],Lijst!A:B,2,FALSE)</f>
        <v>Variabel</v>
      </c>
      <c r="I638" t="str">
        <f t="shared" si="32"/>
        <v>OK</v>
      </c>
    </row>
    <row r="639" spans="1:9" hidden="1" x14ac:dyDescent="0.3">
      <c r="A639" s="2">
        <v>45741</v>
      </c>
      <c r="B639" t="str">
        <f t="shared" si="30"/>
        <v xml:space="preserve">maart </v>
      </c>
      <c r="C639">
        <v>-1.5</v>
      </c>
      <c r="D639" t="s">
        <v>26</v>
      </c>
      <c r="F639" t="s">
        <v>18</v>
      </c>
      <c r="G639">
        <f t="shared" si="31"/>
        <v>-1.5</v>
      </c>
      <c r="H639" t="str">
        <f>VLOOKUP(Tabel1[[#This Row],[categorie]],Lijst!A:B,2,FALSE)</f>
        <v>Variabel</v>
      </c>
      <c r="I639" t="str">
        <f t="shared" si="32"/>
        <v>OK</v>
      </c>
    </row>
    <row r="640" spans="1:9" hidden="1" x14ac:dyDescent="0.3">
      <c r="A640" s="2">
        <v>45741</v>
      </c>
      <c r="B640" t="str">
        <f t="shared" si="30"/>
        <v xml:space="preserve">maart </v>
      </c>
      <c r="C640">
        <v>-0.5</v>
      </c>
      <c r="D640" t="s">
        <v>26</v>
      </c>
      <c r="F640" t="s">
        <v>18</v>
      </c>
      <c r="G640">
        <f t="shared" si="31"/>
        <v>-0.5</v>
      </c>
      <c r="H640" t="str">
        <f>VLOOKUP(Tabel1[[#This Row],[categorie]],Lijst!A:B,2,FALSE)</f>
        <v>Variabel</v>
      </c>
      <c r="I640" t="str">
        <f t="shared" si="32"/>
        <v>OK</v>
      </c>
    </row>
    <row r="641" spans="1:9" hidden="1" x14ac:dyDescent="0.3">
      <c r="A641" s="2">
        <v>45741</v>
      </c>
      <c r="B641" t="str">
        <f t="shared" si="30"/>
        <v xml:space="preserve">maart </v>
      </c>
      <c r="C641">
        <v>-0.5</v>
      </c>
      <c r="D641" t="s">
        <v>26</v>
      </c>
      <c r="F641" t="s">
        <v>18</v>
      </c>
      <c r="G641">
        <f t="shared" si="31"/>
        <v>-0.5</v>
      </c>
      <c r="H641" t="str">
        <f>VLOOKUP(Tabel1[[#This Row],[categorie]],Lijst!A:B,2,FALSE)</f>
        <v>Variabel</v>
      </c>
      <c r="I641" t="str">
        <f t="shared" si="32"/>
        <v>OK</v>
      </c>
    </row>
    <row r="642" spans="1:9" hidden="1" x14ac:dyDescent="0.3">
      <c r="A642" s="2">
        <v>45741</v>
      </c>
      <c r="B642" t="str">
        <f t="shared" si="30"/>
        <v xml:space="preserve">maart </v>
      </c>
      <c r="C642">
        <v>-14.25</v>
      </c>
      <c r="D642" t="s">
        <v>3</v>
      </c>
      <c r="F642" t="s">
        <v>18</v>
      </c>
      <c r="G642">
        <f t="shared" si="31"/>
        <v>-14.25</v>
      </c>
      <c r="H642" t="str">
        <f>VLOOKUP(Tabel1[[#This Row],[categorie]],Lijst!A:B,2,FALSE)</f>
        <v>Vast</v>
      </c>
      <c r="I642" t="str">
        <f t="shared" si="32"/>
        <v>OK</v>
      </c>
    </row>
    <row r="643" spans="1:9" hidden="1" x14ac:dyDescent="0.3">
      <c r="A643" s="2">
        <v>45741</v>
      </c>
      <c r="B643" t="str">
        <f t="shared" si="30"/>
        <v xml:space="preserve">maart </v>
      </c>
      <c r="C643">
        <v>-3.9</v>
      </c>
      <c r="D643" t="s">
        <v>3</v>
      </c>
      <c r="F643" t="s">
        <v>18</v>
      </c>
      <c r="G643">
        <f t="shared" si="31"/>
        <v>-3.9</v>
      </c>
      <c r="H643" t="str">
        <f>VLOOKUP(Tabel1[[#This Row],[categorie]],Lijst!A:B,2,FALSE)</f>
        <v>Vast</v>
      </c>
      <c r="I643" t="str">
        <f t="shared" si="32"/>
        <v>OK</v>
      </c>
    </row>
    <row r="644" spans="1:9" hidden="1" x14ac:dyDescent="0.3">
      <c r="A644" s="2">
        <v>45741</v>
      </c>
      <c r="B644" t="str">
        <f t="shared" si="30"/>
        <v xml:space="preserve">maart </v>
      </c>
      <c r="C644">
        <v>-4.5999999999999996</v>
      </c>
      <c r="D644" t="s">
        <v>3</v>
      </c>
      <c r="F644" t="s">
        <v>18</v>
      </c>
      <c r="G644">
        <f t="shared" si="31"/>
        <v>-4.5999999999999996</v>
      </c>
      <c r="H644" t="str">
        <f>VLOOKUP(Tabel1[[#This Row],[categorie]],Lijst!A:B,2,FALSE)</f>
        <v>Vast</v>
      </c>
      <c r="I644" t="str">
        <f t="shared" si="32"/>
        <v>OK</v>
      </c>
    </row>
    <row r="645" spans="1:9" hidden="1" x14ac:dyDescent="0.3">
      <c r="A645" s="2">
        <v>45741</v>
      </c>
      <c r="B645" t="str">
        <f t="shared" si="30"/>
        <v xml:space="preserve">maart </v>
      </c>
      <c r="C645">
        <v>-10.39</v>
      </c>
      <c r="D645" t="s">
        <v>3</v>
      </c>
      <c r="F645" t="s">
        <v>18</v>
      </c>
      <c r="G645">
        <f t="shared" si="31"/>
        <v>-10.39</v>
      </c>
      <c r="H645" t="str">
        <f>VLOOKUP(Tabel1[[#This Row],[categorie]],Lijst!A:B,2,FALSE)</f>
        <v>Vast</v>
      </c>
      <c r="I645" t="str">
        <f t="shared" si="32"/>
        <v>OK</v>
      </c>
    </row>
    <row r="646" spans="1:9" hidden="1" x14ac:dyDescent="0.3">
      <c r="A646" s="2">
        <v>45741</v>
      </c>
      <c r="B646" t="str">
        <f t="shared" si="30"/>
        <v xml:space="preserve">maart </v>
      </c>
      <c r="C646">
        <v>-4.5999999999999996</v>
      </c>
      <c r="D646" t="s">
        <v>3</v>
      </c>
      <c r="F646" t="s">
        <v>18</v>
      </c>
      <c r="G646">
        <f t="shared" si="31"/>
        <v>-4.5999999999999996</v>
      </c>
      <c r="H646" t="str">
        <f>VLOOKUP(Tabel1[[#This Row],[categorie]],Lijst!A:B,2,FALSE)</f>
        <v>Vast</v>
      </c>
      <c r="I646" t="str">
        <f t="shared" si="32"/>
        <v>OK</v>
      </c>
    </row>
    <row r="647" spans="1:9" hidden="1" x14ac:dyDescent="0.3">
      <c r="A647" s="2">
        <v>45741</v>
      </c>
      <c r="B647" t="str">
        <f t="shared" si="30"/>
        <v xml:space="preserve">maart </v>
      </c>
      <c r="C647">
        <v>-7.2</v>
      </c>
      <c r="D647" t="s">
        <v>9</v>
      </c>
      <c r="F647" t="s">
        <v>18</v>
      </c>
      <c r="G647">
        <f t="shared" si="31"/>
        <v>-7.2</v>
      </c>
      <c r="H647" t="str">
        <f>VLOOKUP(Tabel1[[#This Row],[categorie]],Lijst!A:B,2,FALSE)</f>
        <v>Variabel</v>
      </c>
      <c r="I647" t="str">
        <f t="shared" si="32"/>
        <v>OK</v>
      </c>
    </row>
    <row r="648" spans="1:9" hidden="1" x14ac:dyDescent="0.3">
      <c r="A648" s="2">
        <v>45742</v>
      </c>
      <c r="B648" t="str">
        <f t="shared" si="30"/>
        <v xml:space="preserve">maart </v>
      </c>
      <c r="C648">
        <v>-14.99</v>
      </c>
      <c r="D648" t="s">
        <v>48</v>
      </c>
      <c r="F648" t="s">
        <v>18</v>
      </c>
      <c r="G648">
        <f t="shared" si="31"/>
        <v>-14.99</v>
      </c>
      <c r="H648" t="str">
        <f>VLOOKUP(Tabel1[[#This Row],[categorie]],Lijst!A:B,2,FALSE)</f>
        <v>Variabel</v>
      </c>
      <c r="I648" t="str">
        <f t="shared" si="32"/>
        <v>OK</v>
      </c>
    </row>
    <row r="649" spans="1:9" hidden="1" x14ac:dyDescent="0.3">
      <c r="A649" s="2">
        <v>45742</v>
      </c>
      <c r="B649" t="str">
        <f t="shared" si="30"/>
        <v xml:space="preserve">maart </v>
      </c>
      <c r="C649">
        <v>-26.6</v>
      </c>
      <c r="D649" t="s">
        <v>3</v>
      </c>
      <c r="F649" t="s">
        <v>18</v>
      </c>
      <c r="G649">
        <f t="shared" si="31"/>
        <v>-26.6</v>
      </c>
      <c r="H649" t="str">
        <f>VLOOKUP(Tabel1[[#This Row],[categorie]],Lijst!A:B,2,FALSE)</f>
        <v>Vast</v>
      </c>
      <c r="I649" t="str">
        <f t="shared" si="32"/>
        <v>OK</v>
      </c>
    </row>
    <row r="650" spans="1:9" hidden="1" x14ac:dyDescent="0.3">
      <c r="A650" s="2">
        <v>45742</v>
      </c>
      <c r="B650" t="str">
        <f t="shared" si="30"/>
        <v xml:space="preserve">maart </v>
      </c>
      <c r="C650">
        <v>-1.1000000000000001</v>
      </c>
      <c r="D650" t="s">
        <v>26</v>
      </c>
      <c r="F650" t="s">
        <v>18</v>
      </c>
      <c r="G650">
        <f t="shared" si="31"/>
        <v>-1.1000000000000001</v>
      </c>
      <c r="H650" t="str">
        <f>VLOOKUP(Tabel1[[#This Row],[categorie]],Lijst!A:B,2,FALSE)</f>
        <v>Variabel</v>
      </c>
      <c r="I650" t="str">
        <f t="shared" si="32"/>
        <v>OK</v>
      </c>
    </row>
    <row r="651" spans="1:9" hidden="1" x14ac:dyDescent="0.3">
      <c r="A651" s="2">
        <v>45742</v>
      </c>
      <c r="B651" t="str">
        <f t="shared" si="30"/>
        <v xml:space="preserve">maart </v>
      </c>
      <c r="C651">
        <v>-19.850000000000001</v>
      </c>
      <c r="D651" t="s">
        <v>3</v>
      </c>
      <c r="F651" t="s">
        <v>18</v>
      </c>
      <c r="G651">
        <f t="shared" si="31"/>
        <v>-19.850000000000001</v>
      </c>
      <c r="H651" t="str">
        <f>VLOOKUP(Tabel1[[#This Row],[categorie]],Lijst!A:B,2,FALSE)</f>
        <v>Vast</v>
      </c>
      <c r="I651" t="str">
        <f t="shared" si="32"/>
        <v>OK</v>
      </c>
    </row>
    <row r="652" spans="1:9" hidden="1" x14ac:dyDescent="0.3">
      <c r="A652" s="2">
        <v>45742</v>
      </c>
      <c r="B652" t="str">
        <f t="shared" si="30"/>
        <v xml:space="preserve">maart </v>
      </c>
      <c r="C652">
        <v>-113.49</v>
      </c>
      <c r="D652" t="s">
        <v>28</v>
      </c>
      <c r="F652" t="s">
        <v>18</v>
      </c>
      <c r="G652">
        <f t="shared" si="31"/>
        <v>-113.49</v>
      </c>
      <c r="H652" t="str">
        <f>VLOOKUP(Tabel1[[#This Row],[categorie]],Lijst!A:B,2,FALSE)</f>
        <v>Vast</v>
      </c>
      <c r="I652" t="str">
        <f t="shared" si="32"/>
        <v>OK</v>
      </c>
    </row>
    <row r="653" spans="1:9" hidden="1" x14ac:dyDescent="0.3">
      <c r="A653" s="2">
        <v>45743</v>
      </c>
      <c r="B653" t="str">
        <f t="shared" si="30"/>
        <v xml:space="preserve">maart </v>
      </c>
      <c r="C653">
        <v>-50</v>
      </c>
      <c r="D653" t="s">
        <v>82</v>
      </c>
      <c r="F653" t="s">
        <v>18</v>
      </c>
      <c r="G653">
        <f t="shared" si="31"/>
        <v>-50</v>
      </c>
      <c r="H653" t="str">
        <f>VLOOKUP(Tabel1[[#This Row],[categorie]],Lijst!A:B,2,FALSE)</f>
        <v>Vast</v>
      </c>
      <c r="I653" t="str">
        <f t="shared" si="32"/>
        <v>OK</v>
      </c>
    </row>
    <row r="654" spans="1:9" hidden="1" x14ac:dyDescent="0.3">
      <c r="A654" s="2">
        <v>45743</v>
      </c>
      <c r="B654" t="str">
        <f t="shared" si="30"/>
        <v xml:space="preserve">maart </v>
      </c>
      <c r="C654">
        <v>-39.99</v>
      </c>
      <c r="D654" t="s">
        <v>48</v>
      </c>
      <c r="F654" t="s">
        <v>18</v>
      </c>
      <c r="G654">
        <f t="shared" si="31"/>
        <v>-39.99</v>
      </c>
      <c r="H654" t="str">
        <f>VLOOKUP(Tabel1[[#This Row],[categorie]],Lijst!A:B,2,FALSE)</f>
        <v>Variabel</v>
      </c>
      <c r="I654" t="str">
        <f t="shared" si="32"/>
        <v>OK</v>
      </c>
    </row>
    <row r="655" spans="1:9" hidden="1" x14ac:dyDescent="0.3">
      <c r="A655" s="2">
        <v>45743</v>
      </c>
      <c r="B655" t="str">
        <f t="shared" si="30"/>
        <v xml:space="preserve">maart </v>
      </c>
      <c r="C655">
        <v>-0.82</v>
      </c>
      <c r="D655" t="s">
        <v>3</v>
      </c>
      <c r="F655" t="s">
        <v>18</v>
      </c>
      <c r="G655">
        <f t="shared" si="31"/>
        <v>-0.82</v>
      </c>
      <c r="H655" t="str">
        <f>VLOOKUP(Tabel1[[#This Row],[categorie]],Lijst!A:B,2,FALSE)</f>
        <v>Vast</v>
      </c>
      <c r="I655" t="str">
        <f t="shared" si="32"/>
        <v>OK</v>
      </c>
    </row>
    <row r="656" spans="1:9" hidden="1" x14ac:dyDescent="0.3">
      <c r="A656" s="2">
        <v>45743</v>
      </c>
      <c r="B656" t="str">
        <f t="shared" si="30"/>
        <v xml:space="preserve">maart </v>
      </c>
      <c r="C656">
        <v>-7.99</v>
      </c>
      <c r="D656" t="s">
        <v>3</v>
      </c>
      <c r="F656" t="s">
        <v>18</v>
      </c>
      <c r="G656">
        <f t="shared" si="31"/>
        <v>-7.99</v>
      </c>
      <c r="H656" t="str">
        <f>VLOOKUP(Tabel1[[#This Row],[categorie]],Lijst!A:B,2,FALSE)</f>
        <v>Vast</v>
      </c>
      <c r="I656" t="str">
        <f t="shared" si="32"/>
        <v>OK</v>
      </c>
    </row>
    <row r="657" spans="1:9" hidden="1" x14ac:dyDescent="0.3">
      <c r="A657" s="2">
        <v>45743</v>
      </c>
      <c r="B657" t="str">
        <f t="shared" si="30"/>
        <v xml:space="preserve">maart </v>
      </c>
      <c r="C657">
        <v>-4.5999999999999996</v>
      </c>
      <c r="D657" t="s">
        <v>3</v>
      </c>
      <c r="F657" t="s">
        <v>18</v>
      </c>
      <c r="G657">
        <f t="shared" si="31"/>
        <v>-4.5999999999999996</v>
      </c>
      <c r="H657" t="str">
        <f>VLOOKUP(Tabel1[[#This Row],[categorie]],Lijst!A:B,2,FALSE)</f>
        <v>Vast</v>
      </c>
      <c r="I657" t="str">
        <f t="shared" si="32"/>
        <v>OK</v>
      </c>
    </row>
    <row r="658" spans="1:9" hidden="1" x14ac:dyDescent="0.3">
      <c r="A658" s="2">
        <v>45743</v>
      </c>
      <c r="B658" t="str">
        <f t="shared" si="30"/>
        <v xml:space="preserve">maart </v>
      </c>
      <c r="C658">
        <v>-1.5</v>
      </c>
      <c r="D658" t="s">
        <v>26</v>
      </c>
      <c r="F658" t="s">
        <v>18</v>
      </c>
      <c r="G658">
        <f t="shared" si="31"/>
        <v>-1.5</v>
      </c>
      <c r="H658" t="str">
        <f>VLOOKUP(Tabel1[[#This Row],[categorie]],Lijst!A:B,2,FALSE)</f>
        <v>Variabel</v>
      </c>
      <c r="I658" t="str">
        <f t="shared" si="32"/>
        <v>OK</v>
      </c>
    </row>
    <row r="659" spans="1:9" hidden="1" x14ac:dyDescent="0.3">
      <c r="A659" s="2">
        <v>45743</v>
      </c>
      <c r="B659" t="str">
        <f t="shared" si="30"/>
        <v xml:space="preserve">maart </v>
      </c>
      <c r="C659">
        <v>-1.5</v>
      </c>
      <c r="D659" t="s">
        <v>26</v>
      </c>
      <c r="F659" t="s">
        <v>18</v>
      </c>
      <c r="G659">
        <f t="shared" si="31"/>
        <v>-1.5</v>
      </c>
      <c r="H659" t="str">
        <f>VLOOKUP(Tabel1[[#This Row],[categorie]],Lijst!A:B,2,FALSE)</f>
        <v>Variabel</v>
      </c>
      <c r="I659" t="str">
        <f t="shared" si="32"/>
        <v>OK</v>
      </c>
    </row>
    <row r="660" spans="1:9" hidden="1" x14ac:dyDescent="0.3">
      <c r="A660" s="2">
        <v>45743</v>
      </c>
      <c r="B660" t="str">
        <f t="shared" si="30"/>
        <v xml:space="preserve">maart </v>
      </c>
      <c r="C660">
        <v>3234.04</v>
      </c>
      <c r="D660" t="s">
        <v>29</v>
      </c>
      <c r="F660" t="s">
        <v>17</v>
      </c>
      <c r="G660">
        <f t="shared" si="31"/>
        <v>3234.04</v>
      </c>
      <c r="H660" t="str">
        <f>VLOOKUP(Tabel1[[#This Row],[categorie]],Lijst!A:B,2,FALSE)</f>
        <v>Vast</v>
      </c>
      <c r="I660" t="str">
        <f t="shared" si="32"/>
        <v>OK</v>
      </c>
    </row>
    <row r="661" spans="1:9" hidden="1" x14ac:dyDescent="0.3">
      <c r="A661" s="2">
        <v>45744</v>
      </c>
      <c r="B661" t="str">
        <f t="shared" si="30"/>
        <v xml:space="preserve">maart </v>
      </c>
      <c r="C661">
        <v>-19.989999999999998</v>
      </c>
      <c r="D661" t="s">
        <v>48</v>
      </c>
      <c r="F661" t="s">
        <v>18</v>
      </c>
      <c r="G661">
        <f t="shared" si="31"/>
        <v>-19.989999999999998</v>
      </c>
      <c r="H661" t="str">
        <f>VLOOKUP(Tabel1[[#This Row],[categorie]],Lijst!A:B,2,FALSE)</f>
        <v>Variabel</v>
      </c>
      <c r="I661" t="str">
        <f t="shared" si="32"/>
        <v>OK</v>
      </c>
    </row>
    <row r="662" spans="1:9" hidden="1" x14ac:dyDescent="0.3">
      <c r="A662" s="2">
        <v>45744</v>
      </c>
      <c r="B662" t="str">
        <f t="shared" si="30"/>
        <v xml:space="preserve">maart </v>
      </c>
      <c r="C662">
        <v>-1.5</v>
      </c>
      <c r="D662" t="s">
        <v>26</v>
      </c>
      <c r="F662" t="s">
        <v>18</v>
      </c>
      <c r="G662">
        <f t="shared" si="31"/>
        <v>-1.5</v>
      </c>
      <c r="H662" t="str">
        <f>VLOOKUP(Tabel1[[#This Row],[categorie]],Lijst!A:B,2,FALSE)</f>
        <v>Variabel</v>
      </c>
      <c r="I662" t="str">
        <f t="shared" si="32"/>
        <v>OK</v>
      </c>
    </row>
    <row r="663" spans="1:9" hidden="1" x14ac:dyDescent="0.3">
      <c r="A663" s="2">
        <v>45744</v>
      </c>
      <c r="B663" t="str">
        <f t="shared" si="30"/>
        <v xml:space="preserve">maart </v>
      </c>
      <c r="C663">
        <v>-1.5</v>
      </c>
      <c r="D663" t="s">
        <v>26</v>
      </c>
      <c r="F663" t="s">
        <v>18</v>
      </c>
      <c r="G663">
        <f t="shared" si="31"/>
        <v>-1.5</v>
      </c>
      <c r="H663" t="str">
        <f>VLOOKUP(Tabel1[[#This Row],[categorie]],Lijst!A:B,2,FALSE)</f>
        <v>Variabel</v>
      </c>
      <c r="I663" t="str">
        <f t="shared" si="32"/>
        <v>OK</v>
      </c>
    </row>
    <row r="664" spans="1:9" hidden="1" x14ac:dyDescent="0.3">
      <c r="A664" s="2">
        <v>45744</v>
      </c>
      <c r="B664" t="str">
        <f t="shared" si="30"/>
        <v xml:space="preserve">maart </v>
      </c>
      <c r="C664">
        <v>-18.739999999999998</v>
      </c>
      <c r="D664" t="s">
        <v>3</v>
      </c>
      <c r="F664" t="s">
        <v>18</v>
      </c>
      <c r="G664">
        <f t="shared" si="31"/>
        <v>-18.739999999999998</v>
      </c>
      <c r="H664" t="str">
        <f>VLOOKUP(Tabel1[[#This Row],[categorie]],Lijst!A:B,2,FALSE)</f>
        <v>Vast</v>
      </c>
      <c r="I664" t="str">
        <f t="shared" si="32"/>
        <v>OK</v>
      </c>
    </row>
    <row r="665" spans="1:9" hidden="1" x14ac:dyDescent="0.3">
      <c r="A665" s="2">
        <v>45744</v>
      </c>
      <c r="B665" t="str">
        <f t="shared" si="30"/>
        <v xml:space="preserve">maart </v>
      </c>
      <c r="C665">
        <v>-11.49</v>
      </c>
      <c r="D665" t="s">
        <v>3</v>
      </c>
      <c r="F665" t="s">
        <v>18</v>
      </c>
      <c r="G665">
        <f t="shared" si="31"/>
        <v>-11.49</v>
      </c>
      <c r="H665" t="str">
        <f>VLOOKUP(Tabel1[[#This Row],[categorie]],Lijst!A:B,2,FALSE)</f>
        <v>Vast</v>
      </c>
      <c r="I665" t="str">
        <f t="shared" si="32"/>
        <v>OK</v>
      </c>
    </row>
    <row r="666" spans="1:9" hidden="1" x14ac:dyDescent="0.3">
      <c r="A666" s="2">
        <v>45744</v>
      </c>
      <c r="B666" t="str">
        <f t="shared" si="30"/>
        <v xml:space="preserve">maart </v>
      </c>
      <c r="C666">
        <v>-11.54</v>
      </c>
      <c r="D666" t="s">
        <v>3</v>
      </c>
      <c r="F666" t="s">
        <v>18</v>
      </c>
      <c r="G666">
        <f t="shared" si="31"/>
        <v>-11.54</v>
      </c>
      <c r="H666" t="str">
        <f>VLOOKUP(Tabel1[[#This Row],[categorie]],Lijst!A:B,2,FALSE)</f>
        <v>Vast</v>
      </c>
      <c r="I666" t="str">
        <f t="shared" si="32"/>
        <v>OK</v>
      </c>
    </row>
    <row r="667" spans="1:9" hidden="1" x14ac:dyDescent="0.3">
      <c r="A667" s="2">
        <v>45744</v>
      </c>
      <c r="B667" t="str">
        <f t="shared" si="30"/>
        <v xml:space="preserve">maart </v>
      </c>
      <c r="C667">
        <v>-62</v>
      </c>
      <c r="D667" t="s">
        <v>14</v>
      </c>
      <c r="F667" t="s">
        <v>18</v>
      </c>
      <c r="G667">
        <f t="shared" si="31"/>
        <v>-62</v>
      </c>
      <c r="H667" t="str">
        <f>VLOOKUP(Tabel1[[#This Row],[categorie]],Lijst!A:B,2,FALSE)</f>
        <v>Variabel</v>
      </c>
      <c r="I667" t="str">
        <f t="shared" si="32"/>
        <v>OK</v>
      </c>
    </row>
    <row r="668" spans="1:9" hidden="1" x14ac:dyDescent="0.3">
      <c r="A668" s="2">
        <v>45744</v>
      </c>
      <c r="B668" t="str">
        <f t="shared" si="30"/>
        <v xml:space="preserve">maart </v>
      </c>
      <c r="C668">
        <v>5.5</v>
      </c>
      <c r="D668" t="s">
        <v>75</v>
      </c>
      <c r="F668" t="s">
        <v>17</v>
      </c>
      <c r="G668">
        <f t="shared" si="31"/>
        <v>5.5</v>
      </c>
      <c r="H668" t="str">
        <f>VLOOKUP(Tabel1[[#This Row],[categorie]],Lijst!A:B,2,FALSE)</f>
        <v>Variabel</v>
      </c>
      <c r="I668" t="str">
        <f t="shared" si="32"/>
        <v>OK</v>
      </c>
    </row>
    <row r="669" spans="1:9" hidden="1" x14ac:dyDescent="0.3">
      <c r="A669" s="2">
        <v>45745</v>
      </c>
      <c r="B669" t="str">
        <f t="shared" si="30"/>
        <v xml:space="preserve">maart </v>
      </c>
      <c r="C669">
        <v>-48.4</v>
      </c>
      <c r="D669" t="s">
        <v>75</v>
      </c>
      <c r="F669" t="s">
        <v>18</v>
      </c>
      <c r="G669">
        <f t="shared" si="31"/>
        <v>-48.4</v>
      </c>
      <c r="H669" t="str">
        <f>VLOOKUP(Tabel1[[#This Row],[categorie]],Lijst!A:B,2,FALSE)</f>
        <v>Variabel</v>
      </c>
      <c r="I669" t="str">
        <f t="shared" si="32"/>
        <v>OK</v>
      </c>
    </row>
    <row r="670" spans="1:9" hidden="1" x14ac:dyDescent="0.3">
      <c r="A670" s="2">
        <v>45745</v>
      </c>
      <c r="B670" t="str">
        <f t="shared" si="30"/>
        <v xml:space="preserve">maart </v>
      </c>
      <c r="C670">
        <v>-25</v>
      </c>
      <c r="D670" t="s">
        <v>43</v>
      </c>
      <c r="F670" t="s">
        <v>18</v>
      </c>
      <c r="G670">
        <f t="shared" si="31"/>
        <v>-25</v>
      </c>
      <c r="H670" t="str">
        <f>VLOOKUP(Tabel1[[#This Row],[categorie]],Lijst!A:B,2,FALSE)</f>
        <v>Vast</v>
      </c>
      <c r="I670" t="str">
        <f t="shared" si="32"/>
        <v>OK</v>
      </c>
    </row>
    <row r="671" spans="1:9" hidden="1" x14ac:dyDescent="0.3">
      <c r="A671" s="2">
        <v>45745</v>
      </c>
      <c r="B671" t="str">
        <f t="shared" si="30"/>
        <v xml:space="preserve">maart </v>
      </c>
      <c r="C671">
        <v>-20.84</v>
      </c>
      <c r="D671" t="s">
        <v>82</v>
      </c>
      <c r="F671" t="s">
        <v>18</v>
      </c>
      <c r="G671">
        <f t="shared" si="31"/>
        <v>-20.84</v>
      </c>
      <c r="H671" t="str">
        <f>VLOOKUP(Tabel1[[#This Row],[categorie]],Lijst!A:B,2,FALSE)</f>
        <v>Vast</v>
      </c>
      <c r="I671" t="str">
        <f t="shared" si="32"/>
        <v>OK</v>
      </c>
    </row>
    <row r="672" spans="1:9" hidden="1" x14ac:dyDescent="0.3">
      <c r="A672" s="2">
        <v>45746</v>
      </c>
      <c r="B672" t="str">
        <f t="shared" si="30"/>
        <v xml:space="preserve">maart </v>
      </c>
      <c r="C672">
        <v>20</v>
      </c>
      <c r="D672" t="s">
        <v>75</v>
      </c>
      <c r="F672" t="s">
        <v>17</v>
      </c>
      <c r="G672">
        <f t="shared" si="31"/>
        <v>20</v>
      </c>
      <c r="H672" t="str">
        <f>VLOOKUP(Tabel1[[#This Row],[categorie]],Lijst!A:B,2,FALSE)</f>
        <v>Variabel</v>
      </c>
      <c r="I672" t="str">
        <f t="shared" si="32"/>
        <v>OK</v>
      </c>
    </row>
    <row r="673" spans="1:9" hidden="1" x14ac:dyDescent="0.3">
      <c r="A673" s="2">
        <v>45746</v>
      </c>
      <c r="B673" t="str">
        <f t="shared" si="30"/>
        <v xml:space="preserve">maart </v>
      </c>
      <c r="C673">
        <v>-566.76</v>
      </c>
      <c r="D673" t="s">
        <v>73</v>
      </c>
      <c r="F673" t="s">
        <v>18</v>
      </c>
      <c r="G673">
        <f t="shared" si="31"/>
        <v>-566.76</v>
      </c>
      <c r="H673" t="str">
        <f>VLOOKUP(Tabel1[[#This Row],[categorie]],Lijst!A:B,2,FALSE)</f>
        <v>Vast</v>
      </c>
      <c r="I673" t="str">
        <f t="shared" si="32"/>
        <v>OK</v>
      </c>
    </row>
    <row r="674" spans="1:9" hidden="1" x14ac:dyDescent="0.3">
      <c r="A674" s="2">
        <v>45746</v>
      </c>
      <c r="B674" t="str">
        <f t="shared" si="30"/>
        <v xml:space="preserve">maart </v>
      </c>
      <c r="C674">
        <v>-19.36</v>
      </c>
      <c r="D674" t="s">
        <v>73</v>
      </c>
      <c r="F674" t="s">
        <v>18</v>
      </c>
      <c r="G674">
        <f t="shared" si="31"/>
        <v>-19.36</v>
      </c>
      <c r="H674" t="str">
        <f>VLOOKUP(Tabel1[[#This Row],[categorie]],Lijst!A:B,2,FALSE)</f>
        <v>Vast</v>
      </c>
      <c r="I674" t="str">
        <f t="shared" si="32"/>
        <v>OK</v>
      </c>
    </row>
    <row r="675" spans="1:9" hidden="1" x14ac:dyDescent="0.3">
      <c r="A675" s="2">
        <v>45747</v>
      </c>
      <c r="B675" t="str">
        <f t="shared" ref="B675:B738" si="33">TEXT(A675,"mmmm ")</f>
        <v xml:space="preserve">maart </v>
      </c>
      <c r="C675">
        <v>-1.5</v>
      </c>
      <c r="D675" t="s">
        <v>19</v>
      </c>
      <c r="F675" t="s">
        <v>18</v>
      </c>
      <c r="G675">
        <f t="shared" ref="G675:G738" si="34">IF(F675="Uitgave", -ABS(C675), ABS(C675))</f>
        <v>-1.5</v>
      </c>
      <c r="H675" t="str">
        <f>VLOOKUP(Tabel1[[#This Row],[categorie]],Lijst!A:B,2,FALSE)</f>
        <v>Vast</v>
      </c>
      <c r="I675" t="str">
        <f t="shared" ref="I675:I738" si="35">IF(OR(AND(F675="Uitgave", C675&lt;0), AND(F675="Inkomst", C675&gt;0)), "OK", "FOUT")</f>
        <v>OK</v>
      </c>
    </row>
    <row r="676" spans="1:9" hidden="1" x14ac:dyDescent="0.3">
      <c r="A676" s="2">
        <v>45747</v>
      </c>
      <c r="B676" t="str">
        <f t="shared" si="33"/>
        <v xml:space="preserve">maart </v>
      </c>
      <c r="C676">
        <v>-7.74</v>
      </c>
      <c r="D676" t="s">
        <v>3</v>
      </c>
      <c r="F676" t="s">
        <v>18</v>
      </c>
      <c r="G676">
        <f t="shared" si="34"/>
        <v>-7.74</v>
      </c>
      <c r="H676" t="str">
        <f>VLOOKUP(Tabel1[[#This Row],[categorie]],Lijst!A:B,2,FALSE)</f>
        <v>Vast</v>
      </c>
      <c r="I676" t="str">
        <f t="shared" si="35"/>
        <v>OK</v>
      </c>
    </row>
    <row r="677" spans="1:9" hidden="1" x14ac:dyDescent="0.3">
      <c r="A677" s="2">
        <v>45747</v>
      </c>
      <c r="B677" t="str">
        <f t="shared" si="33"/>
        <v xml:space="preserve">maart </v>
      </c>
      <c r="C677">
        <v>-14.28</v>
      </c>
      <c r="D677" t="s">
        <v>3</v>
      </c>
      <c r="F677" t="s">
        <v>18</v>
      </c>
      <c r="G677">
        <f t="shared" si="34"/>
        <v>-14.28</v>
      </c>
      <c r="H677" t="str">
        <f>VLOOKUP(Tabel1[[#This Row],[categorie]],Lijst!A:B,2,FALSE)</f>
        <v>Vast</v>
      </c>
      <c r="I677" t="str">
        <f t="shared" si="35"/>
        <v>OK</v>
      </c>
    </row>
    <row r="678" spans="1:9" hidden="1" x14ac:dyDescent="0.3">
      <c r="A678" s="2">
        <v>45747</v>
      </c>
      <c r="B678" t="str">
        <f t="shared" si="33"/>
        <v xml:space="preserve">maart </v>
      </c>
      <c r="C678">
        <v>-6.48</v>
      </c>
      <c r="D678" t="s">
        <v>3</v>
      </c>
      <c r="F678" t="s">
        <v>18</v>
      </c>
      <c r="G678">
        <f t="shared" si="34"/>
        <v>-6.48</v>
      </c>
      <c r="H678" t="str">
        <f>VLOOKUP(Tabel1[[#This Row],[categorie]],Lijst!A:B,2,FALSE)</f>
        <v>Vast</v>
      </c>
      <c r="I678" t="str">
        <f t="shared" si="35"/>
        <v>OK</v>
      </c>
    </row>
    <row r="679" spans="1:9" hidden="1" x14ac:dyDescent="0.3">
      <c r="A679" s="2">
        <v>45747</v>
      </c>
      <c r="B679" t="str">
        <f t="shared" si="33"/>
        <v xml:space="preserve">maart </v>
      </c>
      <c r="C679">
        <v>-11.79</v>
      </c>
      <c r="D679" t="s">
        <v>3</v>
      </c>
      <c r="F679" t="s">
        <v>18</v>
      </c>
      <c r="G679">
        <f t="shared" si="34"/>
        <v>-11.79</v>
      </c>
      <c r="H679" t="str">
        <f>VLOOKUP(Tabel1[[#This Row],[categorie]],Lijst!A:B,2,FALSE)</f>
        <v>Vast</v>
      </c>
      <c r="I679" t="str">
        <f t="shared" si="35"/>
        <v>OK</v>
      </c>
    </row>
    <row r="680" spans="1:9" hidden="1" x14ac:dyDescent="0.3">
      <c r="A680" s="2">
        <v>45747</v>
      </c>
      <c r="B680" t="str">
        <f t="shared" si="33"/>
        <v xml:space="preserve">maart </v>
      </c>
      <c r="C680">
        <v>-69.55</v>
      </c>
      <c r="D680" t="s">
        <v>3</v>
      </c>
      <c r="F680" t="s">
        <v>18</v>
      </c>
      <c r="G680">
        <f t="shared" si="34"/>
        <v>-69.55</v>
      </c>
      <c r="H680" t="str">
        <f>VLOOKUP(Tabel1[[#This Row],[categorie]],Lijst!A:B,2,FALSE)</f>
        <v>Vast</v>
      </c>
      <c r="I680" t="str">
        <f t="shared" si="35"/>
        <v>OK</v>
      </c>
    </row>
    <row r="681" spans="1:9" hidden="1" x14ac:dyDescent="0.3">
      <c r="A681" s="2">
        <v>45747</v>
      </c>
      <c r="B681" t="str">
        <f t="shared" si="33"/>
        <v xml:space="preserve">maart </v>
      </c>
      <c r="C681">
        <v>-44.72</v>
      </c>
      <c r="D681" t="s">
        <v>3</v>
      </c>
      <c r="F681" t="s">
        <v>18</v>
      </c>
      <c r="G681">
        <f t="shared" si="34"/>
        <v>-44.72</v>
      </c>
      <c r="H681" t="str">
        <f>VLOOKUP(Tabel1[[#This Row],[categorie]],Lijst!A:B,2,FALSE)</f>
        <v>Vast</v>
      </c>
      <c r="I681" t="str">
        <f t="shared" si="35"/>
        <v>OK</v>
      </c>
    </row>
    <row r="682" spans="1:9" hidden="1" x14ac:dyDescent="0.3">
      <c r="A682" s="2">
        <v>45747</v>
      </c>
      <c r="B682" t="str">
        <f t="shared" si="33"/>
        <v xml:space="preserve">maart </v>
      </c>
      <c r="C682">
        <v>-20</v>
      </c>
      <c r="D682" t="s">
        <v>14</v>
      </c>
      <c r="F682" t="s">
        <v>18</v>
      </c>
      <c r="G682">
        <f t="shared" si="34"/>
        <v>-20</v>
      </c>
      <c r="H682" t="str">
        <f>VLOOKUP(Tabel1[[#This Row],[categorie]],Lijst!A:B,2,FALSE)</f>
        <v>Variabel</v>
      </c>
      <c r="I682" t="str">
        <f t="shared" si="35"/>
        <v>OK</v>
      </c>
    </row>
    <row r="683" spans="1:9" hidden="1" x14ac:dyDescent="0.3">
      <c r="A683" s="2">
        <v>45747</v>
      </c>
      <c r="B683" t="str">
        <f t="shared" si="33"/>
        <v xml:space="preserve">maart </v>
      </c>
      <c r="C683">
        <v>-5.8</v>
      </c>
      <c r="D683" t="s">
        <v>3</v>
      </c>
      <c r="F683" t="s">
        <v>18</v>
      </c>
      <c r="G683">
        <f t="shared" si="34"/>
        <v>-5.8</v>
      </c>
      <c r="H683" t="str">
        <f>VLOOKUP(Tabel1[[#This Row],[categorie]],Lijst!A:B,2,FALSE)</f>
        <v>Vast</v>
      </c>
      <c r="I683" t="str">
        <f t="shared" si="35"/>
        <v>OK</v>
      </c>
    </row>
    <row r="684" spans="1:9" hidden="1" x14ac:dyDescent="0.3">
      <c r="A684" s="2">
        <v>45747</v>
      </c>
      <c r="B684" t="str">
        <f t="shared" si="33"/>
        <v xml:space="preserve">maart </v>
      </c>
      <c r="C684">
        <v>-12.73</v>
      </c>
      <c r="D684" t="s">
        <v>3</v>
      </c>
      <c r="F684" t="s">
        <v>18</v>
      </c>
      <c r="G684">
        <f t="shared" si="34"/>
        <v>-12.73</v>
      </c>
      <c r="H684" t="str">
        <f>VLOOKUP(Tabel1[[#This Row],[categorie]],Lijst!A:B,2,FALSE)</f>
        <v>Vast</v>
      </c>
      <c r="I684" t="str">
        <f t="shared" si="35"/>
        <v>OK</v>
      </c>
    </row>
    <row r="685" spans="1:9" hidden="1" x14ac:dyDescent="0.3">
      <c r="A685" s="2">
        <v>45747</v>
      </c>
      <c r="B685" t="str">
        <f t="shared" si="33"/>
        <v xml:space="preserve">maart </v>
      </c>
      <c r="C685">
        <v>-11.99</v>
      </c>
      <c r="D685" t="s">
        <v>53</v>
      </c>
      <c r="F685" t="s">
        <v>18</v>
      </c>
      <c r="G685">
        <f t="shared" si="34"/>
        <v>-11.99</v>
      </c>
      <c r="H685" t="str">
        <f>VLOOKUP(Tabel1[[#This Row],[categorie]],Lijst!A:B,2,FALSE)</f>
        <v>Variabel</v>
      </c>
      <c r="I685" t="str">
        <f t="shared" si="35"/>
        <v>OK</v>
      </c>
    </row>
    <row r="686" spans="1:9" hidden="1" x14ac:dyDescent="0.3">
      <c r="A686" s="2">
        <v>45747</v>
      </c>
      <c r="B686" t="str">
        <f t="shared" si="33"/>
        <v xml:space="preserve">maart </v>
      </c>
      <c r="C686">
        <v>-1.5</v>
      </c>
      <c r="D686" t="s">
        <v>26</v>
      </c>
      <c r="F686" t="s">
        <v>18</v>
      </c>
      <c r="G686">
        <f t="shared" si="34"/>
        <v>-1.5</v>
      </c>
      <c r="H686" t="str">
        <f>VLOOKUP(Tabel1[[#This Row],[categorie]],Lijst!A:B,2,FALSE)</f>
        <v>Variabel</v>
      </c>
      <c r="I686" t="str">
        <f t="shared" si="35"/>
        <v>OK</v>
      </c>
    </row>
    <row r="687" spans="1:9" hidden="1" x14ac:dyDescent="0.3">
      <c r="A687" s="2">
        <v>45747</v>
      </c>
      <c r="B687" t="str">
        <f t="shared" si="33"/>
        <v xml:space="preserve">maart </v>
      </c>
      <c r="C687">
        <v>-5.07</v>
      </c>
      <c r="D687" t="s">
        <v>3</v>
      </c>
      <c r="F687" t="s">
        <v>18</v>
      </c>
      <c r="G687">
        <f t="shared" si="34"/>
        <v>-5.07</v>
      </c>
      <c r="H687" t="str">
        <f>VLOOKUP(Tabel1[[#This Row],[categorie]],Lijst!A:B,2,FALSE)</f>
        <v>Vast</v>
      </c>
      <c r="I687" t="str">
        <f t="shared" si="35"/>
        <v>OK</v>
      </c>
    </row>
    <row r="688" spans="1:9" hidden="1" x14ac:dyDescent="0.3">
      <c r="A688" s="2">
        <v>45747</v>
      </c>
      <c r="B688" t="str">
        <f t="shared" si="33"/>
        <v xml:space="preserve">maart </v>
      </c>
      <c r="C688">
        <v>-55.9</v>
      </c>
      <c r="D688" t="s">
        <v>3</v>
      </c>
      <c r="F688" t="s">
        <v>18</v>
      </c>
      <c r="G688">
        <f t="shared" si="34"/>
        <v>-55.9</v>
      </c>
      <c r="H688" t="str">
        <f>VLOOKUP(Tabel1[[#This Row],[categorie]],Lijst!A:B,2,FALSE)</f>
        <v>Vast</v>
      </c>
      <c r="I688" t="str">
        <f t="shared" si="35"/>
        <v>OK</v>
      </c>
    </row>
    <row r="689" spans="1:9" hidden="1" x14ac:dyDescent="0.3">
      <c r="A689" s="2">
        <v>45747</v>
      </c>
      <c r="B689" t="str">
        <f t="shared" si="33"/>
        <v xml:space="preserve">maart </v>
      </c>
      <c r="C689">
        <v>-69.86</v>
      </c>
      <c r="D689" t="s">
        <v>23</v>
      </c>
      <c r="F689" t="s">
        <v>18</v>
      </c>
      <c r="G689">
        <f t="shared" si="34"/>
        <v>-69.86</v>
      </c>
      <c r="H689" t="str">
        <f>VLOOKUP(Tabel1[[#This Row],[categorie]],Lijst!A:B,2,FALSE)</f>
        <v>Vast</v>
      </c>
      <c r="I689" t="str">
        <f t="shared" si="35"/>
        <v>OK</v>
      </c>
    </row>
    <row r="690" spans="1:9" hidden="1" x14ac:dyDescent="0.3">
      <c r="A690" s="2">
        <v>45747</v>
      </c>
      <c r="B690" t="str">
        <f t="shared" si="33"/>
        <v xml:space="preserve">maart </v>
      </c>
      <c r="C690">
        <v>-44.64</v>
      </c>
      <c r="D690" t="str" cm="1">
        <f t="array" ref="D690">IFERROR(
  _xlfn.XLOOKUP(TRUE, ISNUMBER(FIND(Trefwoorden!$A$2:$A$99, E690)), Trefwoorden!$B$2:$B$99),
  "Onbekend"
)</f>
        <v>Hospitalisatie</v>
      </c>
      <c r="E690" t="s">
        <v>133</v>
      </c>
      <c r="F690" t="s">
        <v>18</v>
      </c>
      <c r="G690">
        <f t="shared" si="34"/>
        <v>-44.64</v>
      </c>
      <c r="H690" t="str">
        <f>VLOOKUP(Tabel1[[#This Row],[categorie]],Lijst!A:B,2,FALSE)</f>
        <v>Vast</v>
      </c>
      <c r="I690" t="str">
        <f t="shared" si="35"/>
        <v>OK</v>
      </c>
    </row>
    <row r="691" spans="1:9" hidden="1" x14ac:dyDescent="0.3">
      <c r="A691" s="2">
        <v>45748</v>
      </c>
      <c r="B691" t="str">
        <f t="shared" si="33"/>
        <v xml:space="preserve">april </v>
      </c>
      <c r="C691">
        <v>2581.3200000000002</v>
      </c>
      <c r="D691" t="s">
        <v>83</v>
      </c>
      <c r="F691" t="s">
        <v>17</v>
      </c>
      <c r="G691">
        <f t="shared" si="34"/>
        <v>2581.3200000000002</v>
      </c>
      <c r="H691" t="str">
        <f>VLOOKUP(Tabel1[[#This Row],[categorie]],Lijst!A:B,2,FALSE)</f>
        <v>Inkomsten</v>
      </c>
      <c r="I691" t="str">
        <f t="shared" si="35"/>
        <v>OK</v>
      </c>
    </row>
    <row r="692" spans="1:9" hidden="1" x14ac:dyDescent="0.3">
      <c r="A692" s="2">
        <v>45748</v>
      </c>
      <c r="B692" t="str">
        <f t="shared" si="33"/>
        <v xml:space="preserve">april </v>
      </c>
      <c r="C692">
        <v>2527.61</v>
      </c>
      <c r="D692" t="s">
        <v>83</v>
      </c>
      <c r="F692" t="s">
        <v>17</v>
      </c>
      <c r="G692">
        <f t="shared" si="34"/>
        <v>2527.61</v>
      </c>
      <c r="H692" t="str">
        <f>VLOOKUP(Tabel1[[#This Row],[categorie]],Lijst!A:B,2,FALSE)</f>
        <v>Inkomsten</v>
      </c>
      <c r="I692" t="str">
        <f t="shared" si="35"/>
        <v>OK</v>
      </c>
    </row>
    <row r="693" spans="1:9" hidden="1" x14ac:dyDescent="0.3">
      <c r="A693" s="2">
        <v>45748</v>
      </c>
      <c r="B693" t="str">
        <f t="shared" si="33"/>
        <v xml:space="preserve">april </v>
      </c>
      <c r="C693">
        <v>-20.32</v>
      </c>
      <c r="D693" t="s">
        <v>3</v>
      </c>
      <c r="F693" t="str">
        <f>VLOOKUP(Tabel1[[#This Row],[categorie]],Lijst!A:C,3,FALSE)</f>
        <v>Uitgave</v>
      </c>
      <c r="G693">
        <f t="shared" si="34"/>
        <v>-20.32</v>
      </c>
      <c r="H693" t="str">
        <f>VLOOKUP(Tabel1[[#This Row],[categorie]],Lijst!A:B,2,FALSE)</f>
        <v>Vast</v>
      </c>
      <c r="I693" t="str">
        <f t="shared" si="35"/>
        <v>OK</v>
      </c>
    </row>
    <row r="694" spans="1:9" hidden="1" x14ac:dyDescent="0.3">
      <c r="A694" s="2">
        <v>45748</v>
      </c>
      <c r="B694" t="str">
        <f t="shared" si="33"/>
        <v xml:space="preserve">april </v>
      </c>
      <c r="C694">
        <v>-4.5999999999999996</v>
      </c>
      <c r="D694" t="s">
        <v>3</v>
      </c>
      <c r="F694" t="str">
        <f>VLOOKUP(Tabel1[[#This Row],[categorie]],Lijst!A:C,3,FALSE)</f>
        <v>Uitgave</v>
      </c>
      <c r="G694">
        <f t="shared" si="34"/>
        <v>-4.5999999999999996</v>
      </c>
      <c r="H694" t="str">
        <f>VLOOKUP(Tabel1[[#This Row],[categorie]],Lijst!A:B,2,FALSE)</f>
        <v>Vast</v>
      </c>
      <c r="I694" t="str">
        <f t="shared" si="35"/>
        <v>OK</v>
      </c>
    </row>
    <row r="695" spans="1:9" hidden="1" x14ac:dyDescent="0.3">
      <c r="A695" s="2">
        <v>45748</v>
      </c>
      <c r="B695" t="str">
        <f t="shared" si="33"/>
        <v xml:space="preserve">april </v>
      </c>
      <c r="C695">
        <v>-0.5</v>
      </c>
      <c r="D695" t="s">
        <v>26</v>
      </c>
      <c r="F695" t="str">
        <f>VLOOKUP(Tabel1[[#This Row],[categorie]],Lijst!A:C,3,FALSE)</f>
        <v>Uitgave</v>
      </c>
      <c r="G695">
        <f t="shared" si="34"/>
        <v>-0.5</v>
      </c>
      <c r="H695" t="str">
        <f>VLOOKUP(Tabel1[[#This Row],[categorie]],Lijst!A:B,2,FALSE)</f>
        <v>Variabel</v>
      </c>
      <c r="I695" t="str">
        <f t="shared" si="35"/>
        <v>OK</v>
      </c>
    </row>
    <row r="696" spans="1:9" hidden="1" x14ac:dyDescent="0.3">
      <c r="A696" s="2">
        <v>45748</v>
      </c>
      <c r="B696" t="str">
        <f t="shared" si="33"/>
        <v xml:space="preserve">april </v>
      </c>
      <c r="C696">
        <v>-0.5</v>
      </c>
      <c r="D696" t="s">
        <v>26</v>
      </c>
      <c r="F696" t="str">
        <f>VLOOKUP(Tabel1[[#This Row],[categorie]],Lijst!A:C,3,FALSE)</f>
        <v>Uitgave</v>
      </c>
      <c r="G696">
        <f t="shared" si="34"/>
        <v>-0.5</v>
      </c>
      <c r="H696" t="str">
        <f>VLOOKUP(Tabel1[[#This Row],[categorie]],Lijst!A:B,2,FALSE)</f>
        <v>Variabel</v>
      </c>
      <c r="I696" t="str">
        <f t="shared" si="35"/>
        <v>OK</v>
      </c>
    </row>
    <row r="697" spans="1:9" hidden="1" x14ac:dyDescent="0.3">
      <c r="A697" s="2">
        <v>45748</v>
      </c>
      <c r="B697" t="str">
        <f t="shared" si="33"/>
        <v xml:space="preserve">april </v>
      </c>
      <c r="C697">
        <v>-0.5</v>
      </c>
      <c r="D697" t="s">
        <v>26</v>
      </c>
      <c r="F697" t="str">
        <f>VLOOKUP(Tabel1[[#This Row],[categorie]],Lijst!A:C,3,FALSE)</f>
        <v>Uitgave</v>
      </c>
      <c r="G697">
        <f t="shared" si="34"/>
        <v>-0.5</v>
      </c>
      <c r="H697" t="str">
        <f>VLOOKUP(Tabel1[[#This Row],[categorie]],Lijst!A:B,2,FALSE)</f>
        <v>Variabel</v>
      </c>
      <c r="I697" t="str">
        <f t="shared" si="35"/>
        <v>OK</v>
      </c>
    </row>
    <row r="698" spans="1:9" hidden="1" x14ac:dyDescent="0.3">
      <c r="A698" s="2">
        <v>45748</v>
      </c>
      <c r="B698" t="str">
        <f t="shared" si="33"/>
        <v xml:space="preserve">april </v>
      </c>
      <c r="C698">
        <v>-13.8</v>
      </c>
      <c r="D698" t="s">
        <v>3</v>
      </c>
      <c r="F698" t="s">
        <v>18</v>
      </c>
      <c r="G698">
        <f t="shared" si="34"/>
        <v>-13.8</v>
      </c>
      <c r="H698" t="str">
        <f>VLOOKUP(Tabel1[[#This Row],[categorie]],Lijst!A:B,2,FALSE)</f>
        <v>Vast</v>
      </c>
      <c r="I698" t="str">
        <f t="shared" si="35"/>
        <v>OK</v>
      </c>
    </row>
    <row r="699" spans="1:9" hidden="1" x14ac:dyDescent="0.3">
      <c r="A699" s="2">
        <v>45748</v>
      </c>
      <c r="B699" t="str">
        <f t="shared" si="33"/>
        <v xml:space="preserve">april </v>
      </c>
      <c r="C699">
        <v>-2.76</v>
      </c>
      <c r="D699" t="s">
        <v>3</v>
      </c>
      <c r="F699" t="s">
        <v>18</v>
      </c>
      <c r="G699">
        <f t="shared" si="34"/>
        <v>-2.76</v>
      </c>
      <c r="H699" t="str">
        <f>VLOOKUP(Tabel1[[#This Row],[categorie]],Lijst!A:B,2,FALSE)</f>
        <v>Vast</v>
      </c>
      <c r="I699" t="str">
        <f t="shared" si="35"/>
        <v>OK</v>
      </c>
    </row>
    <row r="700" spans="1:9" hidden="1" x14ac:dyDescent="0.3">
      <c r="A700" s="2">
        <v>45748</v>
      </c>
      <c r="B700" t="str">
        <f t="shared" si="33"/>
        <v xml:space="preserve">april </v>
      </c>
      <c r="C700">
        <v>-14.87</v>
      </c>
      <c r="D700" t="s">
        <v>3</v>
      </c>
      <c r="F700" t="s">
        <v>18</v>
      </c>
      <c r="G700">
        <f t="shared" si="34"/>
        <v>-14.87</v>
      </c>
      <c r="H700" t="str">
        <f>VLOOKUP(Tabel1[[#This Row],[categorie]],Lijst!A:B,2,FALSE)</f>
        <v>Vast</v>
      </c>
      <c r="I700" t="str">
        <f t="shared" si="35"/>
        <v>OK</v>
      </c>
    </row>
    <row r="701" spans="1:9" hidden="1" x14ac:dyDescent="0.3">
      <c r="A701" s="2">
        <v>45748</v>
      </c>
      <c r="B701" t="str">
        <f t="shared" si="33"/>
        <v xml:space="preserve">april </v>
      </c>
      <c r="C701">
        <v>-4.7</v>
      </c>
      <c r="D701" t="s">
        <v>3</v>
      </c>
      <c r="F701" t="s">
        <v>18</v>
      </c>
      <c r="G701">
        <f t="shared" si="34"/>
        <v>-4.7</v>
      </c>
      <c r="H701" t="str">
        <f>VLOOKUP(Tabel1[[#This Row],[categorie]],Lijst!A:B,2,FALSE)</f>
        <v>Vast</v>
      </c>
      <c r="I701" t="str">
        <f t="shared" si="35"/>
        <v>OK</v>
      </c>
    </row>
    <row r="702" spans="1:9" hidden="1" x14ac:dyDescent="0.3">
      <c r="A702" s="2">
        <v>45748</v>
      </c>
      <c r="B702" t="str">
        <f t="shared" si="33"/>
        <v xml:space="preserve">april </v>
      </c>
      <c r="C702">
        <v>-40.619999999999997</v>
      </c>
      <c r="D702" t="s">
        <v>209</v>
      </c>
      <c r="F702" t="str">
        <f>VLOOKUP(Tabel1[[#This Row],[categorie]],Lijst!A:C,3,FALSE)</f>
        <v>Uitgave</v>
      </c>
      <c r="G702">
        <f t="shared" si="34"/>
        <v>-40.619999999999997</v>
      </c>
      <c r="H702" t="str">
        <f>VLOOKUP(Tabel1[[#This Row],[categorie]],Lijst!A:B,2,FALSE)</f>
        <v>Vast</v>
      </c>
      <c r="I702" t="str">
        <f t="shared" si="35"/>
        <v>OK</v>
      </c>
    </row>
    <row r="703" spans="1:9" hidden="1" x14ac:dyDescent="0.3">
      <c r="A703" s="2">
        <v>45748</v>
      </c>
      <c r="B703" t="str">
        <f t="shared" si="33"/>
        <v xml:space="preserve">april </v>
      </c>
      <c r="C703">
        <v>-142</v>
      </c>
      <c r="D703" t="s">
        <v>11</v>
      </c>
      <c r="F703" t="s">
        <v>18</v>
      </c>
      <c r="G703">
        <f t="shared" si="34"/>
        <v>-142</v>
      </c>
      <c r="H703" t="str">
        <f>VLOOKUP(Tabel1[[#This Row],[categorie]],Lijst!A:B,2,FALSE)</f>
        <v>Vast</v>
      </c>
      <c r="I703" t="str">
        <f t="shared" si="35"/>
        <v>OK</v>
      </c>
    </row>
    <row r="704" spans="1:9" hidden="1" x14ac:dyDescent="0.3">
      <c r="A704" s="2">
        <v>45748</v>
      </c>
      <c r="B704" t="str">
        <f t="shared" si="33"/>
        <v xml:space="preserve">april </v>
      </c>
      <c r="C704">
        <v>-363.29</v>
      </c>
      <c r="D704" t="s">
        <v>40</v>
      </c>
      <c r="F704" t="str">
        <f>VLOOKUP(Tabel1[[#This Row],[categorie]],Lijst!A:C,3,FALSE)</f>
        <v>Uitgave</v>
      </c>
      <c r="G704">
        <f t="shared" si="34"/>
        <v>-363.29</v>
      </c>
      <c r="H704" t="str">
        <f>VLOOKUP(Tabel1[[#This Row],[categorie]],Lijst!A:B,2,FALSE)</f>
        <v>Variabel</v>
      </c>
      <c r="I704" t="str">
        <f t="shared" si="35"/>
        <v>OK</v>
      </c>
    </row>
    <row r="705" spans="1:9" hidden="1" x14ac:dyDescent="0.3">
      <c r="A705" s="2">
        <v>45748</v>
      </c>
      <c r="B705" t="str">
        <f t="shared" si="33"/>
        <v xml:space="preserve">april </v>
      </c>
      <c r="C705">
        <v>-21.94</v>
      </c>
      <c r="D705" t="s">
        <v>9</v>
      </c>
      <c r="F705" t="s">
        <v>18</v>
      </c>
      <c r="G705">
        <f t="shared" si="34"/>
        <v>-21.94</v>
      </c>
      <c r="H705" t="str">
        <f>VLOOKUP(Tabel1[[#This Row],[categorie]],Lijst!A:B,2,FALSE)</f>
        <v>Variabel</v>
      </c>
      <c r="I705" t="str">
        <f t="shared" si="35"/>
        <v>OK</v>
      </c>
    </row>
    <row r="706" spans="1:9" hidden="1" x14ac:dyDescent="0.3">
      <c r="A706" s="2">
        <v>45749</v>
      </c>
      <c r="B706" t="str">
        <f t="shared" si="33"/>
        <v xml:space="preserve">april </v>
      </c>
      <c r="C706">
        <v>-30.1</v>
      </c>
      <c r="D706" t="s">
        <v>9</v>
      </c>
      <c r="F706" t="s">
        <v>18</v>
      </c>
      <c r="G706">
        <f t="shared" si="34"/>
        <v>-30.1</v>
      </c>
      <c r="H706" t="str">
        <f>VLOOKUP(Tabel1[[#This Row],[categorie]],Lijst!A:B,2,FALSE)</f>
        <v>Variabel</v>
      </c>
      <c r="I706" t="str">
        <f t="shared" si="35"/>
        <v>OK</v>
      </c>
    </row>
    <row r="707" spans="1:9" hidden="1" x14ac:dyDescent="0.3">
      <c r="A707" s="2">
        <v>45749</v>
      </c>
      <c r="B707" t="str">
        <f t="shared" si="33"/>
        <v xml:space="preserve">april </v>
      </c>
      <c r="C707">
        <v>-1.5</v>
      </c>
      <c r="D707" t="s">
        <v>26</v>
      </c>
      <c r="F707" t="str">
        <f>VLOOKUP(Tabel1[[#This Row],[categorie]],Lijst!A:C,3,FALSE)</f>
        <v>Uitgave</v>
      </c>
      <c r="G707">
        <f t="shared" si="34"/>
        <v>-1.5</v>
      </c>
      <c r="H707" t="str">
        <f>VLOOKUP(Tabel1[[#This Row],[categorie]],Lijst!A:B,2,FALSE)</f>
        <v>Variabel</v>
      </c>
      <c r="I707" t="str">
        <f t="shared" si="35"/>
        <v>OK</v>
      </c>
    </row>
    <row r="708" spans="1:9" hidden="1" x14ac:dyDescent="0.3">
      <c r="A708" s="2">
        <v>45749</v>
      </c>
      <c r="B708" t="str">
        <f t="shared" si="33"/>
        <v xml:space="preserve">april </v>
      </c>
      <c r="C708">
        <v>5.5</v>
      </c>
      <c r="D708" t="s">
        <v>3</v>
      </c>
      <c r="F708" t="s">
        <v>65</v>
      </c>
      <c r="G708">
        <f t="shared" si="34"/>
        <v>5.5</v>
      </c>
      <c r="H708" t="str">
        <f>VLOOKUP(Tabel1[[#This Row],[categorie]],Lijst!A:B,2,FALSE)</f>
        <v>Vast</v>
      </c>
      <c r="I708" t="str">
        <f t="shared" si="35"/>
        <v>OK</v>
      </c>
    </row>
    <row r="709" spans="1:9" hidden="1" x14ac:dyDescent="0.3">
      <c r="A709" s="2">
        <v>45749</v>
      </c>
      <c r="B709" t="str">
        <f t="shared" si="33"/>
        <v xml:space="preserve">april </v>
      </c>
      <c r="C709">
        <v>-6.99</v>
      </c>
      <c r="D709" t="s">
        <v>3</v>
      </c>
      <c r="F709" t="s">
        <v>18</v>
      </c>
      <c r="G709">
        <f t="shared" si="34"/>
        <v>-6.99</v>
      </c>
      <c r="H709" t="str">
        <f>VLOOKUP(Tabel1[[#This Row],[categorie]],Lijst!A:B,2,FALSE)</f>
        <v>Vast</v>
      </c>
      <c r="I709" t="str">
        <f t="shared" si="35"/>
        <v>OK</v>
      </c>
    </row>
    <row r="710" spans="1:9" hidden="1" x14ac:dyDescent="0.3">
      <c r="A710" s="2">
        <v>45749</v>
      </c>
      <c r="B710" t="str">
        <f t="shared" si="33"/>
        <v xml:space="preserve">april </v>
      </c>
      <c r="C710">
        <v>-8.68</v>
      </c>
      <c r="D710" t="s">
        <v>3</v>
      </c>
      <c r="F710" t="s">
        <v>18</v>
      </c>
      <c r="G710">
        <f t="shared" si="34"/>
        <v>-8.68</v>
      </c>
      <c r="H710" t="str">
        <f>VLOOKUP(Tabel1[[#This Row],[categorie]],Lijst!A:B,2,FALSE)</f>
        <v>Vast</v>
      </c>
      <c r="I710" t="str">
        <f t="shared" si="35"/>
        <v>OK</v>
      </c>
    </row>
    <row r="711" spans="1:9" hidden="1" x14ac:dyDescent="0.3">
      <c r="A711" s="2">
        <v>45749</v>
      </c>
      <c r="B711" t="str">
        <f t="shared" si="33"/>
        <v xml:space="preserve">april </v>
      </c>
      <c r="C711">
        <v>-12.36</v>
      </c>
      <c r="D711" t="s">
        <v>3</v>
      </c>
      <c r="F711" t="s">
        <v>18</v>
      </c>
      <c r="G711">
        <f t="shared" si="34"/>
        <v>-12.36</v>
      </c>
      <c r="H711" t="str">
        <f>VLOOKUP(Tabel1[[#This Row],[categorie]],Lijst!A:B,2,FALSE)</f>
        <v>Vast</v>
      </c>
      <c r="I711" t="str">
        <f t="shared" si="35"/>
        <v>OK</v>
      </c>
    </row>
    <row r="712" spans="1:9" hidden="1" x14ac:dyDescent="0.3">
      <c r="A712" s="2">
        <v>45750</v>
      </c>
      <c r="B712" t="str">
        <f t="shared" si="33"/>
        <v xml:space="preserve">april </v>
      </c>
      <c r="C712">
        <v>-49.6</v>
      </c>
      <c r="D712" t="s">
        <v>68</v>
      </c>
      <c r="F712" t="s">
        <v>18</v>
      </c>
      <c r="G712">
        <f t="shared" si="34"/>
        <v>-49.6</v>
      </c>
      <c r="H712" t="str">
        <f>VLOOKUP(Tabel1[[#This Row],[categorie]],Lijst!A:B,2,FALSE)</f>
        <v>Variabel</v>
      </c>
      <c r="I712" t="str">
        <f t="shared" si="35"/>
        <v>OK</v>
      </c>
    </row>
    <row r="713" spans="1:9" hidden="1" x14ac:dyDescent="0.3">
      <c r="A713" s="2">
        <v>45750</v>
      </c>
      <c r="B713" t="str">
        <f t="shared" si="33"/>
        <v xml:space="preserve">april </v>
      </c>
      <c r="C713">
        <v>-159.85</v>
      </c>
      <c r="D713" t="s">
        <v>12</v>
      </c>
      <c r="F713" t="str">
        <f>VLOOKUP(Tabel1[[#This Row],[categorie]],Lijst!A:C,3,FALSE)</f>
        <v>Uitgave</v>
      </c>
      <c r="G713">
        <f t="shared" si="34"/>
        <v>-159.85</v>
      </c>
      <c r="H713" t="str">
        <f>VLOOKUP(Tabel1[[#This Row],[categorie]],Lijst!A:B,2,FALSE)</f>
        <v>Vast</v>
      </c>
      <c r="I713" t="str">
        <f t="shared" si="35"/>
        <v>OK</v>
      </c>
    </row>
    <row r="714" spans="1:9" hidden="1" x14ac:dyDescent="0.3">
      <c r="A714" s="2">
        <v>45750</v>
      </c>
      <c r="B714" t="str">
        <f t="shared" si="33"/>
        <v xml:space="preserve">april </v>
      </c>
      <c r="C714">
        <v>-7.74</v>
      </c>
      <c r="D714" t="s">
        <v>3</v>
      </c>
      <c r="F714" t="str">
        <f>VLOOKUP(Tabel1[[#This Row],[categorie]],Lijst!A:C,3,FALSE)</f>
        <v>Uitgave</v>
      </c>
      <c r="G714">
        <f t="shared" si="34"/>
        <v>-7.74</v>
      </c>
      <c r="H714" t="str">
        <f>VLOOKUP(Tabel1[[#This Row],[categorie]],Lijst!A:B,2,FALSE)</f>
        <v>Vast</v>
      </c>
      <c r="I714" t="str">
        <f t="shared" si="35"/>
        <v>OK</v>
      </c>
    </row>
    <row r="715" spans="1:9" hidden="1" x14ac:dyDescent="0.3">
      <c r="A715" s="2">
        <v>45750</v>
      </c>
      <c r="B715" t="str">
        <f t="shared" si="33"/>
        <v xml:space="preserve">april </v>
      </c>
      <c r="C715">
        <v>-15.85</v>
      </c>
      <c r="D715" t="s">
        <v>3</v>
      </c>
      <c r="F715" t="str">
        <f>VLOOKUP(Tabel1[[#This Row],[categorie]],Lijst!A:C,3,FALSE)</f>
        <v>Uitgave</v>
      </c>
      <c r="G715">
        <f t="shared" si="34"/>
        <v>-15.85</v>
      </c>
      <c r="H715" t="str">
        <f>VLOOKUP(Tabel1[[#This Row],[categorie]],Lijst!A:B,2,FALSE)</f>
        <v>Vast</v>
      </c>
      <c r="I715" t="str">
        <f t="shared" si="35"/>
        <v>OK</v>
      </c>
    </row>
    <row r="716" spans="1:9" hidden="1" x14ac:dyDescent="0.3">
      <c r="A716" s="2">
        <v>45750</v>
      </c>
      <c r="B716" t="str">
        <f t="shared" si="33"/>
        <v xml:space="preserve">april </v>
      </c>
      <c r="C716">
        <v>-1.5</v>
      </c>
      <c r="D716" t="s">
        <v>26</v>
      </c>
      <c r="F716" t="str">
        <f>VLOOKUP(Tabel1[[#This Row],[categorie]],Lijst!A:C,3,FALSE)</f>
        <v>Uitgave</v>
      </c>
      <c r="G716">
        <f t="shared" si="34"/>
        <v>-1.5</v>
      </c>
      <c r="H716" t="str">
        <f>VLOOKUP(Tabel1[[#This Row],[categorie]],Lijst!A:B,2,FALSE)</f>
        <v>Variabel</v>
      </c>
      <c r="I716" t="str">
        <f t="shared" si="35"/>
        <v>OK</v>
      </c>
    </row>
    <row r="717" spans="1:9" hidden="1" x14ac:dyDescent="0.3">
      <c r="A717" s="2">
        <v>45750</v>
      </c>
      <c r="B717" t="str">
        <f t="shared" si="33"/>
        <v xml:space="preserve">april </v>
      </c>
      <c r="C717">
        <v>-1.5</v>
      </c>
      <c r="D717" t="s">
        <v>26</v>
      </c>
      <c r="F717" t="str">
        <f>VLOOKUP(Tabel1[[#This Row],[categorie]],Lijst!A:C,3,FALSE)</f>
        <v>Uitgave</v>
      </c>
      <c r="G717">
        <f t="shared" si="34"/>
        <v>-1.5</v>
      </c>
      <c r="H717" t="str">
        <f>VLOOKUP(Tabel1[[#This Row],[categorie]],Lijst!A:B,2,FALSE)</f>
        <v>Variabel</v>
      </c>
      <c r="I717" t="str">
        <f t="shared" si="35"/>
        <v>OK</v>
      </c>
    </row>
    <row r="718" spans="1:9" hidden="1" x14ac:dyDescent="0.3">
      <c r="A718" s="2">
        <v>45750</v>
      </c>
      <c r="B718" t="str">
        <f t="shared" si="33"/>
        <v xml:space="preserve">april </v>
      </c>
      <c r="C718">
        <v>-5.85</v>
      </c>
      <c r="D718" t="s">
        <v>22</v>
      </c>
      <c r="F718" t="s">
        <v>18</v>
      </c>
      <c r="G718">
        <f t="shared" si="34"/>
        <v>-5.85</v>
      </c>
      <c r="H718" t="str">
        <f>VLOOKUP(Tabel1[[#This Row],[categorie]],Lijst!A:B,2,FALSE)</f>
        <v>Variabel</v>
      </c>
      <c r="I718" t="str">
        <f t="shared" si="35"/>
        <v>OK</v>
      </c>
    </row>
    <row r="719" spans="1:9" hidden="1" x14ac:dyDescent="0.3">
      <c r="A719" s="2">
        <v>45750</v>
      </c>
      <c r="B719" t="str">
        <f t="shared" si="33"/>
        <v xml:space="preserve">april </v>
      </c>
      <c r="C719">
        <v>5.75</v>
      </c>
      <c r="D719" t="s">
        <v>75</v>
      </c>
      <c r="F719" t="s">
        <v>65</v>
      </c>
      <c r="G719">
        <f t="shared" si="34"/>
        <v>5.75</v>
      </c>
      <c r="H719" t="str">
        <f>VLOOKUP(Tabel1[[#This Row],[categorie]],Lijst!A:B,2,FALSE)</f>
        <v>Variabel</v>
      </c>
      <c r="I719" t="str">
        <f t="shared" si="35"/>
        <v>OK</v>
      </c>
    </row>
    <row r="720" spans="1:9" hidden="1" x14ac:dyDescent="0.3">
      <c r="A720" s="2">
        <v>45750</v>
      </c>
      <c r="B720" t="str">
        <f t="shared" si="33"/>
        <v xml:space="preserve">april </v>
      </c>
      <c r="C720">
        <v>-20.71</v>
      </c>
      <c r="D720" t="s">
        <v>38</v>
      </c>
      <c r="F720" t="s">
        <v>18</v>
      </c>
      <c r="G720">
        <f t="shared" si="34"/>
        <v>-20.71</v>
      </c>
      <c r="H720" t="str">
        <f>VLOOKUP(Tabel1[[#This Row],[categorie]],Lijst!A:B,2,FALSE)</f>
        <v>Vast</v>
      </c>
      <c r="I720" t="str">
        <f t="shared" si="35"/>
        <v>OK</v>
      </c>
    </row>
    <row r="721" spans="1:9" hidden="1" x14ac:dyDescent="0.3">
      <c r="A721" s="2">
        <v>45750</v>
      </c>
      <c r="B721" t="str">
        <f t="shared" si="33"/>
        <v xml:space="preserve">april </v>
      </c>
      <c r="C721">
        <v>-12</v>
      </c>
      <c r="D721" t="s">
        <v>39</v>
      </c>
      <c r="F721" t="str">
        <f>VLOOKUP(Tabel1[[#This Row],[categorie]],Lijst!A:C,3,FALSE)</f>
        <v>Uitgave</v>
      </c>
      <c r="G721">
        <f t="shared" si="34"/>
        <v>-12</v>
      </c>
      <c r="H721" t="str">
        <f>VLOOKUP(Tabel1[[#This Row],[categorie]],Lijst!A:B,2,FALSE)</f>
        <v>Vast</v>
      </c>
      <c r="I721" t="str">
        <f t="shared" si="35"/>
        <v>OK</v>
      </c>
    </row>
    <row r="722" spans="1:9" hidden="1" x14ac:dyDescent="0.3">
      <c r="A722" s="2">
        <v>45750</v>
      </c>
      <c r="B722" t="str">
        <f t="shared" si="33"/>
        <v xml:space="preserve">april </v>
      </c>
      <c r="C722">
        <v>-9</v>
      </c>
      <c r="D722" t="s">
        <v>35</v>
      </c>
      <c r="F722" t="str">
        <f>VLOOKUP(Tabel1[[#This Row],[categorie]],Lijst!A:C,3,FALSE)</f>
        <v>Uitgave</v>
      </c>
      <c r="G722">
        <f t="shared" si="34"/>
        <v>-9</v>
      </c>
      <c r="H722" t="str">
        <f>VLOOKUP(Tabel1[[#This Row],[categorie]],Lijst!A:B,2,FALSE)</f>
        <v>Variabel</v>
      </c>
      <c r="I722" t="str">
        <f t="shared" si="35"/>
        <v>OK</v>
      </c>
    </row>
    <row r="723" spans="1:9" hidden="1" x14ac:dyDescent="0.3">
      <c r="A723" s="2">
        <v>45751</v>
      </c>
      <c r="B723" t="str">
        <f t="shared" si="33"/>
        <v xml:space="preserve">april </v>
      </c>
      <c r="C723">
        <v>-5.5</v>
      </c>
      <c r="D723" t="s">
        <v>52</v>
      </c>
      <c r="F723" t="str">
        <f>VLOOKUP(Tabel1[[#This Row],[categorie]],Lijst!A:C,3,FALSE)</f>
        <v>Uitgave</v>
      </c>
      <c r="G723">
        <f t="shared" si="34"/>
        <v>-5.5</v>
      </c>
      <c r="H723" t="str">
        <f>VLOOKUP(Tabel1[[#This Row],[categorie]],Lijst!A:B,2,FALSE)</f>
        <v>Variabel</v>
      </c>
      <c r="I723" t="str">
        <f t="shared" si="35"/>
        <v>OK</v>
      </c>
    </row>
    <row r="724" spans="1:9" hidden="1" x14ac:dyDescent="0.3">
      <c r="A724" s="2">
        <v>45751</v>
      </c>
      <c r="B724" t="str">
        <f t="shared" si="33"/>
        <v xml:space="preserve">april </v>
      </c>
      <c r="C724">
        <v>-15.56</v>
      </c>
      <c r="D724" t="s">
        <v>3</v>
      </c>
      <c r="F724" t="str">
        <f>VLOOKUP(Tabel1[[#This Row],[categorie]],Lijst!A:C,3,FALSE)</f>
        <v>Uitgave</v>
      </c>
      <c r="G724">
        <f t="shared" si="34"/>
        <v>-15.56</v>
      </c>
      <c r="H724" t="str">
        <f>VLOOKUP(Tabel1[[#This Row],[categorie]],Lijst!A:B,2,FALSE)</f>
        <v>Vast</v>
      </c>
      <c r="I724" t="str">
        <f t="shared" si="35"/>
        <v>OK</v>
      </c>
    </row>
    <row r="725" spans="1:9" hidden="1" x14ac:dyDescent="0.3">
      <c r="A725" s="2">
        <v>45751</v>
      </c>
      <c r="B725" t="str">
        <f t="shared" si="33"/>
        <v xml:space="preserve">april </v>
      </c>
      <c r="C725">
        <v>-6.8</v>
      </c>
      <c r="D725" t="s">
        <v>3</v>
      </c>
      <c r="F725" t="str">
        <f>VLOOKUP(Tabel1[[#This Row],[categorie]],Lijst!A:C,3,FALSE)</f>
        <v>Uitgave</v>
      </c>
      <c r="G725">
        <f t="shared" si="34"/>
        <v>-6.8</v>
      </c>
      <c r="H725" t="str">
        <f>VLOOKUP(Tabel1[[#This Row],[categorie]],Lijst!A:B,2,FALSE)</f>
        <v>Vast</v>
      </c>
      <c r="I725" t="str">
        <f t="shared" si="35"/>
        <v>OK</v>
      </c>
    </row>
    <row r="726" spans="1:9" hidden="1" x14ac:dyDescent="0.3">
      <c r="A726" s="2">
        <v>45751</v>
      </c>
      <c r="B726" t="str">
        <f t="shared" si="33"/>
        <v xml:space="preserve">april </v>
      </c>
      <c r="C726">
        <v>-1.5</v>
      </c>
      <c r="D726" t="s">
        <v>26</v>
      </c>
      <c r="F726" t="str">
        <f>VLOOKUP(Tabel1[[#This Row],[categorie]],Lijst!A:C,3,FALSE)</f>
        <v>Uitgave</v>
      </c>
      <c r="G726">
        <f t="shared" si="34"/>
        <v>-1.5</v>
      </c>
      <c r="H726" t="str">
        <f>VLOOKUP(Tabel1[[#This Row],[categorie]],Lijst!A:B,2,FALSE)</f>
        <v>Variabel</v>
      </c>
      <c r="I726" t="str">
        <f t="shared" si="35"/>
        <v>OK</v>
      </c>
    </row>
    <row r="727" spans="1:9" hidden="1" x14ac:dyDescent="0.3">
      <c r="A727" s="2">
        <v>45751</v>
      </c>
      <c r="B727" t="str">
        <f t="shared" si="33"/>
        <v xml:space="preserve">april </v>
      </c>
      <c r="C727">
        <v>-2.7</v>
      </c>
      <c r="D727" t="s">
        <v>3</v>
      </c>
      <c r="F727" t="s">
        <v>18</v>
      </c>
      <c r="G727">
        <f t="shared" si="34"/>
        <v>-2.7</v>
      </c>
      <c r="H727" t="str">
        <f>VLOOKUP(Tabel1[[#This Row],[categorie]],Lijst!A:B,2,FALSE)</f>
        <v>Vast</v>
      </c>
      <c r="I727" t="str">
        <f t="shared" si="35"/>
        <v>OK</v>
      </c>
    </row>
    <row r="728" spans="1:9" hidden="1" x14ac:dyDescent="0.3">
      <c r="A728" s="2">
        <v>45751</v>
      </c>
      <c r="B728" t="str">
        <f t="shared" si="33"/>
        <v xml:space="preserve">april </v>
      </c>
      <c r="C728">
        <v>-38</v>
      </c>
      <c r="D728" t="s">
        <v>3</v>
      </c>
      <c r="F728" t="s">
        <v>18</v>
      </c>
      <c r="G728">
        <f t="shared" si="34"/>
        <v>-38</v>
      </c>
      <c r="H728" t="str">
        <f>VLOOKUP(Tabel1[[#This Row],[categorie]],Lijst!A:B,2,FALSE)</f>
        <v>Vast</v>
      </c>
      <c r="I728" t="str">
        <f t="shared" si="35"/>
        <v>OK</v>
      </c>
    </row>
    <row r="729" spans="1:9" hidden="1" x14ac:dyDescent="0.3">
      <c r="A729" s="2">
        <v>45751</v>
      </c>
      <c r="B729" t="str">
        <f t="shared" si="33"/>
        <v xml:space="preserve">april </v>
      </c>
      <c r="C729">
        <v>-8.9499999999999993</v>
      </c>
      <c r="D729" t="s">
        <v>35</v>
      </c>
      <c r="F729" t="str">
        <f>VLOOKUP(Tabel1[[#This Row],[categorie]],Lijst!A:C,3,FALSE)</f>
        <v>Uitgave</v>
      </c>
      <c r="G729">
        <f t="shared" si="34"/>
        <v>-8.9499999999999993</v>
      </c>
      <c r="H729" t="str">
        <f>VLOOKUP(Tabel1[[#This Row],[categorie]],Lijst!A:B,2,FALSE)</f>
        <v>Variabel</v>
      </c>
      <c r="I729" t="str">
        <f t="shared" si="35"/>
        <v>OK</v>
      </c>
    </row>
    <row r="730" spans="1:9" hidden="1" x14ac:dyDescent="0.3">
      <c r="A730" s="2">
        <v>45751</v>
      </c>
      <c r="B730" t="str">
        <f t="shared" si="33"/>
        <v xml:space="preserve">april </v>
      </c>
      <c r="C730">
        <v>-23.09</v>
      </c>
      <c r="D730" t="s">
        <v>3</v>
      </c>
      <c r="F730" t="s">
        <v>18</v>
      </c>
      <c r="G730">
        <f t="shared" si="34"/>
        <v>-23.09</v>
      </c>
      <c r="H730" t="str">
        <f>VLOOKUP(Tabel1[[#This Row],[categorie]],Lijst!A:B,2,FALSE)</f>
        <v>Vast</v>
      </c>
      <c r="I730" t="str">
        <f t="shared" si="35"/>
        <v>OK</v>
      </c>
    </row>
    <row r="731" spans="1:9" hidden="1" x14ac:dyDescent="0.3">
      <c r="A731" s="2">
        <v>45751</v>
      </c>
      <c r="B731" t="str">
        <f t="shared" si="33"/>
        <v xml:space="preserve">april </v>
      </c>
      <c r="C731">
        <v>-18.14</v>
      </c>
      <c r="D731" t="s">
        <v>3</v>
      </c>
      <c r="F731" t="s">
        <v>18</v>
      </c>
      <c r="G731">
        <f t="shared" si="34"/>
        <v>-18.14</v>
      </c>
      <c r="H731" t="str">
        <f>VLOOKUP(Tabel1[[#This Row],[categorie]],Lijst!A:B,2,FALSE)</f>
        <v>Vast</v>
      </c>
      <c r="I731" t="str">
        <f t="shared" si="35"/>
        <v>OK</v>
      </c>
    </row>
    <row r="732" spans="1:9" hidden="1" x14ac:dyDescent="0.3">
      <c r="A732" s="2">
        <v>45751</v>
      </c>
      <c r="B732" t="str">
        <f t="shared" si="33"/>
        <v xml:space="preserve">april </v>
      </c>
      <c r="C732">
        <v>-3.6</v>
      </c>
      <c r="D732" t="s">
        <v>3</v>
      </c>
      <c r="F732" t="s">
        <v>18</v>
      </c>
      <c r="G732">
        <f t="shared" si="34"/>
        <v>-3.6</v>
      </c>
      <c r="H732" t="str">
        <f>VLOOKUP(Tabel1[[#This Row],[categorie]],Lijst!A:B,2,FALSE)</f>
        <v>Vast</v>
      </c>
      <c r="I732" t="str">
        <f t="shared" si="35"/>
        <v>OK</v>
      </c>
    </row>
    <row r="733" spans="1:9" hidden="1" x14ac:dyDescent="0.3">
      <c r="A733" s="2">
        <v>45751</v>
      </c>
      <c r="B733" t="str">
        <f t="shared" si="33"/>
        <v xml:space="preserve">april </v>
      </c>
      <c r="C733">
        <v>-37.119999999999997</v>
      </c>
      <c r="D733" t="s">
        <v>13</v>
      </c>
      <c r="F733" t="str">
        <f>VLOOKUP(Tabel1[[#This Row],[categorie]],Lijst!A:C,3,FALSE)</f>
        <v>Uitgave</v>
      </c>
      <c r="G733">
        <f t="shared" si="34"/>
        <v>-37.119999999999997</v>
      </c>
      <c r="H733" t="str">
        <f>VLOOKUP(Tabel1[[#This Row],[categorie]],Lijst!A:B,2,FALSE)</f>
        <v>Vast</v>
      </c>
      <c r="I733" t="str">
        <f t="shared" si="35"/>
        <v>OK</v>
      </c>
    </row>
    <row r="734" spans="1:9" hidden="1" x14ac:dyDescent="0.3">
      <c r="A734" s="2">
        <v>45752</v>
      </c>
      <c r="B734" t="str">
        <f t="shared" si="33"/>
        <v xml:space="preserve">april </v>
      </c>
      <c r="C734">
        <v>-9.99</v>
      </c>
      <c r="D734" t="s">
        <v>19</v>
      </c>
      <c r="F734" t="s">
        <v>18</v>
      </c>
      <c r="G734">
        <f t="shared" si="34"/>
        <v>-9.99</v>
      </c>
      <c r="H734" t="str">
        <f>VLOOKUP(Tabel1[[#This Row],[categorie]],Lijst!A:B,2,FALSE)</f>
        <v>Vast</v>
      </c>
      <c r="I734" t="str">
        <f t="shared" si="35"/>
        <v>OK</v>
      </c>
    </row>
    <row r="735" spans="1:9" hidden="1" x14ac:dyDescent="0.3">
      <c r="A735" s="2">
        <v>45752</v>
      </c>
      <c r="B735" t="str">
        <f t="shared" si="33"/>
        <v xml:space="preserve">april </v>
      </c>
      <c r="C735">
        <v>-5</v>
      </c>
      <c r="D735" t="s">
        <v>22</v>
      </c>
      <c r="F735" t="str">
        <f>VLOOKUP(Tabel1[[#This Row],[categorie]],Lijst!A:C,3,FALSE)</f>
        <v>Uitgave</v>
      </c>
      <c r="G735">
        <f t="shared" si="34"/>
        <v>-5</v>
      </c>
      <c r="H735" t="str">
        <f>VLOOKUP(Tabel1[[#This Row],[categorie]],Lijst!A:B,2,FALSE)</f>
        <v>Variabel</v>
      </c>
      <c r="I735" t="str">
        <f t="shared" si="35"/>
        <v>OK</v>
      </c>
    </row>
    <row r="736" spans="1:9" hidden="1" x14ac:dyDescent="0.3">
      <c r="A736" s="2">
        <v>45752</v>
      </c>
      <c r="B736" t="str">
        <f t="shared" si="33"/>
        <v xml:space="preserve">april </v>
      </c>
      <c r="C736">
        <v>-1.2</v>
      </c>
      <c r="D736" t="s">
        <v>75</v>
      </c>
      <c r="F736" t="s">
        <v>18</v>
      </c>
      <c r="G736">
        <f t="shared" si="34"/>
        <v>-1.2</v>
      </c>
      <c r="H736" t="str">
        <f>VLOOKUP(Tabel1[[#This Row],[categorie]],Lijst!A:B,2,FALSE)</f>
        <v>Variabel</v>
      </c>
      <c r="I736" t="str">
        <f t="shared" si="35"/>
        <v>OK</v>
      </c>
    </row>
    <row r="737" spans="1:9" hidden="1" x14ac:dyDescent="0.3">
      <c r="A737" s="2">
        <v>45752</v>
      </c>
      <c r="B737" t="str">
        <f t="shared" si="33"/>
        <v xml:space="preserve">april </v>
      </c>
      <c r="C737">
        <v>-17</v>
      </c>
      <c r="D737" t="s">
        <v>54</v>
      </c>
      <c r="F737" t="str">
        <f>VLOOKUP(Tabel1[[#This Row],[categorie]],Lijst!A:C,3,FALSE)</f>
        <v>Uitgave</v>
      </c>
      <c r="G737">
        <f t="shared" si="34"/>
        <v>-17</v>
      </c>
      <c r="H737" t="str">
        <f>VLOOKUP(Tabel1[[#This Row],[categorie]],Lijst!A:B,2,FALSE)</f>
        <v>Variabel</v>
      </c>
      <c r="I737" t="str">
        <f t="shared" si="35"/>
        <v>OK</v>
      </c>
    </row>
    <row r="738" spans="1:9" hidden="1" x14ac:dyDescent="0.3">
      <c r="A738" s="2">
        <v>45752</v>
      </c>
      <c r="B738" t="str">
        <f t="shared" si="33"/>
        <v xml:space="preserve">april </v>
      </c>
      <c r="C738">
        <v>60</v>
      </c>
      <c r="D738" t="s">
        <v>9</v>
      </c>
      <c r="F738" t="s">
        <v>65</v>
      </c>
      <c r="G738">
        <f t="shared" si="34"/>
        <v>60</v>
      </c>
      <c r="H738" t="str">
        <f>VLOOKUP(Tabel1[[#This Row],[categorie]],Lijst!A:B,2,FALSE)</f>
        <v>Variabel</v>
      </c>
      <c r="I738" t="str">
        <f t="shared" si="35"/>
        <v>OK</v>
      </c>
    </row>
    <row r="739" spans="1:9" hidden="1" x14ac:dyDescent="0.3">
      <c r="A739" s="2">
        <v>45752</v>
      </c>
      <c r="B739" t="str">
        <f t="shared" ref="B739:B802" si="36">TEXT(A739,"mmmm ")</f>
        <v xml:space="preserve">april </v>
      </c>
      <c r="C739">
        <v>120</v>
      </c>
      <c r="D739" t="s">
        <v>9</v>
      </c>
      <c r="F739" t="s">
        <v>65</v>
      </c>
      <c r="G739">
        <f t="shared" ref="G739:G802" si="37">IF(F739="Uitgave", -ABS(C739), ABS(C739))</f>
        <v>120</v>
      </c>
      <c r="H739" t="str">
        <f>VLOOKUP(Tabel1[[#This Row],[categorie]],Lijst!A:B,2,FALSE)</f>
        <v>Variabel</v>
      </c>
      <c r="I739" t="str">
        <f t="shared" ref="I739:I802" si="38">IF(OR(AND(F739="Uitgave", C739&lt;0), AND(F739="Inkomst", C739&gt;0)), "OK", "FOUT")</f>
        <v>OK</v>
      </c>
    </row>
    <row r="740" spans="1:9" hidden="1" x14ac:dyDescent="0.3">
      <c r="A740" s="2">
        <v>45754</v>
      </c>
      <c r="B740" t="str">
        <f t="shared" si="36"/>
        <v xml:space="preserve">april </v>
      </c>
      <c r="C740">
        <v>-300.89999999999998</v>
      </c>
      <c r="D740" t="s">
        <v>9</v>
      </c>
      <c r="E740" t="s">
        <v>80</v>
      </c>
      <c r="F740" t="s">
        <v>18</v>
      </c>
      <c r="G740">
        <f t="shared" si="37"/>
        <v>-300.89999999999998</v>
      </c>
      <c r="H740" t="str">
        <f>VLOOKUP(Tabel1[[#This Row],[categorie]],Lijst!A:B,2,FALSE)</f>
        <v>Variabel</v>
      </c>
      <c r="I740" t="str">
        <f t="shared" si="38"/>
        <v>OK</v>
      </c>
    </row>
    <row r="741" spans="1:9" hidden="1" x14ac:dyDescent="0.3">
      <c r="A741" s="2">
        <v>45754</v>
      </c>
      <c r="B741" t="str">
        <f t="shared" si="36"/>
        <v xml:space="preserve">april </v>
      </c>
      <c r="C741">
        <v>-36</v>
      </c>
      <c r="D741" t="s">
        <v>9</v>
      </c>
      <c r="F741" t="s">
        <v>18</v>
      </c>
      <c r="G741">
        <f t="shared" si="37"/>
        <v>-36</v>
      </c>
      <c r="H741" t="str">
        <f>VLOOKUP(Tabel1[[#This Row],[categorie]],Lijst!A:B,2,FALSE)</f>
        <v>Variabel</v>
      </c>
      <c r="I741" t="str">
        <f t="shared" si="38"/>
        <v>OK</v>
      </c>
    </row>
    <row r="742" spans="1:9" hidden="1" x14ac:dyDescent="0.3">
      <c r="A742" s="2">
        <v>45754</v>
      </c>
      <c r="B742" t="str">
        <f t="shared" si="36"/>
        <v xml:space="preserve">april </v>
      </c>
      <c r="C742">
        <v>-7.18</v>
      </c>
      <c r="D742" t="s">
        <v>82</v>
      </c>
      <c r="F742" t="s">
        <v>18</v>
      </c>
      <c r="G742">
        <f t="shared" si="37"/>
        <v>-7.18</v>
      </c>
      <c r="H742" t="str">
        <f>VLOOKUP(Tabel1[[#This Row],[categorie]],Lijst!A:B,2,FALSE)</f>
        <v>Vast</v>
      </c>
      <c r="I742" t="str">
        <f t="shared" si="38"/>
        <v>OK</v>
      </c>
    </row>
    <row r="743" spans="1:9" hidden="1" x14ac:dyDescent="0.3">
      <c r="A743" s="2">
        <v>45754</v>
      </c>
      <c r="B743" t="str">
        <f t="shared" si="36"/>
        <v xml:space="preserve">april </v>
      </c>
      <c r="C743">
        <v>-22.94</v>
      </c>
      <c r="D743" t="s">
        <v>14</v>
      </c>
      <c r="F743" t="str">
        <f>VLOOKUP(Tabel1[[#This Row],[categorie]],Lijst!A:C,3,FALSE)</f>
        <v>Uitgave</v>
      </c>
      <c r="G743">
        <f t="shared" si="37"/>
        <v>-22.94</v>
      </c>
      <c r="H743" t="str">
        <f>VLOOKUP(Tabel1[[#This Row],[categorie]],Lijst!A:B,2,FALSE)</f>
        <v>Variabel</v>
      </c>
      <c r="I743" t="str">
        <f t="shared" si="38"/>
        <v>OK</v>
      </c>
    </row>
    <row r="744" spans="1:9" hidden="1" x14ac:dyDescent="0.3">
      <c r="A744" s="2">
        <v>45754</v>
      </c>
      <c r="B744" t="str">
        <f t="shared" si="36"/>
        <v xml:space="preserve">april </v>
      </c>
      <c r="C744">
        <v>-3.8</v>
      </c>
      <c r="D744" t="s">
        <v>22</v>
      </c>
      <c r="F744" t="str">
        <f>VLOOKUP(Tabel1[[#This Row],[categorie]],Lijst!A:C,3,FALSE)</f>
        <v>Uitgave</v>
      </c>
      <c r="G744">
        <f t="shared" si="37"/>
        <v>-3.8</v>
      </c>
      <c r="H744" t="str">
        <f>VLOOKUP(Tabel1[[#This Row],[categorie]],Lijst!A:B,2,FALSE)</f>
        <v>Variabel</v>
      </c>
      <c r="I744" t="str">
        <f t="shared" si="38"/>
        <v>OK</v>
      </c>
    </row>
    <row r="745" spans="1:9" hidden="1" x14ac:dyDescent="0.3">
      <c r="A745" s="2">
        <v>45754</v>
      </c>
      <c r="B745" t="str">
        <f t="shared" si="36"/>
        <v xml:space="preserve">april </v>
      </c>
      <c r="C745">
        <v>-16.66</v>
      </c>
      <c r="D745" t="s">
        <v>3</v>
      </c>
      <c r="F745" t="s">
        <v>18</v>
      </c>
      <c r="G745">
        <f t="shared" si="37"/>
        <v>-16.66</v>
      </c>
      <c r="H745" t="str">
        <f>VLOOKUP(Tabel1[[#This Row],[categorie]],Lijst!A:B,2,FALSE)</f>
        <v>Vast</v>
      </c>
      <c r="I745" t="str">
        <f t="shared" si="38"/>
        <v>OK</v>
      </c>
    </row>
    <row r="746" spans="1:9" hidden="1" x14ac:dyDescent="0.3">
      <c r="A746" s="2">
        <v>45754</v>
      </c>
      <c r="B746" t="str">
        <f t="shared" si="36"/>
        <v xml:space="preserve">april </v>
      </c>
      <c r="C746">
        <v>-86.39</v>
      </c>
      <c r="D746" t="s">
        <v>32</v>
      </c>
      <c r="F746" t="str">
        <f>VLOOKUP(Tabel1[[#This Row],[categorie]],Lijst!A:C,3,FALSE)</f>
        <v>Uitgave</v>
      </c>
      <c r="G746">
        <f t="shared" si="37"/>
        <v>-86.39</v>
      </c>
      <c r="H746" t="str">
        <f>VLOOKUP(Tabel1[[#This Row],[categorie]],Lijst!A:B,2,FALSE)</f>
        <v>Variabel</v>
      </c>
      <c r="I746" t="str">
        <f t="shared" si="38"/>
        <v>OK</v>
      </c>
    </row>
    <row r="747" spans="1:9" hidden="1" x14ac:dyDescent="0.3">
      <c r="A747" s="2">
        <v>45754</v>
      </c>
      <c r="B747" t="str">
        <f t="shared" si="36"/>
        <v xml:space="preserve">april </v>
      </c>
      <c r="C747">
        <v>-21</v>
      </c>
      <c r="D747" t="s">
        <v>3</v>
      </c>
      <c r="F747" t="str">
        <f>VLOOKUP(Tabel1[[#This Row],[categorie]],Lijst!A:C,3,FALSE)</f>
        <v>Uitgave</v>
      </c>
      <c r="G747">
        <f t="shared" si="37"/>
        <v>-21</v>
      </c>
      <c r="H747" t="str">
        <f>VLOOKUP(Tabel1[[#This Row],[categorie]],Lijst!A:B,2,FALSE)</f>
        <v>Vast</v>
      </c>
      <c r="I747" t="str">
        <f t="shared" si="38"/>
        <v>OK</v>
      </c>
    </row>
    <row r="748" spans="1:9" hidden="1" x14ac:dyDescent="0.3">
      <c r="A748" s="2">
        <v>45754</v>
      </c>
      <c r="B748" t="str">
        <f t="shared" si="36"/>
        <v xml:space="preserve">april </v>
      </c>
      <c r="C748">
        <v>-29.46</v>
      </c>
      <c r="D748" t="s">
        <v>3</v>
      </c>
      <c r="F748" t="s">
        <v>18</v>
      </c>
      <c r="G748">
        <f t="shared" si="37"/>
        <v>-29.46</v>
      </c>
      <c r="H748" t="str">
        <f>VLOOKUP(Tabel1[[#This Row],[categorie]],Lijst!A:B,2,FALSE)</f>
        <v>Vast</v>
      </c>
      <c r="I748" t="str">
        <f t="shared" si="38"/>
        <v>OK</v>
      </c>
    </row>
    <row r="749" spans="1:9" hidden="1" x14ac:dyDescent="0.3">
      <c r="A749" s="2">
        <v>45754</v>
      </c>
      <c r="B749" t="str">
        <f t="shared" si="36"/>
        <v xml:space="preserve">april </v>
      </c>
      <c r="C749">
        <v>-1.5</v>
      </c>
      <c r="D749" t="s">
        <v>26</v>
      </c>
      <c r="F749" t="str">
        <f>VLOOKUP(Tabel1[[#This Row],[categorie]],Lijst!A:C,3,FALSE)</f>
        <v>Uitgave</v>
      </c>
      <c r="G749">
        <f t="shared" si="37"/>
        <v>-1.5</v>
      </c>
      <c r="H749" t="str">
        <f>VLOOKUP(Tabel1[[#This Row],[categorie]],Lijst!A:B,2,FALSE)</f>
        <v>Variabel</v>
      </c>
      <c r="I749" t="str">
        <f t="shared" si="38"/>
        <v>OK</v>
      </c>
    </row>
    <row r="750" spans="1:9" hidden="1" x14ac:dyDescent="0.3">
      <c r="A750" s="2">
        <v>45754</v>
      </c>
      <c r="B750" t="str">
        <f t="shared" si="36"/>
        <v xml:space="preserve">april </v>
      </c>
      <c r="C750">
        <v>-1.5</v>
      </c>
      <c r="D750" t="s">
        <v>26</v>
      </c>
      <c r="F750" t="str">
        <f>VLOOKUP(Tabel1[[#This Row],[categorie]],Lijst!A:C,3,FALSE)</f>
        <v>Uitgave</v>
      </c>
      <c r="G750">
        <f t="shared" si="37"/>
        <v>-1.5</v>
      </c>
      <c r="H750" t="str">
        <f>VLOOKUP(Tabel1[[#This Row],[categorie]],Lijst!A:B,2,FALSE)</f>
        <v>Variabel</v>
      </c>
      <c r="I750" t="str">
        <f t="shared" si="38"/>
        <v>OK</v>
      </c>
    </row>
    <row r="751" spans="1:9" hidden="1" x14ac:dyDescent="0.3">
      <c r="A751" s="2">
        <v>45754</v>
      </c>
      <c r="B751" t="str">
        <f t="shared" si="36"/>
        <v xml:space="preserve">april </v>
      </c>
      <c r="C751">
        <v>-810.65</v>
      </c>
      <c r="D751" t="s">
        <v>10</v>
      </c>
      <c r="F751" t="str">
        <f>VLOOKUP(Tabel1[[#This Row],[categorie]],Lijst!A:C,3,FALSE)</f>
        <v>Uitgave</v>
      </c>
      <c r="G751">
        <f t="shared" si="37"/>
        <v>-810.65</v>
      </c>
      <c r="H751" t="str">
        <f>VLOOKUP(Tabel1[[#This Row],[categorie]],Lijst!A:B,2,FALSE)</f>
        <v>Vast</v>
      </c>
      <c r="I751" t="str">
        <f t="shared" si="38"/>
        <v>OK</v>
      </c>
    </row>
    <row r="752" spans="1:9" hidden="1" x14ac:dyDescent="0.3">
      <c r="A752" s="2">
        <v>45754</v>
      </c>
      <c r="B752" t="str">
        <f t="shared" si="36"/>
        <v xml:space="preserve">april </v>
      </c>
      <c r="C752">
        <v>-12.01</v>
      </c>
      <c r="D752" t="s">
        <v>46</v>
      </c>
      <c r="F752" t="str">
        <f>VLOOKUP(Tabel1[[#This Row],[categorie]],Lijst!A:C,3,FALSE)</f>
        <v>Uitgave</v>
      </c>
      <c r="G752">
        <f t="shared" si="37"/>
        <v>-12.01</v>
      </c>
      <c r="H752" t="str">
        <f>VLOOKUP(Tabel1[[#This Row],[categorie]],Lijst!A:B,2,FALSE)</f>
        <v>Vast</v>
      </c>
      <c r="I752" t="str">
        <f t="shared" si="38"/>
        <v>OK</v>
      </c>
    </row>
    <row r="753" spans="1:9" hidden="1" x14ac:dyDescent="0.3">
      <c r="A753" s="2">
        <v>45754</v>
      </c>
      <c r="B753" t="str">
        <f t="shared" si="36"/>
        <v xml:space="preserve">april </v>
      </c>
      <c r="C753">
        <v>-3.97</v>
      </c>
      <c r="D753" t="s">
        <v>13</v>
      </c>
      <c r="F753" t="str">
        <f>VLOOKUP(Tabel1[[#This Row],[categorie]],Lijst!A:C,3,FALSE)</f>
        <v>Uitgave</v>
      </c>
      <c r="G753">
        <f t="shared" si="37"/>
        <v>-3.97</v>
      </c>
      <c r="H753" t="str">
        <f>VLOOKUP(Tabel1[[#This Row],[categorie]],Lijst!A:B,2,FALSE)</f>
        <v>Vast</v>
      </c>
      <c r="I753" t="str">
        <f t="shared" si="38"/>
        <v>OK</v>
      </c>
    </row>
    <row r="754" spans="1:9" hidden="1" x14ac:dyDescent="0.3">
      <c r="A754" s="2">
        <v>45754</v>
      </c>
      <c r="B754" t="str">
        <f t="shared" si="36"/>
        <v xml:space="preserve">april </v>
      </c>
      <c r="C754">
        <v>-9.6999999999999993</v>
      </c>
      <c r="D754" t="s">
        <v>9</v>
      </c>
      <c r="F754" t="s">
        <v>18</v>
      </c>
      <c r="G754">
        <f t="shared" si="37"/>
        <v>-9.6999999999999993</v>
      </c>
      <c r="H754" t="str">
        <f>VLOOKUP(Tabel1[[#This Row],[categorie]],Lijst!A:B,2,FALSE)</f>
        <v>Variabel</v>
      </c>
      <c r="I754" t="str">
        <f t="shared" si="38"/>
        <v>OK</v>
      </c>
    </row>
    <row r="755" spans="1:9" hidden="1" x14ac:dyDescent="0.3">
      <c r="A755" s="2">
        <v>45754</v>
      </c>
      <c r="B755" t="str">
        <f t="shared" si="36"/>
        <v xml:space="preserve">april </v>
      </c>
      <c r="C755">
        <v>-20.45</v>
      </c>
      <c r="D755" t="s">
        <v>75</v>
      </c>
      <c r="F755" t="s">
        <v>18</v>
      </c>
      <c r="G755">
        <f t="shared" si="37"/>
        <v>-20.45</v>
      </c>
      <c r="H755" t="str">
        <f>VLOOKUP(Tabel1[[#This Row],[categorie]],Lijst!A:B,2,FALSE)</f>
        <v>Variabel</v>
      </c>
      <c r="I755" t="str">
        <f t="shared" si="38"/>
        <v>OK</v>
      </c>
    </row>
    <row r="756" spans="1:9" hidden="1" x14ac:dyDescent="0.3">
      <c r="A756" s="2">
        <v>45755</v>
      </c>
      <c r="B756" t="str">
        <f t="shared" si="36"/>
        <v xml:space="preserve">april </v>
      </c>
      <c r="C756">
        <v>-50</v>
      </c>
      <c r="D756" t="s">
        <v>75</v>
      </c>
      <c r="F756" t="s">
        <v>18</v>
      </c>
      <c r="G756">
        <f t="shared" si="37"/>
        <v>-50</v>
      </c>
      <c r="H756" t="str">
        <f>VLOOKUP(Tabel1[[#This Row],[categorie]],Lijst!A:B,2,FALSE)</f>
        <v>Variabel</v>
      </c>
      <c r="I756" t="str">
        <f t="shared" si="38"/>
        <v>OK</v>
      </c>
    </row>
    <row r="757" spans="1:9" hidden="1" x14ac:dyDescent="0.3">
      <c r="A757" s="2">
        <v>45755</v>
      </c>
      <c r="B757" t="str">
        <f t="shared" si="36"/>
        <v xml:space="preserve">april </v>
      </c>
      <c r="C757">
        <v>-26.99</v>
      </c>
      <c r="D757" t="s">
        <v>14</v>
      </c>
      <c r="F757" t="str">
        <f>VLOOKUP(Tabel1[[#This Row],[categorie]],Lijst!A:C,3,FALSE)</f>
        <v>Uitgave</v>
      </c>
      <c r="G757">
        <f t="shared" si="37"/>
        <v>-26.99</v>
      </c>
      <c r="H757" t="str">
        <f>VLOOKUP(Tabel1[[#This Row],[categorie]],Lijst!A:B,2,FALSE)</f>
        <v>Variabel</v>
      </c>
      <c r="I757" t="str">
        <f t="shared" si="38"/>
        <v>OK</v>
      </c>
    </row>
    <row r="758" spans="1:9" hidden="1" x14ac:dyDescent="0.3">
      <c r="A758" s="2">
        <v>45755</v>
      </c>
      <c r="B758" t="str">
        <f t="shared" si="36"/>
        <v xml:space="preserve">april </v>
      </c>
      <c r="C758">
        <v>-0.5</v>
      </c>
      <c r="D758" t="s">
        <v>26</v>
      </c>
      <c r="F758" t="str">
        <f>VLOOKUP(Tabel1[[#This Row],[categorie]],Lijst!A:C,3,FALSE)</f>
        <v>Uitgave</v>
      </c>
      <c r="G758">
        <f t="shared" si="37"/>
        <v>-0.5</v>
      </c>
      <c r="H758" t="str">
        <f>VLOOKUP(Tabel1[[#This Row],[categorie]],Lijst!A:B,2,FALSE)</f>
        <v>Variabel</v>
      </c>
      <c r="I758" t="str">
        <f t="shared" si="38"/>
        <v>OK</v>
      </c>
    </row>
    <row r="759" spans="1:9" hidden="1" x14ac:dyDescent="0.3">
      <c r="A759" s="2">
        <v>45755</v>
      </c>
      <c r="B759" t="str">
        <f t="shared" si="36"/>
        <v xml:space="preserve">april </v>
      </c>
      <c r="C759">
        <v>-0.5</v>
      </c>
      <c r="D759" t="s">
        <v>26</v>
      </c>
      <c r="F759" t="str">
        <f>VLOOKUP(Tabel1[[#This Row],[categorie]],Lijst!A:C,3,FALSE)</f>
        <v>Uitgave</v>
      </c>
      <c r="G759">
        <f t="shared" si="37"/>
        <v>-0.5</v>
      </c>
      <c r="H759" t="str">
        <f>VLOOKUP(Tabel1[[#This Row],[categorie]],Lijst!A:B,2,FALSE)</f>
        <v>Variabel</v>
      </c>
      <c r="I759" t="str">
        <f t="shared" si="38"/>
        <v>OK</v>
      </c>
    </row>
    <row r="760" spans="1:9" hidden="1" x14ac:dyDescent="0.3">
      <c r="A760" s="2">
        <v>45755</v>
      </c>
      <c r="B760" t="str">
        <f t="shared" si="36"/>
        <v xml:space="preserve">april </v>
      </c>
      <c r="C760">
        <v>-0.5</v>
      </c>
      <c r="D760" t="s">
        <v>26</v>
      </c>
      <c r="F760" t="str">
        <f>VLOOKUP(Tabel1[[#This Row],[categorie]],Lijst!A:C,3,FALSE)</f>
        <v>Uitgave</v>
      </c>
      <c r="G760">
        <f t="shared" si="37"/>
        <v>-0.5</v>
      </c>
      <c r="H760" t="str">
        <f>VLOOKUP(Tabel1[[#This Row],[categorie]],Lijst!A:B,2,FALSE)</f>
        <v>Variabel</v>
      </c>
      <c r="I760" t="str">
        <f t="shared" si="38"/>
        <v>OK</v>
      </c>
    </row>
    <row r="761" spans="1:9" hidden="1" x14ac:dyDescent="0.3">
      <c r="A761" s="2">
        <v>45755</v>
      </c>
      <c r="B761" t="str">
        <f t="shared" si="36"/>
        <v xml:space="preserve">april </v>
      </c>
      <c r="C761">
        <v>-10.3</v>
      </c>
      <c r="D761" t="s">
        <v>75</v>
      </c>
      <c r="F761" t="s">
        <v>18</v>
      </c>
      <c r="G761">
        <f t="shared" si="37"/>
        <v>-10.3</v>
      </c>
      <c r="H761" t="str">
        <f>VLOOKUP(Tabel1[[#This Row],[categorie]],Lijst!A:B,2,FALSE)</f>
        <v>Variabel</v>
      </c>
      <c r="I761" t="str">
        <f t="shared" si="38"/>
        <v>OK</v>
      </c>
    </row>
    <row r="762" spans="1:9" hidden="1" x14ac:dyDescent="0.3">
      <c r="A762" s="2">
        <v>45755</v>
      </c>
      <c r="B762" t="str">
        <f t="shared" si="36"/>
        <v xml:space="preserve">april </v>
      </c>
      <c r="C762">
        <v>0.01</v>
      </c>
      <c r="D762" t="s">
        <v>75</v>
      </c>
      <c r="F762" t="s">
        <v>65</v>
      </c>
      <c r="G762">
        <f t="shared" si="37"/>
        <v>0.01</v>
      </c>
      <c r="H762" t="str">
        <f>VLOOKUP(Tabel1[[#This Row],[categorie]],Lijst!A:B,2,FALSE)</f>
        <v>Variabel</v>
      </c>
      <c r="I762" t="str">
        <f t="shared" si="38"/>
        <v>OK</v>
      </c>
    </row>
    <row r="763" spans="1:9" hidden="1" x14ac:dyDescent="0.3">
      <c r="A763" s="2">
        <v>45755</v>
      </c>
      <c r="B763" t="str">
        <f t="shared" si="36"/>
        <v xml:space="preserve">april </v>
      </c>
      <c r="C763">
        <v>-3.15</v>
      </c>
      <c r="D763" t="s">
        <v>3</v>
      </c>
      <c r="F763" t="str">
        <f>VLOOKUP(Tabel1[[#This Row],[categorie]],Lijst!A:C,3,FALSE)</f>
        <v>Uitgave</v>
      </c>
      <c r="G763">
        <f t="shared" si="37"/>
        <v>-3.15</v>
      </c>
      <c r="H763" t="str">
        <f>VLOOKUP(Tabel1[[#This Row],[categorie]],Lijst!A:B,2,FALSE)</f>
        <v>Vast</v>
      </c>
      <c r="I763" t="str">
        <f t="shared" si="38"/>
        <v>OK</v>
      </c>
    </row>
    <row r="764" spans="1:9" hidden="1" x14ac:dyDescent="0.3">
      <c r="A764" s="2">
        <v>45755</v>
      </c>
      <c r="B764" t="str">
        <f t="shared" si="36"/>
        <v xml:space="preserve">april </v>
      </c>
      <c r="C764">
        <v>-8.0299999999999994</v>
      </c>
      <c r="D764" t="s">
        <v>3</v>
      </c>
      <c r="F764" t="s">
        <v>18</v>
      </c>
      <c r="G764">
        <f t="shared" si="37"/>
        <v>-8.0299999999999994</v>
      </c>
      <c r="H764" t="str">
        <f>VLOOKUP(Tabel1[[#This Row],[categorie]],Lijst!A:B,2,FALSE)</f>
        <v>Vast</v>
      </c>
      <c r="I764" t="str">
        <f t="shared" si="38"/>
        <v>OK</v>
      </c>
    </row>
    <row r="765" spans="1:9" hidden="1" x14ac:dyDescent="0.3">
      <c r="A765" s="2">
        <v>45755</v>
      </c>
      <c r="B765" t="str">
        <f t="shared" si="36"/>
        <v xml:space="preserve">april </v>
      </c>
      <c r="C765">
        <v>-25.95</v>
      </c>
      <c r="D765" t="s">
        <v>82</v>
      </c>
      <c r="F765" t="s">
        <v>18</v>
      </c>
      <c r="G765">
        <f t="shared" si="37"/>
        <v>-25.95</v>
      </c>
      <c r="H765" t="str">
        <f>VLOOKUP(Tabel1[[#This Row],[categorie]],Lijst!A:B,2,FALSE)</f>
        <v>Vast</v>
      </c>
      <c r="I765" t="str">
        <f t="shared" si="38"/>
        <v>OK</v>
      </c>
    </row>
    <row r="766" spans="1:9" hidden="1" x14ac:dyDescent="0.3">
      <c r="A766" s="2">
        <v>45755</v>
      </c>
      <c r="B766" t="str">
        <f t="shared" si="36"/>
        <v xml:space="preserve">april </v>
      </c>
      <c r="C766">
        <v>-25.95</v>
      </c>
      <c r="D766" t="s">
        <v>82</v>
      </c>
      <c r="F766" t="s">
        <v>18</v>
      </c>
      <c r="G766">
        <f t="shared" si="37"/>
        <v>-25.95</v>
      </c>
      <c r="H766" t="str">
        <f>VLOOKUP(Tabel1[[#This Row],[categorie]],Lijst!A:B,2,FALSE)</f>
        <v>Vast</v>
      </c>
      <c r="I766" t="str">
        <f t="shared" si="38"/>
        <v>OK</v>
      </c>
    </row>
    <row r="767" spans="1:9" hidden="1" x14ac:dyDescent="0.3">
      <c r="A767" s="2">
        <v>45755</v>
      </c>
      <c r="B767" t="str">
        <f t="shared" si="36"/>
        <v xml:space="preserve">april </v>
      </c>
      <c r="C767">
        <v>-64</v>
      </c>
      <c r="D767" t="s">
        <v>82</v>
      </c>
      <c r="F767" t="s">
        <v>18</v>
      </c>
      <c r="G767">
        <f t="shared" si="37"/>
        <v>-64</v>
      </c>
      <c r="H767" t="str">
        <f>VLOOKUP(Tabel1[[#This Row],[categorie]],Lijst!A:B,2,FALSE)</f>
        <v>Vast</v>
      </c>
      <c r="I767" t="str">
        <f t="shared" si="38"/>
        <v>OK</v>
      </c>
    </row>
    <row r="768" spans="1:9" hidden="1" x14ac:dyDescent="0.3">
      <c r="A768" s="2">
        <v>45755</v>
      </c>
      <c r="B768" t="str">
        <f t="shared" si="36"/>
        <v xml:space="preserve">april </v>
      </c>
      <c r="C768">
        <v>-64</v>
      </c>
      <c r="D768" t="s">
        <v>82</v>
      </c>
      <c r="F768" t="s">
        <v>18</v>
      </c>
      <c r="G768">
        <f t="shared" si="37"/>
        <v>-64</v>
      </c>
      <c r="H768" t="str">
        <f>VLOOKUP(Tabel1[[#This Row],[categorie]],Lijst!A:B,2,FALSE)</f>
        <v>Vast</v>
      </c>
      <c r="I768" t="str">
        <f t="shared" si="38"/>
        <v>OK</v>
      </c>
    </row>
    <row r="769" spans="1:9" hidden="1" x14ac:dyDescent="0.3">
      <c r="A769" s="2">
        <v>45756</v>
      </c>
      <c r="B769" t="str">
        <f t="shared" si="36"/>
        <v xml:space="preserve">april </v>
      </c>
      <c r="C769">
        <v>-148.25</v>
      </c>
      <c r="D769" t="s">
        <v>35</v>
      </c>
      <c r="F769" t="s">
        <v>18</v>
      </c>
      <c r="G769">
        <f t="shared" si="37"/>
        <v>-148.25</v>
      </c>
      <c r="H769" t="str">
        <f>VLOOKUP(Tabel1[[#This Row],[categorie]],Lijst!A:B,2,FALSE)</f>
        <v>Variabel</v>
      </c>
      <c r="I769" t="str">
        <f t="shared" si="38"/>
        <v>OK</v>
      </c>
    </row>
    <row r="770" spans="1:9" hidden="1" x14ac:dyDescent="0.3">
      <c r="A770" s="2">
        <v>45756</v>
      </c>
      <c r="B770" t="str">
        <f t="shared" si="36"/>
        <v xml:space="preserve">april </v>
      </c>
      <c r="C770">
        <v>-54.4</v>
      </c>
      <c r="D770" t="s">
        <v>9</v>
      </c>
      <c r="F770" t="s">
        <v>18</v>
      </c>
      <c r="G770">
        <f t="shared" si="37"/>
        <v>-54.4</v>
      </c>
      <c r="H770" t="str">
        <f>VLOOKUP(Tabel1[[#This Row],[categorie]],Lijst!A:B,2,FALSE)</f>
        <v>Variabel</v>
      </c>
      <c r="I770" t="str">
        <f t="shared" si="38"/>
        <v>OK</v>
      </c>
    </row>
    <row r="771" spans="1:9" hidden="1" x14ac:dyDescent="0.3">
      <c r="A771" s="2">
        <v>45756</v>
      </c>
      <c r="B771" t="str">
        <f t="shared" si="36"/>
        <v xml:space="preserve">april </v>
      </c>
      <c r="C771">
        <v>-32.1</v>
      </c>
      <c r="D771" t="s">
        <v>9</v>
      </c>
      <c r="F771" t="s">
        <v>18</v>
      </c>
      <c r="G771">
        <f t="shared" si="37"/>
        <v>-32.1</v>
      </c>
      <c r="H771" t="str">
        <f>VLOOKUP(Tabel1[[#This Row],[categorie]],Lijst!A:B,2,FALSE)</f>
        <v>Variabel</v>
      </c>
      <c r="I771" t="str">
        <f t="shared" si="38"/>
        <v>OK</v>
      </c>
    </row>
    <row r="772" spans="1:9" hidden="1" x14ac:dyDescent="0.3">
      <c r="A772" s="2">
        <v>45756</v>
      </c>
      <c r="B772" t="str">
        <f t="shared" si="36"/>
        <v xml:space="preserve">april </v>
      </c>
      <c r="C772">
        <v>-9.83</v>
      </c>
      <c r="D772" t="s">
        <v>82</v>
      </c>
      <c r="F772" t="s">
        <v>18</v>
      </c>
      <c r="G772">
        <f t="shared" si="37"/>
        <v>-9.83</v>
      </c>
      <c r="H772" t="str">
        <f>VLOOKUP(Tabel1[[#This Row],[categorie]],Lijst!A:B,2,FALSE)</f>
        <v>Vast</v>
      </c>
      <c r="I772" t="str">
        <f t="shared" si="38"/>
        <v>OK</v>
      </c>
    </row>
    <row r="773" spans="1:9" hidden="1" x14ac:dyDescent="0.3">
      <c r="A773" s="2">
        <v>45756</v>
      </c>
      <c r="B773" t="str">
        <f t="shared" si="36"/>
        <v xml:space="preserve">april </v>
      </c>
      <c r="C773">
        <v>-1.5</v>
      </c>
      <c r="D773" t="s">
        <v>26</v>
      </c>
      <c r="F773" t="str">
        <f>VLOOKUP(Tabel1[[#This Row],[categorie]],Lijst!A:C,3,FALSE)</f>
        <v>Uitgave</v>
      </c>
      <c r="G773">
        <f t="shared" si="37"/>
        <v>-1.5</v>
      </c>
      <c r="H773" t="str">
        <f>VLOOKUP(Tabel1[[#This Row],[categorie]],Lijst!A:B,2,FALSE)</f>
        <v>Variabel</v>
      </c>
      <c r="I773" t="str">
        <f t="shared" si="38"/>
        <v>OK</v>
      </c>
    </row>
    <row r="774" spans="1:9" hidden="1" x14ac:dyDescent="0.3">
      <c r="A774" s="2">
        <v>45756</v>
      </c>
      <c r="B774" t="str">
        <f t="shared" si="36"/>
        <v xml:space="preserve">april </v>
      </c>
      <c r="C774">
        <v>-13.13</v>
      </c>
      <c r="D774" t="s">
        <v>3</v>
      </c>
      <c r="F774" t="s">
        <v>18</v>
      </c>
      <c r="G774">
        <f t="shared" si="37"/>
        <v>-13.13</v>
      </c>
      <c r="H774" t="str">
        <f>VLOOKUP(Tabel1[[#This Row],[categorie]],Lijst!A:B,2,FALSE)</f>
        <v>Vast</v>
      </c>
      <c r="I774" t="str">
        <f t="shared" si="38"/>
        <v>OK</v>
      </c>
    </row>
    <row r="775" spans="1:9" hidden="1" x14ac:dyDescent="0.3">
      <c r="A775" s="2">
        <v>45756</v>
      </c>
      <c r="B775" t="str">
        <f t="shared" si="36"/>
        <v xml:space="preserve">april </v>
      </c>
      <c r="C775">
        <v>-9.6300000000000008</v>
      </c>
      <c r="D775" t="s">
        <v>13</v>
      </c>
      <c r="F775" t="str">
        <f>VLOOKUP(Tabel1[[#This Row],[categorie]],Lijst!A:C,3,FALSE)</f>
        <v>Uitgave</v>
      </c>
      <c r="G775">
        <f t="shared" si="37"/>
        <v>-9.6300000000000008</v>
      </c>
      <c r="H775" t="str">
        <f>VLOOKUP(Tabel1[[#This Row],[categorie]],Lijst!A:B,2,FALSE)</f>
        <v>Vast</v>
      </c>
      <c r="I775" t="str">
        <f t="shared" si="38"/>
        <v>OK</v>
      </c>
    </row>
    <row r="776" spans="1:9" hidden="1" x14ac:dyDescent="0.3">
      <c r="A776" s="2">
        <v>45756</v>
      </c>
      <c r="B776" t="str">
        <f t="shared" si="36"/>
        <v xml:space="preserve">april </v>
      </c>
      <c r="C776">
        <v>-5</v>
      </c>
      <c r="D776" t="s">
        <v>13</v>
      </c>
      <c r="F776" t="str">
        <f>VLOOKUP(Tabel1[[#This Row],[categorie]],Lijst!A:C,3,FALSE)</f>
        <v>Uitgave</v>
      </c>
      <c r="G776">
        <f t="shared" si="37"/>
        <v>-5</v>
      </c>
      <c r="H776" t="str">
        <f>VLOOKUP(Tabel1[[#This Row],[categorie]],Lijst!A:B,2,FALSE)</f>
        <v>Vast</v>
      </c>
      <c r="I776" t="str">
        <f t="shared" si="38"/>
        <v>OK</v>
      </c>
    </row>
    <row r="777" spans="1:9" hidden="1" x14ac:dyDescent="0.3">
      <c r="A777" s="2">
        <v>45756</v>
      </c>
      <c r="B777" t="str">
        <f t="shared" si="36"/>
        <v xml:space="preserve">april </v>
      </c>
      <c r="C777">
        <v>-56.4</v>
      </c>
      <c r="D777" t="s">
        <v>14</v>
      </c>
      <c r="F777" t="str">
        <f>VLOOKUP(Tabel1[[#This Row],[categorie]],Lijst!A:C,3,FALSE)</f>
        <v>Uitgave</v>
      </c>
      <c r="G777">
        <f t="shared" si="37"/>
        <v>-56.4</v>
      </c>
      <c r="H777" t="str">
        <f>VLOOKUP(Tabel1[[#This Row],[categorie]],Lijst!A:B,2,FALSE)</f>
        <v>Variabel</v>
      </c>
      <c r="I777" t="str">
        <f t="shared" si="38"/>
        <v>OK</v>
      </c>
    </row>
    <row r="778" spans="1:9" hidden="1" x14ac:dyDescent="0.3">
      <c r="A778" s="2">
        <v>45756</v>
      </c>
      <c r="B778" t="str">
        <f t="shared" si="36"/>
        <v xml:space="preserve">april </v>
      </c>
      <c r="C778">
        <v>-4.5999999999999996</v>
      </c>
      <c r="D778" t="s">
        <v>3</v>
      </c>
      <c r="F778" t="str">
        <f>VLOOKUP(Tabel1[[#This Row],[categorie]],Lijst!A:C,3,FALSE)</f>
        <v>Uitgave</v>
      </c>
      <c r="G778">
        <f t="shared" si="37"/>
        <v>-4.5999999999999996</v>
      </c>
      <c r="H778" t="str">
        <f>VLOOKUP(Tabel1[[#This Row],[categorie]],Lijst!A:B,2,FALSE)</f>
        <v>Vast</v>
      </c>
      <c r="I778" t="str">
        <f t="shared" si="38"/>
        <v>OK</v>
      </c>
    </row>
    <row r="779" spans="1:9" hidden="1" x14ac:dyDescent="0.3">
      <c r="A779" s="2">
        <v>45757</v>
      </c>
      <c r="B779" t="str">
        <f t="shared" si="36"/>
        <v xml:space="preserve">april </v>
      </c>
      <c r="C779">
        <v>50</v>
      </c>
      <c r="D779" t="s">
        <v>75</v>
      </c>
      <c r="F779" t="s">
        <v>65</v>
      </c>
      <c r="G779">
        <f t="shared" si="37"/>
        <v>50</v>
      </c>
      <c r="H779" t="str">
        <f>VLOOKUP(Tabel1[[#This Row],[categorie]],Lijst!A:B,2,FALSE)</f>
        <v>Variabel</v>
      </c>
      <c r="I779" t="str">
        <f t="shared" si="38"/>
        <v>OK</v>
      </c>
    </row>
    <row r="780" spans="1:9" hidden="1" x14ac:dyDescent="0.3">
      <c r="A780" s="2">
        <v>45757</v>
      </c>
      <c r="B780" t="str">
        <f t="shared" si="36"/>
        <v xml:space="preserve">april </v>
      </c>
      <c r="C780">
        <v>-4.28</v>
      </c>
      <c r="D780" t="s">
        <v>13</v>
      </c>
      <c r="F780" t="str">
        <f>VLOOKUP(Tabel1[[#This Row],[categorie]],Lijst!A:C,3,FALSE)</f>
        <v>Uitgave</v>
      </c>
      <c r="G780">
        <f t="shared" si="37"/>
        <v>-4.28</v>
      </c>
      <c r="H780" t="str">
        <f>VLOOKUP(Tabel1[[#This Row],[categorie]],Lijst!A:B,2,FALSE)</f>
        <v>Vast</v>
      </c>
      <c r="I780" t="str">
        <f t="shared" si="38"/>
        <v>OK</v>
      </c>
    </row>
    <row r="781" spans="1:9" hidden="1" x14ac:dyDescent="0.3">
      <c r="A781" s="2">
        <v>45757</v>
      </c>
      <c r="B781" t="str">
        <f t="shared" si="36"/>
        <v xml:space="preserve">april </v>
      </c>
      <c r="C781">
        <v>-5</v>
      </c>
      <c r="D781" t="s">
        <v>13</v>
      </c>
      <c r="F781" t="str">
        <f>VLOOKUP(Tabel1[[#This Row],[categorie]],Lijst!A:C,3,FALSE)</f>
        <v>Uitgave</v>
      </c>
      <c r="G781">
        <f t="shared" si="37"/>
        <v>-5</v>
      </c>
      <c r="H781" t="str">
        <f>VLOOKUP(Tabel1[[#This Row],[categorie]],Lijst!A:B,2,FALSE)</f>
        <v>Vast</v>
      </c>
      <c r="I781" t="str">
        <f t="shared" si="38"/>
        <v>OK</v>
      </c>
    </row>
    <row r="782" spans="1:9" hidden="1" x14ac:dyDescent="0.3">
      <c r="A782" s="2">
        <v>45757</v>
      </c>
      <c r="B782" t="str">
        <f t="shared" si="36"/>
        <v xml:space="preserve">april </v>
      </c>
      <c r="C782">
        <v>-11.83</v>
      </c>
      <c r="D782" t="s">
        <v>3</v>
      </c>
      <c r="F782" t="str">
        <f>VLOOKUP(Tabel1[[#This Row],[categorie]],Lijst!A:C,3,FALSE)</f>
        <v>Uitgave</v>
      </c>
      <c r="G782">
        <f t="shared" si="37"/>
        <v>-11.83</v>
      </c>
      <c r="H782" t="str">
        <f>VLOOKUP(Tabel1[[#This Row],[categorie]],Lijst!A:B,2,FALSE)</f>
        <v>Vast</v>
      </c>
      <c r="I782" t="str">
        <f t="shared" si="38"/>
        <v>OK</v>
      </c>
    </row>
    <row r="783" spans="1:9" hidden="1" x14ac:dyDescent="0.3">
      <c r="A783" s="2">
        <v>45757</v>
      </c>
      <c r="B783" t="str">
        <f t="shared" si="36"/>
        <v xml:space="preserve">april </v>
      </c>
      <c r="C783">
        <v>-1.5</v>
      </c>
      <c r="D783" t="s">
        <v>26</v>
      </c>
      <c r="F783" t="str">
        <f>VLOOKUP(Tabel1[[#This Row],[categorie]],Lijst!A:C,3,FALSE)</f>
        <v>Uitgave</v>
      </c>
      <c r="G783">
        <f t="shared" si="37"/>
        <v>-1.5</v>
      </c>
      <c r="H783" t="str">
        <f>VLOOKUP(Tabel1[[#This Row],[categorie]],Lijst!A:B,2,FALSE)</f>
        <v>Variabel</v>
      </c>
      <c r="I783" t="str">
        <f t="shared" si="38"/>
        <v>OK</v>
      </c>
    </row>
    <row r="784" spans="1:9" hidden="1" x14ac:dyDescent="0.3">
      <c r="A784" s="2">
        <v>45757</v>
      </c>
      <c r="B784" t="str">
        <f t="shared" si="36"/>
        <v xml:space="preserve">april </v>
      </c>
      <c r="C784">
        <v>-1.5</v>
      </c>
      <c r="D784" t="s">
        <v>26</v>
      </c>
      <c r="F784" t="str">
        <f>VLOOKUP(Tabel1[[#This Row],[categorie]],Lijst!A:C,3,FALSE)</f>
        <v>Uitgave</v>
      </c>
      <c r="G784">
        <f t="shared" si="37"/>
        <v>-1.5</v>
      </c>
      <c r="H784" t="str">
        <f>VLOOKUP(Tabel1[[#This Row],[categorie]],Lijst!A:B,2,FALSE)</f>
        <v>Variabel</v>
      </c>
      <c r="I784" t="str">
        <f t="shared" si="38"/>
        <v>OK</v>
      </c>
    </row>
    <row r="785" spans="1:9" hidden="1" x14ac:dyDescent="0.3">
      <c r="A785" s="2">
        <v>45757</v>
      </c>
      <c r="B785" t="str">
        <f t="shared" si="36"/>
        <v xml:space="preserve">april </v>
      </c>
      <c r="C785">
        <v>-3.38</v>
      </c>
      <c r="D785" t="s">
        <v>3</v>
      </c>
      <c r="F785" t="s">
        <v>18</v>
      </c>
      <c r="G785">
        <f t="shared" si="37"/>
        <v>-3.38</v>
      </c>
      <c r="H785" t="str">
        <f>VLOOKUP(Tabel1[[#This Row],[categorie]],Lijst!A:B,2,FALSE)</f>
        <v>Vast</v>
      </c>
      <c r="I785" t="str">
        <f t="shared" si="38"/>
        <v>OK</v>
      </c>
    </row>
    <row r="786" spans="1:9" hidden="1" x14ac:dyDescent="0.3">
      <c r="A786" s="2">
        <v>45758</v>
      </c>
      <c r="B786" t="str">
        <f t="shared" si="36"/>
        <v xml:space="preserve">april </v>
      </c>
      <c r="C786">
        <v>-7.15</v>
      </c>
      <c r="D786" t="s">
        <v>82</v>
      </c>
      <c r="F786" t="s">
        <v>18</v>
      </c>
      <c r="G786">
        <f t="shared" si="37"/>
        <v>-7.15</v>
      </c>
      <c r="H786" t="str">
        <f>VLOOKUP(Tabel1[[#This Row],[categorie]],Lijst!A:B,2,FALSE)</f>
        <v>Vast</v>
      </c>
      <c r="I786" t="str">
        <f t="shared" si="38"/>
        <v>OK</v>
      </c>
    </row>
    <row r="787" spans="1:9" hidden="1" x14ac:dyDescent="0.3">
      <c r="A787" s="2">
        <v>45758</v>
      </c>
      <c r="B787" t="str">
        <f t="shared" si="36"/>
        <v xml:space="preserve">april </v>
      </c>
      <c r="C787">
        <v>-5</v>
      </c>
      <c r="D787" t="s">
        <v>3</v>
      </c>
      <c r="F787" t="str">
        <f>VLOOKUP(Tabel1[[#This Row],[categorie]],Lijst!A:C,3,FALSE)</f>
        <v>Uitgave</v>
      </c>
      <c r="G787">
        <f t="shared" si="37"/>
        <v>-5</v>
      </c>
      <c r="H787" t="str">
        <f>VLOOKUP(Tabel1[[#This Row],[categorie]],Lijst!A:B,2,FALSE)</f>
        <v>Vast</v>
      </c>
      <c r="I787" t="str">
        <f t="shared" si="38"/>
        <v>OK</v>
      </c>
    </row>
    <row r="788" spans="1:9" hidden="1" x14ac:dyDescent="0.3">
      <c r="A788" s="2">
        <v>45758</v>
      </c>
      <c r="B788" t="str">
        <f t="shared" si="36"/>
        <v xml:space="preserve">april </v>
      </c>
      <c r="C788">
        <v>-1.5</v>
      </c>
      <c r="D788" t="s">
        <v>26</v>
      </c>
      <c r="F788" t="str">
        <f>VLOOKUP(Tabel1[[#This Row],[categorie]],Lijst!A:C,3,FALSE)</f>
        <v>Uitgave</v>
      </c>
      <c r="G788">
        <f t="shared" si="37"/>
        <v>-1.5</v>
      </c>
      <c r="H788" t="str">
        <f>VLOOKUP(Tabel1[[#This Row],[categorie]],Lijst!A:B,2,FALSE)</f>
        <v>Variabel</v>
      </c>
      <c r="I788" t="str">
        <f t="shared" si="38"/>
        <v>OK</v>
      </c>
    </row>
    <row r="789" spans="1:9" hidden="1" x14ac:dyDescent="0.3">
      <c r="A789" s="2">
        <v>45758</v>
      </c>
      <c r="B789" t="str">
        <f t="shared" si="36"/>
        <v xml:space="preserve">april </v>
      </c>
      <c r="C789">
        <v>-27</v>
      </c>
      <c r="D789" t="s">
        <v>21</v>
      </c>
      <c r="F789" t="str">
        <f>VLOOKUP(Tabel1[[#This Row],[categorie]],Lijst!A:C,3,FALSE)</f>
        <v>Uitgave</v>
      </c>
      <c r="G789">
        <f t="shared" si="37"/>
        <v>-27</v>
      </c>
      <c r="H789" t="str">
        <f>VLOOKUP(Tabel1[[#This Row],[categorie]],Lijst!A:B,2,FALSE)</f>
        <v>Variabel</v>
      </c>
      <c r="I789" t="str">
        <f t="shared" si="38"/>
        <v>OK</v>
      </c>
    </row>
    <row r="790" spans="1:9" hidden="1" x14ac:dyDescent="0.3">
      <c r="A790" s="2">
        <v>45758</v>
      </c>
      <c r="B790" t="str">
        <f t="shared" si="36"/>
        <v xml:space="preserve">april </v>
      </c>
      <c r="C790">
        <v>-18.52</v>
      </c>
      <c r="D790" t="s">
        <v>3</v>
      </c>
      <c r="F790" t="s">
        <v>18</v>
      </c>
      <c r="G790">
        <f t="shared" si="37"/>
        <v>-18.52</v>
      </c>
      <c r="H790" t="str">
        <f>VLOOKUP(Tabel1[[#This Row],[categorie]],Lijst!A:B,2,FALSE)</f>
        <v>Vast</v>
      </c>
      <c r="I790" t="str">
        <f t="shared" si="38"/>
        <v>OK</v>
      </c>
    </row>
    <row r="791" spans="1:9" hidden="1" x14ac:dyDescent="0.3">
      <c r="A791" s="2">
        <v>45758</v>
      </c>
      <c r="B791" t="str">
        <f t="shared" si="36"/>
        <v xml:space="preserve">april </v>
      </c>
      <c r="C791">
        <v>-1.94</v>
      </c>
      <c r="D791" t="s">
        <v>3</v>
      </c>
      <c r="F791" t="s">
        <v>18</v>
      </c>
      <c r="G791">
        <f t="shared" si="37"/>
        <v>-1.94</v>
      </c>
      <c r="H791" t="str">
        <f>VLOOKUP(Tabel1[[#This Row],[categorie]],Lijst!A:B,2,FALSE)</f>
        <v>Vast</v>
      </c>
      <c r="I791" t="str">
        <f t="shared" si="38"/>
        <v>OK</v>
      </c>
    </row>
    <row r="792" spans="1:9" hidden="1" x14ac:dyDescent="0.3">
      <c r="A792" s="2">
        <v>45758</v>
      </c>
      <c r="B792" t="str">
        <f t="shared" si="36"/>
        <v xml:space="preserve">april </v>
      </c>
      <c r="C792">
        <v>-7.4</v>
      </c>
      <c r="D792" t="s">
        <v>9</v>
      </c>
      <c r="F792" t="s">
        <v>18</v>
      </c>
      <c r="G792">
        <f t="shared" si="37"/>
        <v>-7.4</v>
      </c>
      <c r="H792" t="str">
        <f>VLOOKUP(Tabel1[[#This Row],[categorie]],Lijst!A:B,2,FALSE)</f>
        <v>Variabel</v>
      </c>
      <c r="I792" t="str">
        <f t="shared" si="38"/>
        <v>OK</v>
      </c>
    </row>
    <row r="793" spans="1:9" hidden="1" x14ac:dyDescent="0.3">
      <c r="A793" s="2">
        <v>45759</v>
      </c>
      <c r="B793" t="str">
        <f t="shared" si="36"/>
        <v xml:space="preserve">april </v>
      </c>
      <c r="C793">
        <v>-25.3</v>
      </c>
      <c r="D793" t="s">
        <v>3</v>
      </c>
      <c r="F793" t="str">
        <f>VLOOKUP(Tabel1[[#This Row],[categorie]],Lijst!A:C,3,FALSE)</f>
        <v>Uitgave</v>
      </c>
      <c r="G793">
        <f t="shared" si="37"/>
        <v>-25.3</v>
      </c>
      <c r="H793" t="str">
        <f>VLOOKUP(Tabel1[[#This Row],[categorie]],Lijst!A:B,2,FALSE)</f>
        <v>Vast</v>
      </c>
      <c r="I793" t="str">
        <f t="shared" si="38"/>
        <v>OK</v>
      </c>
    </row>
    <row r="794" spans="1:9" hidden="1" x14ac:dyDescent="0.3">
      <c r="A794" s="2">
        <v>45759</v>
      </c>
      <c r="B794" t="str">
        <f t="shared" si="36"/>
        <v xml:space="preserve">april </v>
      </c>
      <c r="C794">
        <v>-2.5</v>
      </c>
      <c r="D794" t="s">
        <v>60</v>
      </c>
      <c r="F794" t="str">
        <f>VLOOKUP(Tabel1[[#This Row],[categorie]],Lijst!A:C,3,FALSE)</f>
        <v>Uitgave</v>
      </c>
      <c r="G794">
        <f t="shared" si="37"/>
        <v>-2.5</v>
      </c>
      <c r="H794" t="str">
        <f>VLOOKUP(Tabel1[[#This Row],[categorie]],Lijst!A:B,2,FALSE)</f>
        <v>Variabel</v>
      </c>
      <c r="I794" t="str">
        <f t="shared" si="38"/>
        <v>OK</v>
      </c>
    </row>
    <row r="795" spans="1:9" hidden="1" x14ac:dyDescent="0.3">
      <c r="A795" s="2">
        <v>45760</v>
      </c>
      <c r="B795" t="str">
        <f t="shared" si="36"/>
        <v xml:space="preserve">april </v>
      </c>
      <c r="C795">
        <v>-3.99</v>
      </c>
      <c r="D795" t="s">
        <v>21</v>
      </c>
      <c r="F795" t="str">
        <f>VLOOKUP(Tabel1[[#This Row],[categorie]],Lijst!A:C,3,FALSE)</f>
        <v>Uitgave</v>
      </c>
      <c r="G795">
        <f t="shared" si="37"/>
        <v>-3.99</v>
      </c>
      <c r="H795" t="str">
        <f>VLOOKUP(Tabel1[[#This Row],[categorie]],Lijst!A:B,2,FALSE)</f>
        <v>Variabel</v>
      </c>
      <c r="I795" t="str">
        <f t="shared" si="38"/>
        <v>OK</v>
      </c>
    </row>
    <row r="796" spans="1:9" hidden="1" x14ac:dyDescent="0.3">
      <c r="A796" s="2">
        <v>45760</v>
      </c>
      <c r="B796" t="str">
        <f t="shared" si="36"/>
        <v xml:space="preserve">april </v>
      </c>
      <c r="C796">
        <v>-9.99</v>
      </c>
      <c r="D796" t="s">
        <v>21</v>
      </c>
      <c r="F796" t="str">
        <f>VLOOKUP(Tabel1[[#This Row],[categorie]],Lijst!A:C,3,FALSE)</f>
        <v>Uitgave</v>
      </c>
      <c r="G796">
        <f t="shared" si="37"/>
        <v>-9.99</v>
      </c>
      <c r="H796" t="str">
        <f>VLOOKUP(Tabel1[[#This Row],[categorie]],Lijst!A:B,2,FALSE)</f>
        <v>Variabel</v>
      </c>
      <c r="I796" t="str">
        <f t="shared" si="38"/>
        <v>OK</v>
      </c>
    </row>
    <row r="797" spans="1:9" hidden="1" x14ac:dyDescent="0.3">
      <c r="A797" s="2">
        <v>45760</v>
      </c>
      <c r="B797" t="str">
        <f t="shared" si="36"/>
        <v xml:space="preserve">april </v>
      </c>
      <c r="C797">
        <v>-47</v>
      </c>
      <c r="D797" t="s">
        <v>21</v>
      </c>
      <c r="F797" t="str">
        <f>VLOOKUP(Tabel1[[#This Row],[categorie]],Lijst!A:C,3,FALSE)</f>
        <v>Uitgave</v>
      </c>
      <c r="G797">
        <f t="shared" si="37"/>
        <v>-47</v>
      </c>
      <c r="H797" t="str">
        <f>VLOOKUP(Tabel1[[#This Row],[categorie]],Lijst!A:B,2,FALSE)</f>
        <v>Variabel</v>
      </c>
      <c r="I797" t="str">
        <f t="shared" si="38"/>
        <v>OK</v>
      </c>
    </row>
    <row r="798" spans="1:9" hidden="1" x14ac:dyDescent="0.3">
      <c r="A798" s="2">
        <v>45761</v>
      </c>
      <c r="B798" t="str">
        <f t="shared" si="36"/>
        <v xml:space="preserve">april </v>
      </c>
      <c r="C798">
        <v>-113.7</v>
      </c>
      <c r="D798" t="s">
        <v>9</v>
      </c>
      <c r="F798" t="s">
        <v>18</v>
      </c>
      <c r="G798">
        <f t="shared" si="37"/>
        <v>-113.7</v>
      </c>
      <c r="H798" t="str">
        <f>VLOOKUP(Tabel1[[#This Row],[categorie]],Lijst!A:B,2,FALSE)</f>
        <v>Variabel</v>
      </c>
      <c r="I798" t="str">
        <f t="shared" si="38"/>
        <v>OK</v>
      </c>
    </row>
    <row r="799" spans="1:9" hidden="1" x14ac:dyDescent="0.3">
      <c r="A799" s="2">
        <v>45761</v>
      </c>
      <c r="B799" t="str">
        <f t="shared" si="36"/>
        <v xml:space="preserve">april </v>
      </c>
      <c r="C799">
        <v>-24.4</v>
      </c>
      <c r="D799" t="s">
        <v>9</v>
      </c>
      <c r="F799" t="s">
        <v>18</v>
      </c>
      <c r="G799">
        <f t="shared" si="37"/>
        <v>-24.4</v>
      </c>
      <c r="H799" t="str">
        <f>VLOOKUP(Tabel1[[#This Row],[categorie]],Lijst!A:B,2,FALSE)</f>
        <v>Variabel</v>
      </c>
      <c r="I799" t="str">
        <f t="shared" si="38"/>
        <v>OK</v>
      </c>
    </row>
    <row r="800" spans="1:9" hidden="1" x14ac:dyDescent="0.3">
      <c r="A800" s="2">
        <v>45761</v>
      </c>
      <c r="B800" t="str">
        <f t="shared" si="36"/>
        <v xml:space="preserve">april </v>
      </c>
      <c r="C800">
        <v>-41</v>
      </c>
      <c r="D800" t="s">
        <v>69</v>
      </c>
      <c r="F800" t="s">
        <v>18</v>
      </c>
      <c r="G800">
        <f t="shared" si="37"/>
        <v>-41</v>
      </c>
      <c r="H800" t="str">
        <f>VLOOKUP(Tabel1[[#This Row],[categorie]],Lijst!A:B,2,FALSE)</f>
        <v>Variabel</v>
      </c>
      <c r="I800" t="str">
        <f t="shared" si="38"/>
        <v>OK</v>
      </c>
    </row>
    <row r="801" spans="1:9" hidden="1" x14ac:dyDescent="0.3">
      <c r="A801" s="2">
        <v>45761</v>
      </c>
      <c r="B801" t="str">
        <f t="shared" si="36"/>
        <v xml:space="preserve">april </v>
      </c>
      <c r="C801">
        <v>-34</v>
      </c>
      <c r="D801" t="s">
        <v>21</v>
      </c>
      <c r="F801" t="str">
        <f>VLOOKUP(Tabel1[[#This Row],[categorie]],Lijst!A:C,3,FALSE)</f>
        <v>Uitgave</v>
      </c>
      <c r="G801">
        <f t="shared" si="37"/>
        <v>-34</v>
      </c>
      <c r="H801" t="str">
        <f>VLOOKUP(Tabel1[[#This Row],[categorie]],Lijst!A:B,2,FALSE)</f>
        <v>Variabel</v>
      </c>
      <c r="I801" t="str">
        <f t="shared" si="38"/>
        <v>OK</v>
      </c>
    </row>
    <row r="802" spans="1:9" hidden="1" x14ac:dyDescent="0.3">
      <c r="A802" s="2">
        <v>45761</v>
      </c>
      <c r="B802" t="str">
        <f t="shared" si="36"/>
        <v xml:space="preserve">april </v>
      </c>
      <c r="C802">
        <v>-6.9</v>
      </c>
      <c r="D802" t="s">
        <v>21</v>
      </c>
      <c r="F802" t="str">
        <f>VLOOKUP(Tabel1[[#This Row],[categorie]],Lijst!A:C,3,FALSE)</f>
        <v>Uitgave</v>
      </c>
      <c r="G802">
        <f t="shared" si="37"/>
        <v>-6.9</v>
      </c>
      <c r="H802" t="str">
        <f>VLOOKUP(Tabel1[[#This Row],[categorie]],Lijst!A:B,2,FALSE)</f>
        <v>Variabel</v>
      </c>
      <c r="I802" t="str">
        <f t="shared" si="38"/>
        <v>OK</v>
      </c>
    </row>
    <row r="803" spans="1:9" hidden="1" x14ac:dyDescent="0.3">
      <c r="A803" s="2">
        <v>45761</v>
      </c>
      <c r="B803" t="str">
        <f t="shared" ref="B803:B866" si="39">TEXT(A803,"mmmm ")</f>
        <v xml:space="preserve">april </v>
      </c>
      <c r="C803">
        <v>-10.58</v>
      </c>
      <c r="D803" t="s">
        <v>3</v>
      </c>
      <c r="F803" t="s">
        <v>18</v>
      </c>
      <c r="G803">
        <f t="shared" ref="G803:G866" si="40">IF(F803="Uitgave", -ABS(C803), ABS(C803))</f>
        <v>-10.58</v>
      </c>
      <c r="H803" t="str">
        <f>VLOOKUP(Tabel1[[#This Row],[categorie]],Lijst!A:B,2,FALSE)</f>
        <v>Vast</v>
      </c>
      <c r="I803" t="str">
        <f t="shared" ref="I803:I866" si="41">IF(OR(AND(F803="Uitgave", C803&lt;0), AND(F803="Inkomst", C803&gt;0)), "OK", "FOUT")</f>
        <v>OK</v>
      </c>
    </row>
    <row r="804" spans="1:9" hidden="1" x14ac:dyDescent="0.3">
      <c r="A804" s="2">
        <v>45761</v>
      </c>
      <c r="B804" t="str">
        <f t="shared" si="39"/>
        <v xml:space="preserve">april </v>
      </c>
      <c r="C804">
        <v>-1.49</v>
      </c>
      <c r="D804" t="s">
        <v>3</v>
      </c>
      <c r="F804" t="s">
        <v>18</v>
      </c>
      <c r="G804">
        <f t="shared" si="40"/>
        <v>-1.49</v>
      </c>
      <c r="H804" t="str">
        <f>VLOOKUP(Tabel1[[#This Row],[categorie]],Lijst!A:B,2,FALSE)</f>
        <v>Vast</v>
      </c>
      <c r="I804" t="str">
        <f t="shared" si="41"/>
        <v>OK</v>
      </c>
    </row>
    <row r="805" spans="1:9" hidden="1" x14ac:dyDescent="0.3">
      <c r="A805" s="2">
        <v>45761</v>
      </c>
      <c r="B805" t="str">
        <f t="shared" si="39"/>
        <v xml:space="preserve">april </v>
      </c>
      <c r="C805">
        <v>-3.69</v>
      </c>
      <c r="D805" t="s">
        <v>3</v>
      </c>
      <c r="F805" t="s">
        <v>18</v>
      </c>
      <c r="G805">
        <f t="shared" si="40"/>
        <v>-3.69</v>
      </c>
      <c r="H805" t="str">
        <f>VLOOKUP(Tabel1[[#This Row],[categorie]],Lijst!A:B,2,FALSE)</f>
        <v>Vast</v>
      </c>
      <c r="I805" t="str">
        <f t="shared" si="41"/>
        <v>OK</v>
      </c>
    </row>
    <row r="806" spans="1:9" hidden="1" x14ac:dyDescent="0.3">
      <c r="A806" s="2">
        <v>45761</v>
      </c>
      <c r="B806" t="str">
        <f t="shared" si="39"/>
        <v xml:space="preserve">april </v>
      </c>
      <c r="C806">
        <v>-6.29</v>
      </c>
      <c r="D806" t="s">
        <v>3</v>
      </c>
      <c r="F806" t="s">
        <v>18</v>
      </c>
      <c r="G806">
        <f t="shared" si="40"/>
        <v>-6.29</v>
      </c>
      <c r="H806" t="str">
        <f>VLOOKUP(Tabel1[[#This Row],[categorie]],Lijst!A:B,2,FALSE)</f>
        <v>Vast</v>
      </c>
      <c r="I806" t="str">
        <f t="shared" si="41"/>
        <v>OK</v>
      </c>
    </row>
    <row r="807" spans="1:9" hidden="1" x14ac:dyDescent="0.3">
      <c r="A807" s="2">
        <v>45761</v>
      </c>
      <c r="B807" t="str">
        <f t="shared" si="39"/>
        <v xml:space="preserve">april </v>
      </c>
      <c r="C807">
        <v>-11.17</v>
      </c>
      <c r="D807" t="s">
        <v>3</v>
      </c>
      <c r="F807" t="s">
        <v>18</v>
      </c>
      <c r="G807">
        <f t="shared" si="40"/>
        <v>-11.17</v>
      </c>
      <c r="H807" t="str">
        <f>VLOOKUP(Tabel1[[#This Row],[categorie]],Lijst!A:B,2,FALSE)</f>
        <v>Vast</v>
      </c>
      <c r="I807" t="str">
        <f t="shared" si="41"/>
        <v>OK</v>
      </c>
    </row>
    <row r="808" spans="1:9" hidden="1" x14ac:dyDescent="0.3">
      <c r="A808" s="2">
        <v>45761</v>
      </c>
      <c r="B808" t="str">
        <f t="shared" si="39"/>
        <v xml:space="preserve">april </v>
      </c>
      <c r="C808">
        <v>-7.08</v>
      </c>
      <c r="D808" t="s">
        <v>3</v>
      </c>
      <c r="F808" t="str">
        <f>VLOOKUP(Tabel1[[#This Row],[categorie]],Lijst!A:C,3,FALSE)</f>
        <v>Uitgave</v>
      </c>
      <c r="G808">
        <f t="shared" si="40"/>
        <v>-7.08</v>
      </c>
      <c r="H808" t="str">
        <f>VLOOKUP(Tabel1[[#This Row],[categorie]],Lijst!A:B,2,FALSE)</f>
        <v>Vast</v>
      </c>
      <c r="I808" t="str">
        <f t="shared" si="41"/>
        <v>OK</v>
      </c>
    </row>
    <row r="809" spans="1:9" hidden="1" x14ac:dyDescent="0.3">
      <c r="A809" s="2">
        <v>45761</v>
      </c>
      <c r="B809" t="str">
        <f t="shared" si="39"/>
        <v xml:space="preserve">april </v>
      </c>
      <c r="C809">
        <v>-2.5</v>
      </c>
      <c r="D809" t="s">
        <v>21</v>
      </c>
      <c r="F809" t="str">
        <f>VLOOKUP(Tabel1[[#This Row],[categorie]],Lijst!A:C,3,FALSE)</f>
        <v>Uitgave</v>
      </c>
      <c r="G809">
        <f t="shared" si="40"/>
        <v>-2.5</v>
      </c>
      <c r="H809" t="str">
        <f>VLOOKUP(Tabel1[[#This Row],[categorie]],Lijst!A:B,2,FALSE)</f>
        <v>Variabel</v>
      </c>
      <c r="I809" t="str">
        <f t="shared" si="41"/>
        <v>OK</v>
      </c>
    </row>
    <row r="810" spans="1:9" hidden="1" x14ac:dyDescent="0.3">
      <c r="A810" s="2">
        <v>45761</v>
      </c>
      <c r="B810" t="str">
        <f t="shared" si="39"/>
        <v xml:space="preserve">april </v>
      </c>
      <c r="C810">
        <v>-8.99</v>
      </c>
      <c r="D810" t="s">
        <v>13</v>
      </c>
      <c r="F810" t="str">
        <f>VLOOKUP(Tabel1[[#This Row],[categorie]],Lijst!A:C,3,FALSE)</f>
        <v>Uitgave</v>
      </c>
      <c r="G810">
        <f t="shared" si="40"/>
        <v>-8.99</v>
      </c>
      <c r="H810" t="str">
        <f>VLOOKUP(Tabel1[[#This Row],[categorie]],Lijst!A:B,2,FALSE)</f>
        <v>Vast</v>
      </c>
      <c r="I810" t="str">
        <f t="shared" si="41"/>
        <v>OK</v>
      </c>
    </row>
    <row r="811" spans="1:9" hidden="1" x14ac:dyDescent="0.3">
      <c r="A811" s="2">
        <v>45761</v>
      </c>
      <c r="B811" t="str">
        <f t="shared" si="39"/>
        <v xml:space="preserve">april </v>
      </c>
      <c r="C811">
        <v>-5</v>
      </c>
      <c r="D811" t="s">
        <v>22</v>
      </c>
      <c r="F811" t="str">
        <f>VLOOKUP(Tabel1[[#This Row],[categorie]],Lijst!A:C,3,FALSE)</f>
        <v>Uitgave</v>
      </c>
      <c r="G811">
        <f t="shared" si="40"/>
        <v>-5</v>
      </c>
      <c r="H811" t="str">
        <f>VLOOKUP(Tabel1[[#This Row],[categorie]],Lijst!A:B,2,FALSE)</f>
        <v>Variabel</v>
      </c>
      <c r="I811" t="str">
        <f t="shared" si="41"/>
        <v>OK</v>
      </c>
    </row>
    <row r="812" spans="1:9" hidden="1" x14ac:dyDescent="0.3">
      <c r="A812" s="2">
        <v>45761</v>
      </c>
      <c r="B812" t="str">
        <f t="shared" si="39"/>
        <v xml:space="preserve">april </v>
      </c>
      <c r="C812">
        <v>-3.81</v>
      </c>
      <c r="D812" t="s">
        <v>3</v>
      </c>
      <c r="F812" t="s">
        <v>18</v>
      </c>
      <c r="G812">
        <f t="shared" si="40"/>
        <v>-3.81</v>
      </c>
      <c r="H812" t="str">
        <f>VLOOKUP(Tabel1[[#This Row],[categorie]],Lijst!A:B,2,FALSE)</f>
        <v>Vast</v>
      </c>
      <c r="I812" t="str">
        <f t="shared" si="41"/>
        <v>OK</v>
      </c>
    </row>
    <row r="813" spans="1:9" hidden="1" x14ac:dyDescent="0.3">
      <c r="A813" s="2">
        <v>45761</v>
      </c>
      <c r="B813" t="str">
        <f t="shared" si="39"/>
        <v xml:space="preserve">april </v>
      </c>
      <c r="C813">
        <v>-6.59</v>
      </c>
      <c r="D813" t="s">
        <v>63</v>
      </c>
      <c r="F813" t="str">
        <f>VLOOKUP(Tabel1[[#This Row],[categorie]],Lijst!A:C,3,FALSE)</f>
        <v>Uitgave</v>
      </c>
      <c r="G813">
        <f t="shared" si="40"/>
        <v>-6.59</v>
      </c>
      <c r="H813" t="str">
        <f>VLOOKUP(Tabel1[[#This Row],[categorie]],Lijst!A:B,2,FALSE)</f>
        <v>Variabel</v>
      </c>
      <c r="I813" t="str">
        <f t="shared" si="41"/>
        <v>OK</v>
      </c>
    </row>
    <row r="814" spans="1:9" hidden="1" x14ac:dyDescent="0.3">
      <c r="A814" s="2">
        <v>45761</v>
      </c>
      <c r="B814" t="str">
        <f t="shared" si="39"/>
        <v xml:space="preserve">april </v>
      </c>
      <c r="C814">
        <v>-6.8</v>
      </c>
      <c r="D814" t="s">
        <v>3</v>
      </c>
      <c r="F814" t="str">
        <f>VLOOKUP(Tabel1[[#This Row],[categorie]],Lijst!A:C,3,FALSE)</f>
        <v>Uitgave</v>
      </c>
      <c r="G814">
        <f t="shared" si="40"/>
        <v>-6.8</v>
      </c>
      <c r="H814" t="str">
        <f>VLOOKUP(Tabel1[[#This Row],[categorie]],Lijst!A:B,2,FALSE)</f>
        <v>Vast</v>
      </c>
      <c r="I814" t="str">
        <f t="shared" si="41"/>
        <v>OK</v>
      </c>
    </row>
    <row r="815" spans="1:9" hidden="1" x14ac:dyDescent="0.3">
      <c r="A815" s="2">
        <v>45761</v>
      </c>
      <c r="B815" t="str">
        <f t="shared" si="39"/>
        <v xml:space="preserve">april </v>
      </c>
      <c r="C815">
        <v>-1.5</v>
      </c>
      <c r="D815" t="s">
        <v>26</v>
      </c>
      <c r="F815" t="str">
        <f>VLOOKUP(Tabel1[[#This Row],[categorie]],Lijst!A:C,3,FALSE)</f>
        <v>Uitgave</v>
      </c>
      <c r="G815">
        <f t="shared" si="40"/>
        <v>-1.5</v>
      </c>
      <c r="H815" t="str">
        <f>VLOOKUP(Tabel1[[#This Row],[categorie]],Lijst!A:B,2,FALSE)</f>
        <v>Variabel</v>
      </c>
      <c r="I815" t="str">
        <f t="shared" si="41"/>
        <v>OK</v>
      </c>
    </row>
    <row r="816" spans="1:9" hidden="1" x14ac:dyDescent="0.3">
      <c r="A816" s="2">
        <v>45761</v>
      </c>
      <c r="B816" t="str">
        <f t="shared" si="39"/>
        <v xml:space="preserve">april </v>
      </c>
      <c r="C816">
        <v>-5.7</v>
      </c>
      <c r="D816" t="s">
        <v>60</v>
      </c>
      <c r="F816" t="str">
        <f>VLOOKUP(Tabel1[[#This Row],[categorie]],Lijst!A:C,3,FALSE)</f>
        <v>Uitgave</v>
      </c>
      <c r="G816">
        <f t="shared" si="40"/>
        <v>-5.7</v>
      </c>
      <c r="H816" t="str">
        <f>VLOOKUP(Tabel1[[#This Row],[categorie]],Lijst!A:B,2,FALSE)</f>
        <v>Variabel</v>
      </c>
      <c r="I816" t="str">
        <f t="shared" si="41"/>
        <v>OK</v>
      </c>
    </row>
    <row r="817" spans="1:9" hidden="1" x14ac:dyDescent="0.3">
      <c r="A817" s="2">
        <v>45761</v>
      </c>
      <c r="B817" t="str">
        <f t="shared" si="39"/>
        <v xml:space="preserve">april </v>
      </c>
      <c r="C817">
        <v>-42.6</v>
      </c>
      <c r="D817" t="s">
        <v>60</v>
      </c>
      <c r="F817" t="str">
        <f>VLOOKUP(Tabel1[[#This Row],[categorie]],Lijst!A:C,3,FALSE)</f>
        <v>Uitgave</v>
      </c>
      <c r="G817">
        <f t="shared" si="40"/>
        <v>-42.6</v>
      </c>
      <c r="H817" t="str">
        <f>VLOOKUP(Tabel1[[#This Row],[categorie]],Lijst!A:B,2,FALSE)</f>
        <v>Variabel</v>
      </c>
      <c r="I817" t="str">
        <f t="shared" si="41"/>
        <v>OK</v>
      </c>
    </row>
    <row r="818" spans="1:9" hidden="1" x14ac:dyDescent="0.3">
      <c r="A818" s="2">
        <v>45761</v>
      </c>
      <c r="B818" t="str">
        <f t="shared" si="39"/>
        <v xml:space="preserve">april </v>
      </c>
      <c r="C818">
        <v>-5</v>
      </c>
      <c r="D818" t="s">
        <v>13</v>
      </c>
      <c r="F818" t="str">
        <f>VLOOKUP(Tabel1[[#This Row],[categorie]],Lijst!A:C,3,FALSE)</f>
        <v>Uitgave</v>
      </c>
      <c r="G818">
        <f t="shared" si="40"/>
        <v>-5</v>
      </c>
      <c r="H818" t="str">
        <f>VLOOKUP(Tabel1[[#This Row],[categorie]],Lijst!A:B,2,FALSE)</f>
        <v>Vast</v>
      </c>
      <c r="I818" t="str">
        <f t="shared" si="41"/>
        <v>OK</v>
      </c>
    </row>
    <row r="819" spans="1:9" hidden="1" x14ac:dyDescent="0.3">
      <c r="A819" s="2">
        <v>45761</v>
      </c>
      <c r="B819" t="str">
        <f t="shared" si="39"/>
        <v xml:space="preserve">april </v>
      </c>
      <c r="C819">
        <v>-79.98</v>
      </c>
      <c r="D819" t="s">
        <v>32</v>
      </c>
      <c r="F819" t="str">
        <f>VLOOKUP(Tabel1[[#This Row],[categorie]],Lijst!A:C,3,FALSE)</f>
        <v>Uitgave</v>
      </c>
      <c r="G819">
        <f t="shared" si="40"/>
        <v>-79.98</v>
      </c>
      <c r="H819" t="str">
        <f>VLOOKUP(Tabel1[[#This Row],[categorie]],Lijst!A:B,2,FALSE)</f>
        <v>Variabel</v>
      </c>
      <c r="I819" t="str">
        <f t="shared" si="41"/>
        <v>OK</v>
      </c>
    </row>
    <row r="820" spans="1:9" hidden="1" x14ac:dyDescent="0.3">
      <c r="A820" s="2">
        <v>45761</v>
      </c>
      <c r="B820" t="str">
        <f t="shared" si="39"/>
        <v xml:space="preserve">april </v>
      </c>
      <c r="C820">
        <v>-8</v>
      </c>
      <c r="D820" t="s">
        <v>13</v>
      </c>
      <c r="F820" t="str">
        <f>VLOOKUP(Tabel1[[#This Row],[categorie]],Lijst!A:C,3,FALSE)</f>
        <v>Uitgave</v>
      </c>
      <c r="G820">
        <f t="shared" si="40"/>
        <v>-8</v>
      </c>
      <c r="H820" t="str">
        <f>VLOOKUP(Tabel1[[#This Row],[categorie]],Lijst!A:B,2,FALSE)</f>
        <v>Vast</v>
      </c>
      <c r="I820" t="str">
        <f t="shared" si="41"/>
        <v>OK</v>
      </c>
    </row>
    <row r="821" spans="1:9" hidden="1" x14ac:dyDescent="0.3">
      <c r="A821" s="2">
        <v>45761</v>
      </c>
      <c r="B821" t="str">
        <f t="shared" si="39"/>
        <v xml:space="preserve">april </v>
      </c>
      <c r="C821">
        <v>-2.19</v>
      </c>
      <c r="D821" t="s">
        <v>13</v>
      </c>
      <c r="F821" t="str">
        <f>VLOOKUP(Tabel1[[#This Row],[categorie]],Lijst!A:C,3,FALSE)</f>
        <v>Uitgave</v>
      </c>
      <c r="G821">
        <f t="shared" si="40"/>
        <v>-2.19</v>
      </c>
      <c r="H821" t="str">
        <f>VLOOKUP(Tabel1[[#This Row],[categorie]],Lijst!A:B,2,FALSE)</f>
        <v>Vast</v>
      </c>
      <c r="I821" t="str">
        <f t="shared" si="41"/>
        <v>OK</v>
      </c>
    </row>
    <row r="822" spans="1:9" hidden="1" x14ac:dyDescent="0.3">
      <c r="A822" s="2">
        <v>45762</v>
      </c>
      <c r="B822" t="str">
        <f t="shared" si="39"/>
        <v xml:space="preserve">april </v>
      </c>
      <c r="C822">
        <v>-201.19</v>
      </c>
      <c r="D822" t="s">
        <v>79</v>
      </c>
      <c r="F822" t="s">
        <v>18</v>
      </c>
      <c r="G822">
        <f t="shared" si="40"/>
        <v>-201.19</v>
      </c>
      <c r="H822" t="str">
        <f>VLOOKUP(Tabel1[[#This Row],[categorie]],Lijst!A:B,2,FALSE)</f>
        <v>Variabel</v>
      </c>
      <c r="I822" t="str">
        <f t="shared" si="41"/>
        <v>OK</v>
      </c>
    </row>
    <row r="823" spans="1:9" hidden="1" x14ac:dyDescent="0.3">
      <c r="A823" s="2">
        <v>45762</v>
      </c>
      <c r="B823" t="str">
        <f t="shared" si="39"/>
        <v xml:space="preserve">april </v>
      </c>
      <c r="C823">
        <v>-18.399999999999999</v>
      </c>
      <c r="D823" t="s">
        <v>21</v>
      </c>
      <c r="F823" t="str">
        <f>VLOOKUP(Tabel1[[#This Row],[categorie]],Lijst!A:C,3,FALSE)</f>
        <v>Uitgave</v>
      </c>
      <c r="G823">
        <f t="shared" si="40"/>
        <v>-18.399999999999999</v>
      </c>
      <c r="H823" t="str">
        <f>VLOOKUP(Tabel1[[#This Row],[categorie]],Lijst!A:B,2,FALSE)</f>
        <v>Variabel</v>
      </c>
      <c r="I823" t="str">
        <f t="shared" si="41"/>
        <v>OK</v>
      </c>
    </row>
    <row r="824" spans="1:9" hidden="1" x14ac:dyDescent="0.3">
      <c r="A824" s="2">
        <v>45762</v>
      </c>
      <c r="B824" t="str">
        <f t="shared" si="39"/>
        <v xml:space="preserve">april </v>
      </c>
      <c r="C824">
        <v>-8.5</v>
      </c>
      <c r="D824" t="s">
        <v>21</v>
      </c>
      <c r="F824" t="str">
        <f>VLOOKUP(Tabel1[[#This Row],[categorie]],Lijst!A:C,3,FALSE)</f>
        <v>Uitgave</v>
      </c>
      <c r="G824">
        <f t="shared" si="40"/>
        <v>-8.5</v>
      </c>
      <c r="H824" t="str">
        <f>VLOOKUP(Tabel1[[#This Row],[categorie]],Lijst!A:B,2,FALSE)</f>
        <v>Variabel</v>
      </c>
      <c r="I824" t="str">
        <f t="shared" si="41"/>
        <v>OK</v>
      </c>
    </row>
    <row r="825" spans="1:9" hidden="1" x14ac:dyDescent="0.3">
      <c r="A825" s="2">
        <v>45762</v>
      </c>
      <c r="B825" t="str">
        <f t="shared" si="39"/>
        <v xml:space="preserve">april </v>
      </c>
      <c r="C825">
        <v>-150</v>
      </c>
      <c r="D825" t="s">
        <v>27</v>
      </c>
      <c r="F825" t="str">
        <f>VLOOKUP(Tabel1[[#This Row],[categorie]],Lijst!A:C,3,FALSE)</f>
        <v>Uitgave</v>
      </c>
      <c r="G825">
        <f t="shared" si="40"/>
        <v>-150</v>
      </c>
      <c r="H825" t="str">
        <f>VLOOKUP(Tabel1[[#This Row],[categorie]],Lijst!A:B,2,FALSE)</f>
        <v>Variabel</v>
      </c>
      <c r="I825" t="str">
        <f t="shared" si="41"/>
        <v>OK</v>
      </c>
    </row>
    <row r="826" spans="1:9" hidden="1" x14ac:dyDescent="0.3">
      <c r="A826" s="2">
        <v>45762</v>
      </c>
      <c r="B826" t="str">
        <f t="shared" si="39"/>
        <v xml:space="preserve">april </v>
      </c>
      <c r="C826">
        <v>-7.95</v>
      </c>
      <c r="D826" t="s">
        <v>13</v>
      </c>
      <c r="F826" t="str">
        <f>VLOOKUP(Tabel1[[#This Row],[categorie]],Lijst!A:C,3,FALSE)</f>
        <v>Uitgave</v>
      </c>
      <c r="G826">
        <f t="shared" si="40"/>
        <v>-7.95</v>
      </c>
      <c r="H826" t="str">
        <f>VLOOKUP(Tabel1[[#This Row],[categorie]],Lijst!A:B,2,FALSE)</f>
        <v>Vast</v>
      </c>
      <c r="I826" t="str">
        <f t="shared" si="41"/>
        <v>OK</v>
      </c>
    </row>
    <row r="827" spans="1:9" hidden="1" x14ac:dyDescent="0.3">
      <c r="A827" s="2">
        <v>45762</v>
      </c>
      <c r="B827" t="str">
        <f t="shared" si="39"/>
        <v xml:space="preserve">april </v>
      </c>
      <c r="C827">
        <v>-5</v>
      </c>
      <c r="D827" t="s">
        <v>13</v>
      </c>
      <c r="F827" t="str">
        <f>VLOOKUP(Tabel1[[#This Row],[categorie]],Lijst!A:C,3,FALSE)</f>
        <v>Uitgave</v>
      </c>
      <c r="G827">
        <f t="shared" si="40"/>
        <v>-5</v>
      </c>
      <c r="H827" t="str">
        <f>VLOOKUP(Tabel1[[#This Row],[categorie]],Lijst!A:B,2,FALSE)</f>
        <v>Vast</v>
      </c>
      <c r="I827" t="str">
        <f t="shared" si="41"/>
        <v>OK</v>
      </c>
    </row>
    <row r="828" spans="1:9" hidden="1" x14ac:dyDescent="0.3">
      <c r="A828" s="2">
        <v>45763</v>
      </c>
      <c r="B828" t="str">
        <f t="shared" si="39"/>
        <v xml:space="preserve">april </v>
      </c>
      <c r="C828">
        <v>-30.3</v>
      </c>
      <c r="D828" t="s">
        <v>9</v>
      </c>
      <c r="F828" t="s">
        <v>18</v>
      </c>
      <c r="G828">
        <f t="shared" si="40"/>
        <v>-30.3</v>
      </c>
      <c r="H828" t="str">
        <f>VLOOKUP(Tabel1[[#This Row],[categorie]],Lijst!A:B,2,FALSE)</f>
        <v>Variabel</v>
      </c>
      <c r="I828" t="str">
        <f t="shared" si="41"/>
        <v>OK</v>
      </c>
    </row>
    <row r="829" spans="1:9" hidden="1" x14ac:dyDescent="0.3">
      <c r="A829" s="2">
        <v>45763</v>
      </c>
      <c r="B829" t="str">
        <f t="shared" si="39"/>
        <v xml:space="preserve">april </v>
      </c>
      <c r="C829">
        <v>-7</v>
      </c>
      <c r="D829" t="s">
        <v>61</v>
      </c>
      <c r="F829" t="str">
        <f>VLOOKUP(Tabel1[[#This Row],[categorie]],Lijst!A:C,3,FALSE)</f>
        <v>Uitgave</v>
      </c>
      <c r="G829">
        <f t="shared" si="40"/>
        <v>-7</v>
      </c>
      <c r="H829" t="str">
        <f>VLOOKUP(Tabel1[[#This Row],[categorie]],Lijst!A:B,2,FALSE)</f>
        <v>Variabel</v>
      </c>
      <c r="I829" t="str">
        <f t="shared" si="41"/>
        <v>OK</v>
      </c>
    </row>
    <row r="830" spans="1:9" hidden="1" x14ac:dyDescent="0.3">
      <c r="A830" s="2">
        <v>45763</v>
      </c>
      <c r="B830" t="str">
        <f t="shared" si="39"/>
        <v xml:space="preserve">april </v>
      </c>
      <c r="C830">
        <v>-18.260000000000002</v>
      </c>
      <c r="D830" t="s">
        <v>3</v>
      </c>
      <c r="F830" t="str">
        <f>VLOOKUP(Tabel1[[#This Row],[categorie]],Lijst!A:C,3,FALSE)</f>
        <v>Uitgave</v>
      </c>
      <c r="G830">
        <f t="shared" si="40"/>
        <v>-18.260000000000002</v>
      </c>
      <c r="H830" t="str">
        <f>VLOOKUP(Tabel1[[#This Row],[categorie]],Lijst!A:B,2,FALSE)</f>
        <v>Vast</v>
      </c>
      <c r="I830" t="str">
        <f t="shared" si="41"/>
        <v>OK</v>
      </c>
    </row>
    <row r="831" spans="1:9" hidden="1" x14ac:dyDescent="0.3">
      <c r="A831" s="2">
        <v>45763</v>
      </c>
      <c r="B831" t="str">
        <f t="shared" si="39"/>
        <v xml:space="preserve">april </v>
      </c>
      <c r="C831">
        <v>-23.52</v>
      </c>
      <c r="D831" t="s">
        <v>3</v>
      </c>
      <c r="F831" t="s">
        <v>18</v>
      </c>
      <c r="G831">
        <f t="shared" si="40"/>
        <v>-23.52</v>
      </c>
      <c r="H831" t="str">
        <f>VLOOKUP(Tabel1[[#This Row],[categorie]],Lijst!A:B,2,FALSE)</f>
        <v>Vast</v>
      </c>
      <c r="I831" t="str">
        <f t="shared" si="41"/>
        <v>OK</v>
      </c>
    </row>
    <row r="832" spans="1:9" hidden="1" x14ac:dyDescent="0.3">
      <c r="A832" s="2">
        <v>45763</v>
      </c>
      <c r="B832" t="str">
        <f t="shared" si="39"/>
        <v xml:space="preserve">april </v>
      </c>
      <c r="C832">
        <v>-120.6</v>
      </c>
      <c r="D832" t="s">
        <v>14</v>
      </c>
      <c r="F832" t="str">
        <f>VLOOKUP(Tabel1[[#This Row],[categorie]],Lijst!A:C,3,FALSE)</f>
        <v>Uitgave</v>
      </c>
      <c r="G832">
        <f t="shared" si="40"/>
        <v>-120.6</v>
      </c>
      <c r="H832" t="str">
        <f>VLOOKUP(Tabel1[[#This Row],[categorie]],Lijst!A:B,2,FALSE)</f>
        <v>Variabel</v>
      </c>
      <c r="I832" t="str">
        <f t="shared" si="41"/>
        <v>OK</v>
      </c>
    </row>
    <row r="833" spans="1:9" hidden="1" x14ac:dyDescent="0.3">
      <c r="A833" s="2">
        <v>45763</v>
      </c>
      <c r="B833" t="str">
        <f t="shared" si="39"/>
        <v xml:space="preserve">april </v>
      </c>
      <c r="C833">
        <v>-85</v>
      </c>
      <c r="D833" t="s">
        <v>33</v>
      </c>
      <c r="F833" t="str">
        <f>VLOOKUP(Tabel1[[#This Row],[categorie]],Lijst!A:C,3,FALSE)</f>
        <v>Uitgave</v>
      </c>
      <c r="G833">
        <f t="shared" si="40"/>
        <v>-85</v>
      </c>
      <c r="H833" t="str">
        <f>VLOOKUP(Tabel1[[#This Row],[categorie]],Lijst!A:B,2,FALSE)</f>
        <v>Vast</v>
      </c>
      <c r="I833" t="str">
        <f t="shared" si="41"/>
        <v>OK</v>
      </c>
    </row>
    <row r="834" spans="1:9" hidden="1" x14ac:dyDescent="0.3">
      <c r="A834" s="2">
        <v>45763</v>
      </c>
      <c r="B834" t="str">
        <f t="shared" si="39"/>
        <v xml:space="preserve">april </v>
      </c>
      <c r="C834">
        <v>-81.66</v>
      </c>
      <c r="D834" t="s">
        <v>33</v>
      </c>
      <c r="F834" t="str">
        <f>VLOOKUP(Tabel1[[#This Row],[categorie]],Lijst!A:C,3,FALSE)</f>
        <v>Uitgave</v>
      </c>
      <c r="G834">
        <f t="shared" si="40"/>
        <v>-81.66</v>
      </c>
      <c r="H834" t="str">
        <f>VLOOKUP(Tabel1[[#This Row],[categorie]],Lijst!A:B,2,FALSE)</f>
        <v>Vast</v>
      </c>
      <c r="I834" t="str">
        <f t="shared" si="41"/>
        <v>OK</v>
      </c>
    </row>
    <row r="835" spans="1:9" hidden="1" x14ac:dyDescent="0.3">
      <c r="A835" s="2">
        <v>45764</v>
      </c>
      <c r="B835" t="str">
        <f t="shared" si="39"/>
        <v xml:space="preserve">april </v>
      </c>
      <c r="C835">
        <v>72</v>
      </c>
      <c r="D835" t="s">
        <v>69</v>
      </c>
      <c r="F835" t="s">
        <v>65</v>
      </c>
      <c r="G835">
        <f t="shared" si="40"/>
        <v>72</v>
      </c>
      <c r="H835" t="str">
        <f>VLOOKUP(Tabel1[[#This Row],[categorie]],Lijst!A:B,2,FALSE)</f>
        <v>Variabel</v>
      </c>
      <c r="I835" t="str">
        <f t="shared" si="41"/>
        <v>OK</v>
      </c>
    </row>
    <row r="836" spans="1:9" hidden="1" x14ac:dyDescent="0.3">
      <c r="A836" s="2">
        <v>45764</v>
      </c>
      <c r="B836" t="str">
        <f t="shared" si="39"/>
        <v xml:space="preserve">april </v>
      </c>
      <c r="C836">
        <v>-1.66</v>
      </c>
      <c r="D836" t="s">
        <v>13</v>
      </c>
      <c r="F836" t="str">
        <f>VLOOKUP(Tabel1[[#This Row],[categorie]],Lijst!A:C,3,FALSE)</f>
        <v>Uitgave</v>
      </c>
      <c r="G836">
        <f t="shared" si="40"/>
        <v>-1.66</v>
      </c>
      <c r="H836" t="str">
        <f>VLOOKUP(Tabel1[[#This Row],[categorie]],Lijst!A:B,2,FALSE)</f>
        <v>Vast</v>
      </c>
      <c r="I836" t="str">
        <f t="shared" si="41"/>
        <v>OK</v>
      </c>
    </row>
    <row r="837" spans="1:9" hidden="1" x14ac:dyDescent="0.3">
      <c r="A837" s="2">
        <v>45764</v>
      </c>
      <c r="B837" t="str">
        <f t="shared" si="39"/>
        <v xml:space="preserve">april </v>
      </c>
      <c r="C837">
        <v>-16.46</v>
      </c>
      <c r="D837" t="s">
        <v>3</v>
      </c>
      <c r="F837" t="s">
        <v>18</v>
      </c>
      <c r="G837">
        <f t="shared" si="40"/>
        <v>-16.46</v>
      </c>
      <c r="H837" t="str">
        <f>VLOOKUP(Tabel1[[#This Row],[categorie]],Lijst!A:B,2,FALSE)</f>
        <v>Vast</v>
      </c>
      <c r="I837" t="str">
        <f t="shared" si="41"/>
        <v>OK</v>
      </c>
    </row>
    <row r="838" spans="1:9" hidden="1" x14ac:dyDescent="0.3">
      <c r="A838" s="2">
        <v>45764</v>
      </c>
      <c r="B838" t="str">
        <f t="shared" si="39"/>
        <v xml:space="preserve">april </v>
      </c>
      <c r="C838">
        <v>-8.75</v>
      </c>
      <c r="D838" t="s">
        <v>13</v>
      </c>
      <c r="F838" t="str">
        <f>VLOOKUP(Tabel1[[#This Row],[categorie]],Lijst!A:C,3,FALSE)</f>
        <v>Uitgave</v>
      </c>
      <c r="G838">
        <f t="shared" si="40"/>
        <v>-8.75</v>
      </c>
      <c r="H838" t="str">
        <f>VLOOKUP(Tabel1[[#This Row],[categorie]],Lijst!A:B,2,FALSE)</f>
        <v>Vast</v>
      </c>
      <c r="I838" t="str">
        <f t="shared" si="41"/>
        <v>OK</v>
      </c>
    </row>
    <row r="839" spans="1:9" hidden="1" x14ac:dyDescent="0.3">
      <c r="A839" s="2">
        <v>45764</v>
      </c>
      <c r="B839" t="str">
        <f t="shared" si="39"/>
        <v xml:space="preserve">april </v>
      </c>
      <c r="C839">
        <v>-5</v>
      </c>
      <c r="D839" t="s">
        <v>13</v>
      </c>
      <c r="F839" t="str">
        <f>VLOOKUP(Tabel1[[#This Row],[categorie]],Lijst!A:C,3,FALSE)</f>
        <v>Uitgave</v>
      </c>
      <c r="G839">
        <f t="shared" si="40"/>
        <v>-5</v>
      </c>
      <c r="H839" t="str">
        <f>VLOOKUP(Tabel1[[#This Row],[categorie]],Lijst!A:B,2,FALSE)</f>
        <v>Vast</v>
      </c>
      <c r="I839" t="str">
        <f t="shared" si="41"/>
        <v>OK</v>
      </c>
    </row>
    <row r="840" spans="1:9" hidden="1" x14ac:dyDescent="0.3">
      <c r="A840" s="2">
        <v>45764</v>
      </c>
      <c r="B840" t="str">
        <f t="shared" si="39"/>
        <v xml:space="preserve">april </v>
      </c>
      <c r="C840">
        <v>-108</v>
      </c>
      <c r="D840" t="s">
        <v>21</v>
      </c>
      <c r="F840" t="str">
        <f>VLOOKUP(Tabel1[[#This Row],[categorie]],Lijst!A:C,3,FALSE)</f>
        <v>Uitgave</v>
      </c>
      <c r="G840">
        <f t="shared" si="40"/>
        <v>-108</v>
      </c>
      <c r="H840" t="str">
        <f>VLOOKUP(Tabel1[[#This Row],[categorie]],Lijst!A:B,2,FALSE)</f>
        <v>Variabel</v>
      </c>
      <c r="I840" t="str">
        <f t="shared" si="41"/>
        <v>OK</v>
      </c>
    </row>
    <row r="841" spans="1:9" hidden="1" x14ac:dyDescent="0.3">
      <c r="A841" s="2">
        <v>45764</v>
      </c>
      <c r="B841" t="str">
        <f t="shared" si="39"/>
        <v xml:space="preserve">april </v>
      </c>
      <c r="C841">
        <v>-8.1</v>
      </c>
      <c r="D841" t="s">
        <v>3</v>
      </c>
      <c r="F841" t="str">
        <f>VLOOKUP(Tabel1[[#This Row],[categorie]],Lijst!A:C,3,FALSE)</f>
        <v>Uitgave</v>
      </c>
      <c r="G841">
        <f t="shared" si="40"/>
        <v>-8.1</v>
      </c>
      <c r="H841" t="str">
        <f>VLOOKUP(Tabel1[[#This Row],[categorie]],Lijst!A:B,2,FALSE)</f>
        <v>Vast</v>
      </c>
      <c r="I841" t="str">
        <f t="shared" si="41"/>
        <v>OK</v>
      </c>
    </row>
    <row r="842" spans="1:9" hidden="1" x14ac:dyDescent="0.3">
      <c r="A842" s="2">
        <v>45765</v>
      </c>
      <c r="B842" t="str">
        <f t="shared" si="39"/>
        <v xml:space="preserve">april </v>
      </c>
      <c r="C842">
        <v>-19</v>
      </c>
      <c r="D842" t="s">
        <v>3</v>
      </c>
      <c r="F842" t="str">
        <f>VLOOKUP(Tabel1[[#This Row],[categorie]],Lijst!A:C,3,FALSE)</f>
        <v>Uitgave</v>
      </c>
      <c r="G842">
        <f t="shared" si="40"/>
        <v>-19</v>
      </c>
      <c r="H842" t="str">
        <f>VLOOKUP(Tabel1[[#This Row],[categorie]],Lijst!A:B,2,FALSE)</f>
        <v>Vast</v>
      </c>
      <c r="I842" t="str">
        <f t="shared" si="41"/>
        <v>OK</v>
      </c>
    </row>
    <row r="843" spans="1:9" hidden="1" x14ac:dyDescent="0.3">
      <c r="A843" s="2">
        <v>45765</v>
      </c>
      <c r="B843" t="str">
        <f t="shared" si="39"/>
        <v xml:space="preserve">april </v>
      </c>
      <c r="C843">
        <v>-17</v>
      </c>
      <c r="D843" t="s">
        <v>54</v>
      </c>
      <c r="F843" t="str">
        <f>VLOOKUP(Tabel1[[#This Row],[categorie]],Lijst!A:C,3,FALSE)</f>
        <v>Uitgave</v>
      </c>
      <c r="G843">
        <f t="shared" si="40"/>
        <v>-17</v>
      </c>
      <c r="H843" t="str">
        <f>VLOOKUP(Tabel1[[#This Row],[categorie]],Lijst!A:B,2,FALSE)</f>
        <v>Variabel</v>
      </c>
      <c r="I843" t="str">
        <f t="shared" si="41"/>
        <v>OK</v>
      </c>
    </row>
    <row r="844" spans="1:9" hidden="1" x14ac:dyDescent="0.3">
      <c r="A844" s="2">
        <v>45769</v>
      </c>
      <c r="B844" t="str">
        <f t="shared" si="39"/>
        <v xml:space="preserve">april </v>
      </c>
      <c r="C844">
        <v>-2</v>
      </c>
      <c r="D844" t="s">
        <v>75</v>
      </c>
      <c r="F844" t="s">
        <v>18</v>
      </c>
      <c r="G844">
        <f t="shared" si="40"/>
        <v>-2</v>
      </c>
      <c r="H844" t="str">
        <f>VLOOKUP(Tabel1[[#This Row],[categorie]],Lijst!A:B,2,FALSE)</f>
        <v>Variabel</v>
      </c>
      <c r="I844" t="str">
        <f t="shared" si="41"/>
        <v>OK</v>
      </c>
    </row>
    <row r="845" spans="1:9" hidden="1" x14ac:dyDescent="0.3">
      <c r="A845" s="2">
        <v>45769</v>
      </c>
      <c r="B845" t="str">
        <f t="shared" si="39"/>
        <v xml:space="preserve">april </v>
      </c>
      <c r="C845">
        <v>-5</v>
      </c>
      <c r="D845" t="s">
        <v>75</v>
      </c>
      <c r="F845" t="s">
        <v>18</v>
      </c>
      <c r="G845">
        <f t="shared" si="40"/>
        <v>-5</v>
      </c>
      <c r="H845" t="str">
        <f>VLOOKUP(Tabel1[[#This Row],[categorie]],Lijst!A:B,2,FALSE)</f>
        <v>Variabel</v>
      </c>
      <c r="I845" t="str">
        <f t="shared" si="41"/>
        <v>OK</v>
      </c>
    </row>
    <row r="846" spans="1:9" hidden="1" x14ac:dyDescent="0.3">
      <c r="A846" s="2">
        <v>45769</v>
      </c>
      <c r="B846" t="str">
        <f t="shared" si="39"/>
        <v xml:space="preserve">april </v>
      </c>
      <c r="C846">
        <v>-32.020000000000003</v>
      </c>
      <c r="D846" t="s">
        <v>3</v>
      </c>
      <c r="F846" t="s">
        <v>18</v>
      </c>
      <c r="G846">
        <f t="shared" si="40"/>
        <v>-32.020000000000003</v>
      </c>
      <c r="H846" t="str">
        <f>VLOOKUP(Tabel1[[#This Row],[categorie]],Lijst!A:B,2,FALSE)</f>
        <v>Vast</v>
      </c>
      <c r="I846" t="str">
        <f t="shared" si="41"/>
        <v>OK</v>
      </c>
    </row>
    <row r="847" spans="1:9" hidden="1" x14ac:dyDescent="0.3">
      <c r="A847" s="2">
        <v>45769</v>
      </c>
      <c r="B847" t="str">
        <f t="shared" si="39"/>
        <v xml:space="preserve">april </v>
      </c>
      <c r="C847">
        <v>-19.670000000000002</v>
      </c>
      <c r="D847" t="s">
        <v>3</v>
      </c>
      <c r="F847" t="s">
        <v>18</v>
      </c>
      <c r="G847">
        <f t="shared" si="40"/>
        <v>-19.670000000000002</v>
      </c>
      <c r="H847" t="str">
        <f>VLOOKUP(Tabel1[[#This Row],[categorie]],Lijst!A:B,2,FALSE)</f>
        <v>Vast</v>
      </c>
      <c r="I847" t="str">
        <f t="shared" si="41"/>
        <v>OK</v>
      </c>
    </row>
    <row r="848" spans="1:9" hidden="1" x14ac:dyDescent="0.3">
      <c r="A848" s="2">
        <v>45769</v>
      </c>
      <c r="B848" t="str">
        <f t="shared" si="39"/>
        <v xml:space="preserve">april </v>
      </c>
      <c r="C848">
        <v>-5</v>
      </c>
      <c r="D848" t="s">
        <v>31</v>
      </c>
      <c r="F848" t="str">
        <f>VLOOKUP(Tabel1[[#This Row],[categorie]],Lijst!A:C,3,FALSE)</f>
        <v>Uitgave</v>
      </c>
      <c r="G848">
        <f t="shared" si="40"/>
        <v>-5</v>
      </c>
      <c r="H848" t="str">
        <f>VLOOKUP(Tabel1[[#This Row],[categorie]],Lijst!A:B,2,FALSE)</f>
        <v>Vast</v>
      </c>
      <c r="I848" t="str">
        <f t="shared" si="41"/>
        <v>OK</v>
      </c>
    </row>
    <row r="849" spans="1:9" hidden="1" x14ac:dyDescent="0.3">
      <c r="A849" s="2">
        <v>45769</v>
      </c>
      <c r="B849" t="str">
        <f t="shared" si="39"/>
        <v xml:space="preserve">april </v>
      </c>
      <c r="C849">
        <v>-7.89</v>
      </c>
      <c r="D849" t="s">
        <v>13</v>
      </c>
      <c r="F849" t="str">
        <f>VLOOKUP(Tabel1[[#This Row],[categorie]],Lijst!A:C,3,FALSE)</f>
        <v>Uitgave</v>
      </c>
      <c r="G849">
        <f t="shared" si="40"/>
        <v>-7.89</v>
      </c>
      <c r="H849" t="str">
        <f>VLOOKUP(Tabel1[[#This Row],[categorie]],Lijst!A:B,2,FALSE)</f>
        <v>Vast</v>
      </c>
      <c r="I849" t="str">
        <f t="shared" si="41"/>
        <v>OK</v>
      </c>
    </row>
    <row r="850" spans="1:9" hidden="1" x14ac:dyDescent="0.3">
      <c r="A850" s="2">
        <v>45769</v>
      </c>
      <c r="B850" t="str">
        <f t="shared" si="39"/>
        <v xml:space="preserve">april </v>
      </c>
      <c r="C850">
        <v>-5</v>
      </c>
      <c r="D850" t="s">
        <v>13</v>
      </c>
      <c r="F850" t="str">
        <f>VLOOKUP(Tabel1[[#This Row],[categorie]],Lijst!A:C,3,FALSE)</f>
        <v>Uitgave</v>
      </c>
      <c r="G850">
        <f t="shared" si="40"/>
        <v>-5</v>
      </c>
      <c r="H850" t="str">
        <f>VLOOKUP(Tabel1[[#This Row],[categorie]],Lijst!A:B,2,FALSE)</f>
        <v>Vast</v>
      </c>
      <c r="I850" t="str">
        <f t="shared" si="41"/>
        <v>OK</v>
      </c>
    </row>
    <row r="851" spans="1:9" hidden="1" x14ac:dyDescent="0.3">
      <c r="A851" s="2">
        <v>45769</v>
      </c>
      <c r="B851" t="str">
        <f t="shared" si="39"/>
        <v xml:space="preserve">april </v>
      </c>
      <c r="C851">
        <v>-13.99</v>
      </c>
      <c r="D851" t="s">
        <v>45</v>
      </c>
      <c r="F851" t="str">
        <f>VLOOKUP(Tabel1[[#This Row],[categorie]],Lijst!A:C,3,FALSE)</f>
        <v>Uitgave</v>
      </c>
      <c r="G851">
        <f t="shared" si="40"/>
        <v>-13.99</v>
      </c>
      <c r="H851" t="str">
        <f>VLOOKUP(Tabel1[[#This Row],[categorie]],Lijst!A:B,2,FALSE)</f>
        <v>Variabel</v>
      </c>
      <c r="I851" t="str">
        <f t="shared" si="41"/>
        <v>OK</v>
      </c>
    </row>
    <row r="852" spans="1:9" hidden="1" x14ac:dyDescent="0.3">
      <c r="A852" s="2">
        <v>45769</v>
      </c>
      <c r="B852" t="str">
        <f t="shared" si="39"/>
        <v xml:space="preserve">april </v>
      </c>
      <c r="C852">
        <v>-10.47</v>
      </c>
      <c r="D852" t="s">
        <v>13</v>
      </c>
      <c r="F852" t="str">
        <f>VLOOKUP(Tabel1[[#This Row],[categorie]],Lijst!A:C,3,FALSE)</f>
        <v>Uitgave</v>
      </c>
      <c r="G852">
        <f t="shared" si="40"/>
        <v>-10.47</v>
      </c>
      <c r="H852" t="str">
        <f>VLOOKUP(Tabel1[[#This Row],[categorie]],Lijst!A:B,2,FALSE)</f>
        <v>Vast</v>
      </c>
      <c r="I852" t="str">
        <f t="shared" si="41"/>
        <v>OK</v>
      </c>
    </row>
    <row r="853" spans="1:9" hidden="1" x14ac:dyDescent="0.3">
      <c r="A853" s="2">
        <v>45769</v>
      </c>
      <c r="B853" t="str">
        <f t="shared" si="39"/>
        <v xml:space="preserve">april </v>
      </c>
      <c r="C853">
        <v>-5</v>
      </c>
      <c r="D853" t="s">
        <v>13</v>
      </c>
      <c r="F853" t="str">
        <f>VLOOKUP(Tabel1[[#This Row],[categorie]],Lijst!A:C,3,FALSE)</f>
        <v>Uitgave</v>
      </c>
      <c r="G853">
        <f t="shared" si="40"/>
        <v>-5</v>
      </c>
      <c r="H853" t="str">
        <f>VLOOKUP(Tabel1[[#This Row],[categorie]],Lijst!A:B,2,FALSE)</f>
        <v>Vast</v>
      </c>
      <c r="I853" t="str">
        <f t="shared" si="41"/>
        <v>OK</v>
      </c>
    </row>
    <row r="854" spans="1:9" hidden="1" x14ac:dyDescent="0.3">
      <c r="A854" s="2">
        <v>45769</v>
      </c>
      <c r="B854" t="str">
        <f t="shared" si="39"/>
        <v xml:space="preserve">april </v>
      </c>
      <c r="C854">
        <v>-81.8</v>
      </c>
      <c r="D854" t="s">
        <v>64</v>
      </c>
      <c r="F854" t="str">
        <f>VLOOKUP(Tabel1[[#This Row],[categorie]],Lijst!A:C,3,FALSE)</f>
        <v>Uitgave</v>
      </c>
      <c r="G854">
        <f t="shared" si="40"/>
        <v>-81.8</v>
      </c>
      <c r="H854" t="str">
        <f>VLOOKUP(Tabel1[[#This Row],[categorie]],Lijst!A:B,2,FALSE)</f>
        <v>Variabel</v>
      </c>
      <c r="I854" t="str">
        <f t="shared" si="41"/>
        <v>OK</v>
      </c>
    </row>
    <row r="855" spans="1:9" hidden="1" x14ac:dyDescent="0.3">
      <c r="A855" s="2">
        <v>45769</v>
      </c>
      <c r="B855" t="str">
        <f t="shared" si="39"/>
        <v xml:space="preserve">april </v>
      </c>
      <c r="C855">
        <v>-8.7899999999999991</v>
      </c>
      <c r="D855" t="s">
        <v>3</v>
      </c>
      <c r="F855" t="str">
        <f>VLOOKUP(Tabel1[[#This Row],[categorie]],Lijst!A:C,3,FALSE)</f>
        <v>Uitgave</v>
      </c>
      <c r="G855">
        <f t="shared" si="40"/>
        <v>-8.7899999999999991</v>
      </c>
      <c r="H855" t="str">
        <f>VLOOKUP(Tabel1[[#This Row],[categorie]],Lijst!A:B,2,FALSE)</f>
        <v>Vast</v>
      </c>
      <c r="I855" t="str">
        <f t="shared" si="41"/>
        <v>OK</v>
      </c>
    </row>
    <row r="856" spans="1:9" hidden="1" x14ac:dyDescent="0.3">
      <c r="A856" s="2">
        <v>45769</v>
      </c>
      <c r="B856" t="str">
        <f t="shared" si="39"/>
        <v xml:space="preserve">april </v>
      </c>
      <c r="C856">
        <v>-6.88</v>
      </c>
      <c r="D856" t="s">
        <v>3</v>
      </c>
      <c r="F856" t="s">
        <v>18</v>
      </c>
      <c r="G856">
        <f t="shared" si="40"/>
        <v>-6.88</v>
      </c>
      <c r="H856" t="str">
        <f>VLOOKUP(Tabel1[[#This Row],[categorie]],Lijst!A:B,2,FALSE)</f>
        <v>Vast</v>
      </c>
      <c r="I856" t="str">
        <f t="shared" si="41"/>
        <v>OK</v>
      </c>
    </row>
    <row r="857" spans="1:9" hidden="1" x14ac:dyDescent="0.3">
      <c r="A857" s="2">
        <v>45769</v>
      </c>
      <c r="B857" t="str">
        <f t="shared" si="39"/>
        <v xml:space="preserve">april </v>
      </c>
      <c r="C857">
        <v>-6.79</v>
      </c>
      <c r="D857" t="s">
        <v>3</v>
      </c>
      <c r="F857" t="s">
        <v>18</v>
      </c>
      <c r="G857">
        <f t="shared" si="40"/>
        <v>-6.79</v>
      </c>
      <c r="H857" t="str">
        <f>VLOOKUP(Tabel1[[#This Row],[categorie]],Lijst!A:B,2,FALSE)</f>
        <v>Vast</v>
      </c>
      <c r="I857" t="str">
        <f t="shared" si="41"/>
        <v>OK</v>
      </c>
    </row>
    <row r="858" spans="1:9" hidden="1" x14ac:dyDescent="0.3">
      <c r="A858" s="2">
        <v>45769</v>
      </c>
      <c r="B858" t="str">
        <f t="shared" si="39"/>
        <v xml:space="preserve">april </v>
      </c>
      <c r="C858">
        <v>-24.07</v>
      </c>
      <c r="D858" t="s">
        <v>3</v>
      </c>
      <c r="F858" t="s">
        <v>18</v>
      </c>
      <c r="G858">
        <f t="shared" si="40"/>
        <v>-24.07</v>
      </c>
      <c r="H858" t="str">
        <f>VLOOKUP(Tabel1[[#This Row],[categorie]],Lijst!A:B,2,FALSE)</f>
        <v>Vast</v>
      </c>
      <c r="I858" t="str">
        <f t="shared" si="41"/>
        <v>OK</v>
      </c>
    </row>
    <row r="859" spans="1:9" hidden="1" x14ac:dyDescent="0.3">
      <c r="A859" s="2">
        <v>45769</v>
      </c>
      <c r="B859" t="str">
        <f t="shared" si="39"/>
        <v xml:space="preserve">april </v>
      </c>
      <c r="C859">
        <v>-3.4</v>
      </c>
      <c r="D859" t="s">
        <v>13</v>
      </c>
      <c r="F859" t="str">
        <f>VLOOKUP(Tabel1[[#This Row],[categorie]],Lijst!A:C,3,FALSE)</f>
        <v>Uitgave</v>
      </c>
      <c r="G859">
        <f t="shared" si="40"/>
        <v>-3.4</v>
      </c>
      <c r="H859" t="str">
        <f>VLOOKUP(Tabel1[[#This Row],[categorie]],Lijst!A:B,2,FALSE)</f>
        <v>Vast</v>
      </c>
      <c r="I859" t="str">
        <f t="shared" si="41"/>
        <v>OK</v>
      </c>
    </row>
    <row r="860" spans="1:9" hidden="1" x14ac:dyDescent="0.3">
      <c r="A860" s="2">
        <v>45769</v>
      </c>
      <c r="B860" t="str">
        <f t="shared" si="39"/>
        <v xml:space="preserve">april </v>
      </c>
      <c r="C860">
        <v>-99.1</v>
      </c>
      <c r="D860" t="s">
        <v>14</v>
      </c>
      <c r="F860" t="str">
        <f>VLOOKUP(Tabel1[[#This Row],[categorie]],Lijst!A:C,3,FALSE)</f>
        <v>Uitgave</v>
      </c>
      <c r="G860">
        <f t="shared" si="40"/>
        <v>-99.1</v>
      </c>
      <c r="H860" t="str">
        <f>VLOOKUP(Tabel1[[#This Row],[categorie]],Lijst!A:B,2,FALSE)</f>
        <v>Variabel</v>
      </c>
      <c r="I860" t="str">
        <f t="shared" si="41"/>
        <v>OK</v>
      </c>
    </row>
    <row r="861" spans="1:9" hidden="1" x14ac:dyDescent="0.3">
      <c r="A861" s="2">
        <v>45769</v>
      </c>
      <c r="B861" t="str">
        <f t="shared" si="39"/>
        <v xml:space="preserve">april </v>
      </c>
      <c r="C861">
        <v>-48.28</v>
      </c>
      <c r="D861" t="s">
        <v>3</v>
      </c>
      <c r="F861" t="str">
        <f>VLOOKUP(Tabel1[[#This Row],[categorie]],Lijst!A:C,3,FALSE)</f>
        <v>Uitgave</v>
      </c>
      <c r="G861">
        <f t="shared" si="40"/>
        <v>-48.28</v>
      </c>
      <c r="H861" t="str">
        <f>VLOOKUP(Tabel1[[#This Row],[categorie]],Lijst!A:B,2,FALSE)</f>
        <v>Vast</v>
      </c>
      <c r="I861" t="str">
        <f t="shared" si="41"/>
        <v>OK</v>
      </c>
    </row>
    <row r="862" spans="1:9" hidden="1" x14ac:dyDescent="0.3">
      <c r="A862" s="2">
        <v>45769</v>
      </c>
      <c r="B862" t="str">
        <f t="shared" si="39"/>
        <v xml:space="preserve">april </v>
      </c>
      <c r="C862">
        <v>-5</v>
      </c>
      <c r="D862" t="s">
        <v>22</v>
      </c>
      <c r="F862" t="str">
        <f>VLOOKUP(Tabel1[[#This Row],[categorie]],Lijst!A:C,3,FALSE)</f>
        <v>Uitgave</v>
      </c>
      <c r="G862">
        <f t="shared" si="40"/>
        <v>-5</v>
      </c>
      <c r="H862" t="str">
        <f>VLOOKUP(Tabel1[[#This Row],[categorie]],Lijst!A:B,2,FALSE)</f>
        <v>Variabel</v>
      </c>
      <c r="I862" t="str">
        <f t="shared" si="41"/>
        <v>OK</v>
      </c>
    </row>
    <row r="863" spans="1:9" hidden="1" x14ac:dyDescent="0.3">
      <c r="A863" s="2">
        <v>45769</v>
      </c>
      <c r="B863" t="str">
        <f t="shared" si="39"/>
        <v xml:space="preserve">april </v>
      </c>
      <c r="C863">
        <v>-5</v>
      </c>
      <c r="D863" t="s">
        <v>22</v>
      </c>
      <c r="F863" t="str">
        <f>VLOOKUP(Tabel1[[#This Row],[categorie]],Lijst!A:C,3,FALSE)</f>
        <v>Uitgave</v>
      </c>
      <c r="G863">
        <f t="shared" si="40"/>
        <v>-5</v>
      </c>
      <c r="H863" t="str">
        <f>VLOOKUP(Tabel1[[#This Row],[categorie]],Lijst!A:B,2,FALSE)</f>
        <v>Variabel</v>
      </c>
      <c r="I863" t="str">
        <f t="shared" si="41"/>
        <v>OK</v>
      </c>
    </row>
    <row r="864" spans="1:9" hidden="1" x14ac:dyDescent="0.3">
      <c r="A864" s="2">
        <v>45769</v>
      </c>
      <c r="B864" t="str">
        <f t="shared" si="39"/>
        <v xml:space="preserve">april </v>
      </c>
      <c r="C864">
        <v>-2.69</v>
      </c>
      <c r="D864" t="s">
        <v>3</v>
      </c>
      <c r="F864" t="s">
        <v>18</v>
      </c>
      <c r="G864">
        <f t="shared" si="40"/>
        <v>-2.69</v>
      </c>
      <c r="H864" t="str">
        <f>VLOOKUP(Tabel1[[#This Row],[categorie]],Lijst!A:B,2,FALSE)</f>
        <v>Vast</v>
      </c>
      <c r="I864" t="str">
        <f t="shared" si="41"/>
        <v>OK</v>
      </c>
    </row>
    <row r="865" spans="1:9" hidden="1" x14ac:dyDescent="0.3">
      <c r="A865" s="2">
        <v>45769</v>
      </c>
      <c r="B865" t="str">
        <f t="shared" si="39"/>
        <v xml:space="preserve">april </v>
      </c>
      <c r="C865">
        <v>-16.98</v>
      </c>
      <c r="D865" t="s">
        <v>21</v>
      </c>
      <c r="F865" t="str">
        <f>VLOOKUP(Tabel1[[#This Row],[categorie]],Lijst!A:C,3,FALSE)</f>
        <v>Uitgave</v>
      </c>
      <c r="G865">
        <f t="shared" si="40"/>
        <v>-16.98</v>
      </c>
      <c r="H865" t="str">
        <f>VLOOKUP(Tabel1[[#This Row],[categorie]],Lijst!A:B,2,FALSE)</f>
        <v>Variabel</v>
      </c>
      <c r="I865" t="str">
        <f t="shared" si="41"/>
        <v>OK</v>
      </c>
    </row>
    <row r="866" spans="1:9" hidden="1" x14ac:dyDescent="0.3">
      <c r="A866" s="2">
        <v>45769</v>
      </c>
      <c r="B866" t="str">
        <f t="shared" si="39"/>
        <v xml:space="preserve">april </v>
      </c>
      <c r="C866">
        <v>-5.99</v>
      </c>
      <c r="D866" t="s">
        <v>21</v>
      </c>
      <c r="F866" t="str">
        <f>VLOOKUP(Tabel1[[#This Row],[categorie]],Lijst!A:C,3,FALSE)</f>
        <v>Uitgave</v>
      </c>
      <c r="G866">
        <f t="shared" si="40"/>
        <v>-5.99</v>
      </c>
      <c r="H866" t="str">
        <f>VLOOKUP(Tabel1[[#This Row],[categorie]],Lijst!A:B,2,FALSE)</f>
        <v>Variabel</v>
      </c>
      <c r="I866" t="str">
        <f t="shared" si="41"/>
        <v>OK</v>
      </c>
    </row>
    <row r="867" spans="1:9" hidden="1" x14ac:dyDescent="0.3">
      <c r="A867" s="2">
        <v>45769</v>
      </c>
      <c r="B867" t="str">
        <f t="shared" ref="B867:B930" si="42">TEXT(A867,"mmmm ")</f>
        <v xml:space="preserve">april </v>
      </c>
      <c r="C867">
        <v>8</v>
      </c>
      <c r="D867" t="s">
        <v>75</v>
      </c>
      <c r="F867" t="s">
        <v>65</v>
      </c>
      <c r="G867">
        <f t="shared" ref="G867:G930" si="43">IF(F867="Uitgave", -ABS(C867), ABS(C867))</f>
        <v>8</v>
      </c>
      <c r="H867" t="str">
        <f>VLOOKUP(Tabel1[[#This Row],[categorie]],Lijst!A:B,2,FALSE)</f>
        <v>Variabel</v>
      </c>
      <c r="I867" t="str">
        <f t="shared" ref="I867:I930" si="44">IF(OR(AND(F867="Uitgave", C867&lt;0), AND(F867="Inkomst", C867&gt;0)), "OK", "FOUT")</f>
        <v>OK</v>
      </c>
    </row>
    <row r="868" spans="1:9" hidden="1" x14ac:dyDescent="0.3">
      <c r="A868" s="2">
        <v>45769</v>
      </c>
      <c r="B868" t="str">
        <f t="shared" si="42"/>
        <v xml:space="preserve">april </v>
      </c>
      <c r="C868">
        <v>-33.549999999999997</v>
      </c>
      <c r="D868" t="s">
        <v>50</v>
      </c>
      <c r="F868" t="str">
        <f>VLOOKUP(Tabel1[[#This Row],[categorie]],Lijst!A:C,3,FALSE)</f>
        <v>Uitgave</v>
      </c>
      <c r="G868">
        <f t="shared" si="43"/>
        <v>-33.549999999999997</v>
      </c>
      <c r="H868" t="str">
        <f>VLOOKUP(Tabel1[[#This Row],[categorie]],Lijst!A:B,2,FALSE)</f>
        <v>Vast</v>
      </c>
      <c r="I868" t="str">
        <f t="shared" si="44"/>
        <v>OK</v>
      </c>
    </row>
    <row r="869" spans="1:9" hidden="1" x14ac:dyDescent="0.3">
      <c r="A869" s="2">
        <v>45769</v>
      </c>
      <c r="B869" t="str">
        <f t="shared" si="42"/>
        <v xml:space="preserve">april </v>
      </c>
      <c r="C869">
        <v>-53.29</v>
      </c>
      <c r="D869" t="s">
        <v>28</v>
      </c>
      <c r="F869" t="str">
        <f>VLOOKUP(Tabel1[[#This Row],[categorie]],Lijst!A:C,3,FALSE)</f>
        <v>Uitgave</v>
      </c>
      <c r="G869">
        <f t="shared" si="43"/>
        <v>-53.29</v>
      </c>
      <c r="H869" t="str">
        <f>VLOOKUP(Tabel1[[#This Row],[categorie]],Lijst!A:B,2,FALSE)</f>
        <v>Vast</v>
      </c>
      <c r="I869" t="str">
        <f t="shared" si="44"/>
        <v>OK</v>
      </c>
    </row>
    <row r="870" spans="1:9" hidden="1" x14ac:dyDescent="0.3">
      <c r="A870" s="2">
        <v>45769</v>
      </c>
      <c r="B870" t="str">
        <f t="shared" si="42"/>
        <v xml:space="preserve">april </v>
      </c>
      <c r="C870">
        <v>-29.99</v>
      </c>
      <c r="D870" t="s">
        <v>30</v>
      </c>
      <c r="F870" t="str">
        <f>VLOOKUP(Tabel1[[#This Row],[categorie]],Lijst!A:C,3,FALSE)</f>
        <v>Uitgave</v>
      </c>
      <c r="G870">
        <f t="shared" si="43"/>
        <v>-29.99</v>
      </c>
      <c r="H870" t="str">
        <f>VLOOKUP(Tabel1[[#This Row],[categorie]],Lijst!A:B,2,FALSE)</f>
        <v>Vast</v>
      </c>
      <c r="I870" t="str">
        <f t="shared" si="44"/>
        <v>OK</v>
      </c>
    </row>
    <row r="871" spans="1:9" hidden="1" x14ac:dyDescent="0.3">
      <c r="A871" s="2">
        <v>45770</v>
      </c>
      <c r="B871" t="str">
        <f t="shared" si="42"/>
        <v xml:space="preserve">april </v>
      </c>
      <c r="C871">
        <v>-32.9</v>
      </c>
      <c r="D871" t="s">
        <v>9</v>
      </c>
      <c r="F871" t="s">
        <v>18</v>
      </c>
      <c r="G871">
        <f t="shared" si="43"/>
        <v>-32.9</v>
      </c>
      <c r="H871" t="str">
        <f>VLOOKUP(Tabel1[[#This Row],[categorie]],Lijst!A:B,2,FALSE)</f>
        <v>Variabel</v>
      </c>
      <c r="I871" t="str">
        <f t="shared" si="44"/>
        <v>OK</v>
      </c>
    </row>
    <row r="872" spans="1:9" hidden="1" x14ac:dyDescent="0.3">
      <c r="A872" s="2">
        <v>45770</v>
      </c>
      <c r="B872" t="str">
        <f t="shared" si="42"/>
        <v xml:space="preserve">april </v>
      </c>
      <c r="C872">
        <v>-5.85</v>
      </c>
      <c r="D872" t="s">
        <v>22</v>
      </c>
      <c r="F872" t="str">
        <f>VLOOKUP(Tabel1[[#This Row],[categorie]],Lijst!A:C,3,FALSE)</f>
        <v>Uitgave</v>
      </c>
      <c r="G872">
        <f t="shared" si="43"/>
        <v>-5.85</v>
      </c>
      <c r="H872" t="str">
        <f>VLOOKUP(Tabel1[[#This Row],[categorie]],Lijst!A:B,2,FALSE)</f>
        <v>Variabel</v>
      </c>
      <c r="I872" t="str">
        <f t="shared" si="44"/>
        <v>OK</v>
      </c>
    </row>
    <row r="873" spans="1:9" hidden="1" x14ac:dyDescent="0.3">
      <c r="A873" s="2">
        <v>45770</v>
      </c>
      <c r="B873" t="str">
        <f t="shared" si="42"/>
        <v xml:space="preserve">april </v>
      </c>
      <c r="C873">
        <v>-6.55</v>
      </c>
      <c r="D873" t="s">
        <v>3</v>
      </c>
      <c r="F873" t="str">
        <f>VLOOKUP(Tabel1[[#This Row],[categorie]],Lijst!A:C,3,FALSE)</f>
        <v>Uitgave</v>
      </c>
      <c r="G873">
        <f t="shared" si="43"/>
        <v>-6.55</v>
      </c>
      <c r="H873" t="str">
        <f>VLOOKUP(Tabel1[[#This Row],[categorie]],Lijst!A:B,2,FALSE)</f>
        <v>Vast</v>
      </c>
      <c r="I873" t="str">
        <f t="shared" si="44"/>
        <v>OK</v>
      </c>
    </row>
    <row r="874" spans="1:9" hidden="1" x14ac:dyDescent="0.3">
      <c r="A874" s="2">
        <v>45770</v>
      </c>
      <c r="B874" t="str">
        <f t="shared" si="42"/>
        <v xml:space="preserve">april </v>
      </c>
      <c r="C874">
        <v>-1.5</v>
      </c>
      <c r="D874" t="s">
        <v>26</v>
      </c>
      <c r="F874" t="str">
        <f>VLOOKUP(Tabel1[[#This Row],[categorie]],Lijst!A:C,3,FALSE)</f>
        <v>Uitgave</v>
      </c>
      <c r="G874">
        <f t="shared" si="43"/>
        <v>-1.5</v>
      </c>
      <c r="H874" t="str">
        <f>VLOOKUP(Tabel1[[#This Row],[categorie]],Lijst!A:B,2,FALSE)</f>
        <v>Variabel</v>
      </c>
      <c r="I874" t="str">
        <f t="shared" si="44"/>
        <v>OK</v>
      </c>
    </row>
    <row r="875" spans="1:9" hidden="1" x14ac:dyDescent="0.3">
      <c r="A875" s="2">
        <v>45770</v>
      </c>
      <c r="B875" t="str">
        <f t="shared" si="42"/>
        <v xml:space="preserve">april </v>
      </c>
      <c r="C875">
        <v>-3.7</v>
      </c>
      <c r="D875" t="s">
        <v>3</v>
      </c>
      <c r="F875" t="str">
        <f>VLOOKUP(Tabel1[[#This Row],[categorie]],Lijst!A:C,3,FALSE)</f>
        <v>Uitgave</v>
      </c>
      <c r="G875">
        <f t="shared" si="43"/>
        <v>-3.7</v>
      </c>
      <c r="H875" t="str">
        <f>VLOOKUP(Tabel1[[#This Row],[categorie]],Lijst!A:B,2,FALSE)</f>
        <v>Vast</v>
      </c>
      <c r="I875" t="str">
        <f t="shared" si="44"/>
        <v>OK</v>
      </c>
    </row>
    <row r="876" spans="1:9" hidden="1" x14ac:dyDescent="0.3">
      <c r="A876" s="2">
        <v>45770</v>
      </c>
      <c r="B876" t="str">
        <f t="shared" si="42"/>
        <v xml:space="preserve">april </v>
      </c>
      <c r="C876">
        <v>-11.24</v>
      </c>
      <c r="D876" t="s">
        <v>3</v>
      </c>
      <c r="F876" t="s">
        <v>18</v>
      </c>
      <c r="G876">
        <f t="shared" si="43"/>
        <v>-11.24</v>
      </c>
      <c r="H876" t="str">
        <f>VLOOKUP(Tabel1[[#This Row],[categorie]],Lijst!A:B,2,FALSE)</f>
        <v>Vast</v>
      </c>
      <c r="I876" t="str">
        <f t="shared" si="44"/>
        <v>OK</v>
      </c>
    </row>
    <row r="877" spans="1:9" hidden="1" x14ac:dyDescent="0.3">
      <c r="A877" s="2">
        <v>45770</v>
      </c>
      <c r="B877" t="str">
        <f t="shared" si="42"/>
        <v xml:space="preserve">april </v>
      </c>
      <c r="C877">
        <v>-14.42</v>
      </c>
      <c r="D877" t="s">
        <v>3</v>
      </c>
      <c r="F877" t="s">
        <v>18</v>
      </c>
      <c r="G877">
        <f t="shared" si="43"/>
        <v>-14.42</v>
      </c>
      <c r="H877" t="str">
        <f>VLOOKUP(Tabel1[[#This Row],[categorie]],Lijst!A:B,2,FALSE)</f>
        <v>Vast</v>
      </c>
      <c r="I877" t="str">
        <f t="shared" si="44"/>
        <v>OK</v>
      </c>
    </row>
    <row r="878" spans="1:9" hidden="1" x14ac:dyDescent="0.3">
      <c r="A878" s="2">
        <v>45770</v>
      </c>
      <c r="B878" t="str">
        <f t="shared" si="42"/>
        <v xml:space="preserve">april </v>
      </c>
      <c r="C878">
        <v>7</v>
      </c>
      <c r="D878" t="s">
        <v>25</v>
      </c>
      <c r="F878" t="s">
        <v>65</v>
      </c>
      <c r="G878">
        <f t="shared" si="43"/>
        <v>7</v>
      </c>
      <c r="H878" t="str">
        <f>VLOOKUP(Tabel1[[#This Row],[categorie]],Lijst!A:B,2,FALSE)</f>
        <v>Variabel</v>
      </c>
      <c r="I878" t="str">
        <f t="shared" si="44"/>
        <v>OK</v>
      </c>
    </row>
    <row r="879" spans="1:9" hidden="1" x14ac:dyDescent="0.3">
      <c r="A879" s="2">
        <v>45771</v>
      </c>
      <c r="B879" t="str">
        <f t="shared" si="42"/>
        <v xml:space="preserve">april </v>
      </c>
      <c r="C879">
        <v>-1.5</v>
      </c>
      <c r="D879" t="s">
        <v>26</v>
      </c>
      <c r="F879" t="str">
        <f>VLOOKUP(Tabel1[[#This Row],[categorie]],Lijst!A:C,3,FALSE)</f>
        <v>Uitgave</v>
      </c>
      <c r="G879">
        <f t="shared" si="43"/>
        <v>-1.5</v>
      </c>
      <c r="H879" t="str">
        <f>VLOOKUP(Tabel1[[#This Row],[categorie]],Lijst!A:B,2,FALSE)</f>
        <v>Variabel</v>
      </c>
      <c r="I879" t="str">
        <f t="shared" si="44"/>
        <v>OK</v>
      </c>
    </row>
    <row r="880" spans="1:9" hidden="1" x14ac:dyDescent="0.3">
      <c r="A880" s="2">
        <v>45771</v>
      </c>
      <c r="B880" t="str">
        <f t="shared" si="42"/>
        <v xml:space="preserve">april </v>
      </c>
      <c r="C880">
        <v>-1.5</v>
      </c>
      <c r="D880" t="s">
        <v>26</v>
      </c>
      <c r="F880" t="str">
        <f>VLOOKUP(Tabel1[[#This Row],[categorie]],Lijst!A:C,3,FALSE)</f>
        <v>Uitgave</v>
      </c>
      <c r="G880">
        <f t="shared" si="43"/>
        <v>-1.5</v>
      </c>
      <c r="H880" t="str">
        <f>VLOOKUP(Tabel1[[#This Row],[categorie]],Lijst!A:B,2,FALSE)</f>
        <v>Variabel</v>
      </c>
      <c r="I880" t="str">
        <f t="shared" si="44"/>
        <v>OK</v>
      </c>
    </row>
    <row r="881" spans="1:9" hidden="1" x14ac:dyDescent="0.3">
      <c r="A881" s="2">
        <v>45771</v>
      </c>
      <c r="B881" t="str">
        <f t="shared" si="42"/>
        <v xml:space="preserve">april </v>
      </c>
      <c r="C881">
        <v>-12.84</v>
      </c>
      <c r="D881" t="s">
        <v>3</v>
      </c>
      <c r="F881" t="s">
        <v>18</v>
      </c>
      <c r="G881">
        <f t="shared" si="43"/>
        <v>-12.84</v>
      </c>
      <c r="H881" t="str">
        <f>VLOOKUP(Tabel1[[#This Row],[categorie]],Lijst!A:B,2,FALSE)</f>
        <v>Vast</v>
      </c>
      <c r="I881" t="str">
        <f t="shared" si="44"/>
        <v>OK</v>
      </c>
    </row>
    <row r="882" spans="1:9" hidden="1" x14ac:dyDescent="0.3">
      <c r="A882" s="2">
        <v>45772</v>
      </c>
      <c r="B882" t="str">
        <f t="shared" si="42"/>
        <v xml:space="preserve">april </v>
      </c>
      <c r="C882">
        <v>-4</v>
      </c>
      <c r="D882" t="s">
        <v>82</v>
      </c>
      <c r="F882" t="s">
        <v>18</v>
      </c>
      <c r="G882">
        <f t="shared" si="43"/>
        <v>-4</v>
      </c>
      <c r="H882" t="str">
        <f>VLOOKUP(Tabel1[[#This Row],[categorie]],Lijst!A:B,2,FALSE)</f>
        <v>Vast</v>
      </c>
      <c r="I882" t="str">
        <f t="shared" si="44"/>
        <v>OK</v>
      </c>
    </row>
    <row r="883" spans="1:9" hidden="1" x14ac:dyDescent="0.3">
      <c r="A883" s="2">
        <v>45772</v>
      </c>
      <c r="B883" t="str">
        <f t="shared" si="42"/>
        <v xml:space="preserve">april </v>
      </c>
      <c r="C883">
        <v>-4.0999999999999996</v>
      </c>
      <c r="D883" t="s">
        <v>3</v>
      </c>
      <c r="F883" t="str">
        <f>VLOOKUP(Tabel1[[#This Row],[categorie]],Lijst!A:C,3,FALSE)</f>
        <v>Uitgave</v>
      </c>
      <c r="G883">
        <f t="shared" si="43"/>
        <v>-4.0999999999999996</v>
      </c>
      <c r="H883" t="str">
        <f>VLOOKUP(Tabel1[[#This Row],[categorie]],Lijst!A:B,2,FALSE)</f>
        <v>Vast</v>
      </c>
      <c r="I883" t="str">
        <f t="shared" si="44"/>
        <v>OK</v>
      </c>
    </row>
    <row r="884" spans="1:9" hidden="1" x14ac:dyDescent="0.3">
      <c r="A884" s="2">
        <v>45772</v>
      </c>
      <c r="B884" t="str">
        <f t="shared" si="42"/>
        <v xml:space="preserve">april </v>
      </c>
      <c r="C884">
        <v>-1.5</v>
      </c>
      <c r="D884" t="s">
        <v>26</v>
      </c>
      <c r="F884" t="str">
        <f>VLOOKUP(Tabel1[[#This Row],[categorie]],Lijst!A:C,3,FALSE)</f>
        <v>Uitgave</v>
      </c>
      <c r="G884">
        <f t="shared" si="43"/>
        <v>-1.5</v>
      </c>
      <c r="H884" t="str">
        <f>VLOOKUP(Tabel1[[#This Row],[categorie]],Lijst!A:B,2,FALSE)</f>
        <v>Variabel</v>
      </c>
      <c r="I884" t="str">
        <f t="shared" si="44"/>
        <v>OK</v>
      </c>
    </row>
    <row r="885" spans="1:9" hidden="1" x14ac:dyDescent="0.3">
      <c r="A885" s="2">
        <v>45772</v>
      </c>
      <c r="B885" t="str">
        <f t="shared" si="42"/>
        <v xml:space="preserve">april </v>
      </c>
      <c r="C885">
        <v>-1.1000000000000001</v>
      </c>
      <c r="D885" t="s">
        <v>26</v>
      </c>
      <c r="F885" t="str">
        <f>VLOOKUP(Tabel1[[#This Row],[categorie]],Lijst!A:C,3,FALSE)</f>
        <v>Uitgave</v>
      </c>
      <c r="G885">
        <f t="shared" si="43"/>
        <v>-1.1000000000000001</v>
      </c>
      <c r="H885" t="str">
        <f>VLOOKUP(Tabel1[[#This Row],[categorie]],Lijst!A:B,2,FALSE)</f>
        <v>Variabel</v>
      </c>
      <c r="I885" t="str">
        <f t="shared" si="44"/>
        <v>OK</v>
      </c>
    </row>
    <row r="886" spans="1:9" hidden="1" x14ac:dyDescent="0.3">
      <c r="A886" s="2">
        <v>45772</v>
      </c>
      <c r="B886" t="str">
        <f t="shared" si="42"/>
        <v xml:space="preserve">april </v>
      </c>
      <c r="C886">
        <v>-18.91</v>
      </c>
      <c r="D886" t="s">
        <v>3</v>
      </c>
      <c r="F886" t="s">
        <v>18</v>
      </c>
      <c r="G886">
        <f t="shared" si="43"/>
        <v>-18.91</v>
      </c>
      <c r="H886" t="str">
        <f>VLOOKUP(Tabel1[[#This Row],[categorie]],Lijst!A:B,2,FALSE)</f>
        <v>Vast</v>
      </c>
      <c r="I886" t="str">
        <f t="shared" si="44"/>
        <v>OK</v>
      </c>
    </row>
    <row r="887" spans="1:9" hidden="1" x14ac:dyDescent="0.3">
      <c r="A887" s="2">
        <v>45772</v>
      </c>
      <c r="B887" t="str">
        <f t="shared" si="42"/>
        <v xml:space="preserve">april </v>
      </c>
      <c r="C887">
        <v>-30.99</v>
      </c>
      <c r="D887" t="s">
        <v>45</v>
      </c>
      <c r="F887" t="str">
        <f>VLOOKUP(Tabel1[[#This Row],[categorie]],Lijst!A:C,3,FALSE)</f>
        <v>Uitgave</v>
      </c>
      <c r="G887">
        <f t="shared" si="43"/>
        <v>-30.99</v>
      </c>
      <c r="H887" t="str">
        <f>VLOOKUP(Tabel1[[#This Row],[categorie]],Lijst!A:B,2,FALSE)</f>
        <v>Variabel</v>
      </c>
      <c r="I887" t="str">
        <f t="shared" si="44"/>
        <v>OK</v>
      </c>
    </row>
    <row r="888" spans="1:9" hidden="1" x14ac:dyDescent="0.3">
      <c r="A888" s="2">
        <v>45772</v>
      </c>
      <c r="B888" t="str">
        <f t="shared" si="42"/>
        <v xml:space="preserve">april </v>
      </c>
      <c r="C888">
        <v>-113.49</v>
      </c>
      <c r="D888" t="s">
        <v>28</v>
      </c>
      <c r="F888" t="str">
        <f>VLOOKUP(Tabel1[[#This Row],[categorie]],Lijst!A:C,3,FALSE)</f>
        <v>Uitgave</v>
      </c>
      <c r="G888">
        <f t="shared" si="43"/>
        <v>-113.49</v>
      </c>
      <c r="H888" t="str">
        <f>VLOOKUP(Tabel1[[#This Row],[categorie]],Lijst!A:B,2,FALSE)</f>
        <v>Vast</v>
      </c>
      <c r="I888" t="str">
        <f t="shared" si="44"/>
        <v>OK</v>
      </c>
    </row>
    <row r="889" spans="1:9" hidden="1" x14ac:dyDescent="0.3">
      <c r="A889" s="2">
        <v>45773</v>
      </c>
      <c r="B889" t="str">
        <f t="shared" si="42"/>
        <v xml:space="preserve">april </v>
      </c>
      <c r="C889">
        <v>-10</v>
      </c>
      <c r="D889" t="s">
        <v>21</v>
      </c>
      <c r="F889" t="str">
        <f>VLOOKUP(Tabel1[[#This Row],[categorie]],Lijst!A:C,3,FALSE)</f>
        <v>Uitgave</v>
      </c>
      <c r="G889">
        <f t="shared" si="43"/>
        <v>-10</v>
      </c>
      <c r="H889" t="str">
        <f>VLOOKUP(Tabel1[[#This Row],[categorie]],Lijst!A:B,2,FALSE)</f>
        <v>Variabel</v>
      </c>
      <c r="I889" t="str">
        <f t="shared" si="44"/>
        <v>OK</v>
      </c>
    </row>
    <row r="890" spans="1:9" hidden="1" x14ac:dyDescent="0.3">
      <c r="A890" s="2">
        <v>45773</v>
      </c>
      <c r="B890" t="str">
        <f t="shared" si="42"/>
        <v xml:space="preserve">april </v>
      </c>
      <c r="C890">
        <v>-25</v>
      </c>
      <c r="D890" t="s">
        <v>43</v>
      </c>
      <c r="F890" t="str">
        <f>VLOOKUP(Tabel1[[#This Row],[categorie]],Lijst!A:C,3,FALSE)</f>
        <v>Uitgave</v>
      </c>
      <c r="G890">
        <f t="shared" si="43"/>
        <v>-25</v>
      </c>
      <c r="H890" t="str">
        <f>VLOOKUP(Tabel1[[#This Row],[categorie]],Lijst!A:B,2,FALSE)</f>
        <v>Vast</v>
      </c>
      <c r="I890" t="str">
        <f t="shared" si="44"/>
        <v>OK</v>
      </c>
    </row>
    <row r="891" spans="1:9" hidden="1" x14ac:dyDescent="0.3">
      <c r="A891" s="2">
        <v>45774</v>
      </c>
      <c r="B891" t="str">
        <f t="shared" si="42"/>
        <v xml:space="preserve">april </v>
      </c>
      <c r="C891">
        <v>-21.78</v>
      </c>
      <c r="D891" t="s">
        <v>48</v>
      </c>
      <c r="F891" t="s">
        <v>18</v>
      </c>
      <c r="G891">
        <f t="shared" si="43"/>
        <v>-21.78</v>
      </c>
      <c r="H891" t="str">
        <f>VLOOKUP(Tabel1[[#This Row],[categorie]],Lijst!A:B,2,FALSE)</f>
        <v>Variabel</v>
      </c>
      <c r="I891" t="str">
        <f t="shared" si="44"/>
        <v>OK</v>
      </c>
    </row>
    <row r="892" spans="1:9" hidden="1" x14ac:dyDescent="0.3">
      <c r="A892" s="2">
        <v>45774</v>
      </c>
      <c r="B892" t="str">
        <f t="shared" si="42"/>
        <v xml:space="preserve">april </v>
      </c>
      <c r="C892">
        <v>-16.2</v>
      </c>
      <c r="D892" t="s">
        <v>9</v>
      </c>
      <c r="F892" t="s">
        <v>18</v>
      </c>
      <c r="G892">
        <f t="shared" si="43"/>
        <v>-16.2</v>
      </c>
      <c r="H892" t="str">
        <f>VLOOKUP(Tabel1[[#This Row],[categorie]],Lijst!A:B,2,FALSE)</f>
        <v>Variabel</v>
      </c>
      <c r="I892" t="str">
        <f t="shared" si="44"/>
        <v>OK</v>
      </c>
    </row>
    <row r="893" spans="1:9" hidden="1" x14ac:dyDescent="0.3">
      <c r="A893" s="2">
        <v>45774</v>
      </c>
      <c r="B893" t="str">
        <f t="shared" si="42"/>
        <v xml:space="preserve">april </v>
      </c>
      <c r="C893">
        <v>-6.4</v>
      </c>
      <c r="D893" t="s">
        <v>9</v>
      </c>
      <c r="F893" t="s">
        <v>18</v>
      </c>
      <c r="G893">
        <f t="shared" si="43"/>
        <v>-6.4</v>
      </c>
      <c r="H893" t="str">
        <f>VLOOKUP(Tabel1[[#This Row],[categorie]],Lijst!A:B,2,FALSE)</f>
        <v>Variabel</v>
      </c>
      <c r="I893" t="str">
        <f t="shared" si="44"/>
        <v>OK</v>
      </c>
    </row>
    <row r="894" spans="1:9" hidden="1" x14ac:dyDescent="0.3">
      <c r="A894" s="2">
        <v>45775</v>
      </c>
      <c r="B894" t="str">
        <f t="shared" si="42"/>
        <v xml:space="preserve">april </v>
      </c>
      <c r="C894">
        <v>-3</v>
      </c>
      <c r="D894" t="s">
        <v>75</v>
      </c>
      <c r="F894" t="s">
        <v>18</v>
      </c>
      <c r="G894">
        <f t="shared" si="43"/>
        <v>-3</v>
      </c>
      <c r="H894" t="str">
        <f>VLOOKUP(Tabel1[[#This Row],[categorie]],Lijst!A:B,2,FALSE)</f>
        <v>Variabel</v>
      </c>
      <c r="I894" t="str">
        <f t="shared" si="44"/>
        <v>OK</v>
      </c>
    </row>
    <row r="895" spans="1:9" hidden="1" x14ac:dyDescent="0.3">
      <c r="A895" s="2">
        <v>45775</v>
      </c>
      <c r="B895" t="str">
        <f t="shared" si="42"/>
        <v xml:space="preserve">april </v>
      </c>
      <c r="C895">
        <v>-28.71</v>
      </c>
      <c r="D895" t="s">
        <v>3</v>
      </c>
      <c r="F895" t="s">
        <v>18</v>
      </c>
      <c r="G895">
        <f t="shared" si="43"/>
        <v>-28.71</v>
      </c>
      <c r="H895" t="str">
        <f>VLOOKUP(Tabel1[[#This Row],[categorie]],Lijst!A:B,2,FALSE)</f>
        <v>Vast</v>
      </c>
      <c r="I895" t="str">
        <f t="shared" si="44"/>
        <v>OK</v>
      </c>
    </row>
    <row r="896" spans="1:9" hidden="1" x14ac:dyDescent="0.3">
      <c r="A896" s="2">
        <v>45775</v>
      </c>
      <c r="B896" t="str">
        <f t="shared" si="42"/>
        <v xml:space="preserve">april </v>
      </c>
      <c r="C896">
        <v>-23.05</v>
      </c>
      <c r="D896" t="s">
        <v>3</v>
      </c>
      <c r="F896" t="s">
        <v>18</v>
      </c>
      <c r="G896">
        <f t="shared" si="43"/>
        <v>-23.05</v>
      </c>
      <c r="H896" t="str">
        <f>VLOOKUP(Tabel1[[#This Row],[categorie]],Lijst!A:B,2,FALSE)</f>
        <v>Vast</v>
      </c>
      <c r="I896" t="str">
        <f t="shared" si="44"/>
        <v>OK</v>
      </c>
    </row>
    <row r="897" spans="1:9" hidden="1" x14ac:dyDescent="0.3">
      <c r="A897" s="2">
        <v>45775</v>
      </c>
      <c r="B897" t="str">
        <f t="shared" si="42"/>
        <v xml:space="preserve">april </v>
      </c>
      <c r="C897">
        <v>-5.25</v>
      </c>
      <c r="D897" t="s">
        <v>3</v>
      </c>
      <c r="F897" t="str">
        <f>VLOOKUP(Tabel1[[#This Row],[categorie]],Lijst!A:C,3,FALSE)</f>
        <v>Uitgave</v>
      </c>
      <c r="G897">
        <f t="shared" si="43"/>
        <v>-5.25</v>
      </c>
      <c r="H897" t="str">
        <f>VLOOKUP(Tabel1[[#This Row],[categorie]],Lijst!A:B,2,FALSE)</f>
        <v>Vast</v>
      </c>
      <c r="I897" t="str">
        <f t="shared" si="44"/>
        <v>OK</v>
      </c>
    </row>
    <row r="898" spans="1:9" hidden="1" x14ac:dyDescent="0.3">
      <c r="A898" s="2">
        <v>45775</v>
      </c>
      <c r="B898" t="str">
        <f t="shared" si="42"/>
        <v xml:space="preserve">april </v>
      </c>
      <c r="C898">
        <v>-17</v>
      </c>
      <c r="D898" t="s">
        <v>3</v>
      </c>
      <c r="F898" t="str">
        <f>VLOOKUP(Tabel1[[#This Row],[categorie]],Lijst!A:C,3,FALSE)</f>
        <v>Uitgave</v>
      </c>
      <c r="G898">
        <f t="shared" si="43"/>
        <v>-17</v>
      </c>
      <c r="H898" t="str">
        <f>VLOOKUP(Tabel1[[#This Row],[categorie]],Lijst!A:B,2,FALSE)</f>
        <v>Vast</v>
      </c>
      <c r="I898" t="str">
        <f t="shared" si="44"/>
        <v>OK</v>
      </c>
    </row>
    <row r="899" spans="1:9" hidden="1" x14ac:dyDescent="0.3">
      <c r="A899" s="2">
        <v>45775</v>
      </c>
      <c r="B899" t="str">
        <f t="shared" si="42"/>
        <v xml:space="preserve">april </v>
      </c>
      <c r="C899">
        <v>-6</v>
      </c>
      <c r="D899" t="s">
        <v>75</v>
      </c>
      <c r="F899" t="s">
        <v>18</v>
      </c>
      <c r="G899">
        <f t="shared" si="43"/>
        <v>-6</v>
      </c>
      <c r="H899" t="str">
        <f>VLOOKUP(Tabel1[[#This Row],[categorie]],Lijst!A:B,2,FALSE)</f>
        <v>Variabel</v>
      </c>
      <c r="I899" t="str">
        <f t="shared" si="44"/>
        <v>OK</v>
      </c>
    </row>
    <row r="900" spans="1:9" hidden="1" x14ac:dyDescent="0.3">
      <c r="A900" s="2">
        <v>45775</v>
      </c>
      <c r="B900" t="str">
        <f t="shared" si="42"/>
        <v xml:space="preserve">april </v>
      </c>
      <c r="C900">
        <v>-3</v>
      </c>
      <c r="D900" t="s">
        <v>22</v>
      </c>
      <c r="F900" t="str">
        <f>VLOOKUP(Tabel1[[#This Row],[categorie]],Lijst!A:C,3,FALSE)</f>
        <v>Uitgave</v>
      </c>
      <c r="G900">
        <f t="shared" si="43"/>
        <v>-3</v>
      </c>
      <c r="H900" t="str">
        <f>VLOOKUP(Tabel1[[#This Row],[categorie]],Lijst!A:B,2,FALSE)</f>
        <v>Variabel</v>
      </c>
      <c r="I900" t="str">
        <f t="shared" si="44"/>
        <v>OK</v>
      </c>
    </row>
    <row r="901" spans="1:9" hidden="1" x14ac:dyDescent="0.3">
      <c r="A901" s="2">
        <v>45775</v>
      </c>
      <c r="B901" t="str">
        <f t="shared" si="42"/>
        <v xml:space="preserve">april </v>
      </c>
      <c r="C901">
        <v>-5</v>
      </c>
      <c r="D901" t="s">
        <v>75</v>
      </c>
      <c r="F901" t="s">
        <v>18</v>
      </c>
      <c r="G901">
        <f t="shared" si="43"/>
        <v>-5</v>
      </c>
      <c r="H901" t="str">
        <f>VLOOKUP(Tabel1[[#This Row],[categorie]],Lijst!A:B,2,FALSE)</f>
        <v>Variabel</v>
      </c>
      <c r="I901" t="str">
        <f t="shared" si="44"/>
        <v>OK</v>
      </c>
    </row>
    <row r="902" spans="1:9" hidden="1" x14ac:dyDescent="0.3">
      <c r="A902" s="2">
        <v>45775</v>
      </c>
      <c r="B902" t="str">
        <f t="shared" si="42"/>
        <v xml:space="preserve">april </v>
      </c>
      <c r="C902">
        <v>-10</v>
      </c>
      <c r="D902" t="s">
        <v>21</v>
      </c>
      <c r="F902" t="str">
        <f>VLOOKUP(Tabel1[[#This Row],[categorie]],Lijst!A:C,3,FALSE)</f>
        <v>Uitgave</v>
      </c>
      <c r="G902">
        <f t="shared" si="43"/>
        <v>-10</v>
      </c>
      <c r="H902" t="str">
        <f>VLOOKUP(Tabel1[[#This Row],[categorie]],Lijst!A:B,2,FALSE)</f>
        <v>Variabel</v>
      </c>
      <c r="I902" t="str">
        <f t="shared" si="44"/>
        <v>OK</v>
      </c>
    </row>
    <row r="903" spans="1:9" hidden="1" x14ac:dyDescent="0.3">
      <c r="A903" s="2">
        <v>45775</v>
      </c>
      <c r="B903" t="str">
        <f t="shared" si="42"/>
        <v xml:space="preserve">april </v>
      </c>
      <c r="C903">
        <v>-8</v>
      </c>
      <c r="D903" t="s">
        <v>21</v>
      </c>
      <c r="F903" t="str">
        <f>VLOOKUP(Tabel1[[#This Row],[categorie]],Lijst!A:C,3,FALSE)</f>
        <v>Uitgave</v>
      </c>
      <c r="G903">
        <f t="shared" si="43"/>
        <v>-8</v>
      </c>
      <c r="H903" t="str">
        <f>VLOOKUP(Tabel1[[#This Row],[categorie]],Lijst!A:B,2,FALSE)</f>
        <v>Variabel</v>
      </c>
      <c r="I903" t="str">
        <f t="shared" si="44"/>
        <v>OK</v>
      </c>
    </row>
    <row r="904" spans="1:9" hidden="1" x14ac:dyDescent="0.3">
      <c r="A904" s="2">
        <v>45775</v>
      </c>
      <c r="B904" t="str">
        <f t="shared" si="42"/>
        <v xml:space="preserve">april </v>
      </c>
      <c r="C904">
        <v>-1.5</v>
      </c>
      <c r="D904" t="s">
        <v>26</v>
      </c>
      <c r="F904" t="str">
        <f>VLOOKUP(Tabel1[[#This Row],[categorie]],Lijst!A:C,3,FALSE)</f>
        <v>Uitgave</v>
      </c>
      <c r="G904">
        <f t="shared" si="43"/>
        <v>-1.5</v>
      </c>
      <c r="H904" t="str">
        <f>VLOOKUP(Tabel1[[#This Row],[categorie]],Lijst!A:B,2,FALSE)</f>
        <v>Variabel</v>
      </c>
      <c r="I904" t="str">
        <f t="shared" si="44"/>
        <v>OK</v>
      </c>
    </row>
    <row r="905" spans="1:9" hidden="1" x14ac:dyDescent="0.3">
      <c r="A905" s="2">
        <v>45775</v>
      </c>
      <c r="B905" t="str">
        <f t="shared" si="42"/>
        <v xml:space="preserve">april </v>
      </c>
      <c r="C905">
        <v>-1.5</v>
      </c>
      <c r="D905" t="s">
        <v>26</v>
      </c>
      <c r="F905" t="str">
        <f>VLOOKUP(Tabel1[[#This Row],[categorie]],Lijst!A:C,3,FALSE)</f>
        <v>Uitgave</v>
      </c>
      <c r="G905">
        <f t="shared" si="43"/>
        <v>-1.5</v>
      </c>
      <c r="H905" t="str">
        <f>VLOOKUP(Tabel1[[#This Row],[categorie]],Lijst!A:B,2,FALSE)</f>
        <v>Variabel</v>
      </c>
      <c r="I905" t="str">
        <f t="shared" si="44"/>
        <v>OK</v>
      </c>
    </row>
    <row r="906" spans="1:9" hidden="1" x14ac:dyDescent="0.3">
      <c r="A906" s="2">
        <v>45775</v>
      </c>
      <c r="B906" t="str">
        <f t="shared" si="42"/>
        <v xml:space="preserve">april </v>
      </c>
      <c r="C906">
        <v>-1.1000000000000001</v>
      </c>
      <c r="D906" t="s">
        <v>26</v>
      </c>
      <c r="F906" t="str">
        <f>VLOOKUP(Tabel1[[#This Row],[categorie]],Lijst!A:C,3,FALSE)</f>
        <v>Uitgave</v>
      </c>
      <c r="G906">
        <f t="shared" si="43"/>
        <v>-1.1000000000000001</v>
      </c>
      <c r="H906" t="str">
        <f>VLOOKUP(Tabel1[[#This Row],[categorie]],Lijst!A:B,2,FALSE)</f>
        <v>Variabel</v>
      </c>
      <c r="I906" t="str">
        <f t="shared" si="44"/>
        <v>OK</v>
      </c>
    </row>
    <row r="907" spans="1:9" hidden="1" x14ac:dyDescent="0.3">
      <c r="A907" s="2">
        <v>45775</v>
      </c>
      <c r="B907" t="str">
        <f t="shared" si="42"/>
        <v xml:space="preserve">april </v>
      </c>
      <c r="C907">
        <v>-1.5</v>
      </c>
      <c r="D907" t="s">
        <v>26</v>
      </c>
      <c r="F907" t="str">
        <f>VLOOKUP(Tabel1[[#This Row],[categorie]],Lijst!A:C,3,FALSE)</f>
        <v>Uitgave</v>
      </c>
      <c r="G907">
        <f t="shared" si="43"/>
        <v>-1.5</v>
      </c>
      <c r="H907" t="str">
        <f>VLOOKUP(Tabel1[[#This Row],[categorie]],Lijst!A:B,2,FALSE)</f>
        <v>Variabel</v>
      </c>
      <c r="I907" t="str">
        <f t="shared" si="44"/>
        <v>OK</v>
      </c>
    </row>
    <row r="908" spans="1:9" hidden="1" x14ac:dyDescent="0.3">
      <c r="A908" s="2">
        <v>45775</v>
      </c>
      <c r="B908" t="str">
        <f t="shared" si="42"/>
        <v xml:space="preserve">april </v>
      </c>
      <c r="C908">
        <v>-8.42</v>
      </c>
      <c r="D908" t="s">
        <v>3</v>
      </c>
      <c r="F908" t="s">
        <v>18</v>
      </c>
      <c r="G908">
        <f t="shared" si="43"/>
        <v>-8.42</v>
      </c>
      <c r="H908" t="str">
        <f>VLOOKUP(Tabel1[[#This Row],[categorie]],Lijst!A:B,2,FALSE)</f>
        <v>Vast</v>
      </c>
      <c r="I908" t="str">
        <f t="shared" si="44"/>
        <v>OK</v>
      </c>
    </row>
    <row r="909" spans="1:9" hidden="1" x14ac:dyDescent="0.3">
      <c r="A909" s="2">
        <v>45775</v>
      </c>
      <c r="B909" t="str">
        <f t="shared" si="42"/>
        <v xml:space="preserve">april </v>
      </c>
      <c r="C909">
        <v>-14.99</v>
      </c>
      <c r="D909" t="s">
        <v>30</v>
      </c>
      <c r="F909" t="str">
        <f>VLOOKUP(Tabel1[[#This Row],[categorie]],Lijst!A:C,3,FALSE)</f>
        <v>Uitgave</v>
      </c>
      <c r="G909">
        <f t="shared" si="43"/>
        <v>-14.99</v>
      </c>
      <c r="H909" t="str">
        <f>VLOOKUP(Tabel1[[#This Row],[categorie]],Lijst!A:B,2,FALSE)</f>
        <v>Vast</v>
      </c>
      <c r="I909" t="str">
        <f t="shared" si="44"/>
        <v>OK</v>
      </c>
    </row>
    <row r="910" spans="1:9" hidden="1" x14ac:dyDescent="0.3">
      <c r="A910" s="2">
        <v>45776</v>
      </c>
      <c r="B910" t="str">
        <f t="shared" si="42"/>
        <v xml:space="preserve">april </v>
      </c>
      <c r="C910">
        <v>-0.9</v>
      </c>
      <c r="D910" t="s">
        <v>26</v>
      </c>
      <c r="F910" t="str">
        <f>VLOOKUP(Tabel1[[#This Row],[categorie]],Lijst!A:C,3,FALSE)</f>
        <v>Uitgave</v>
      </c>
      <c r="G910">
        <f t="shared" si="43"/>
        <v>-0.9</v>
      </c>
      <c r="H910" t="str">
        <f>VLOOKUP(Tabel1[[#This Row],[categorie]],Lijst!A:B,2,FALSE)</f>
        <v>Variabel</v>
      </c>
      <c r="I910" t="str">
        <f t="shared" si="44"/>
        <v>OK</v>
      </c>
    </row>
    <row r="911" spans="1:9" hidden="1" x14ac:dyDescent="0.3">
      <c r="A911" s="2">
        <v>45776</v>
      </c>
      <c r="B911" t="str">
        <f t="shared" si="42"/>
        <v xml:space="preserve">april </v>
      </c>
      <c r="C911">
        <v>-12.9</v>
      </c>
      <c r="D911" t="s">
        <v>3</v>
      </c>
      <c r="F911" t="str">
        <f>VLOOKUP(Tabel1[[#This Row],[categorie]],Lijst!A:C,3,FALSE)</f>
        <v>Uitgave</v>
      </c>
      <c r="G911">
        <f t="shared" si="43"/>
        <v>-12.9</v>
      </c>
      <c r="H911" t="str">
        <f>VLOOKUP(Tabel1[[#This Row],[categorie]],Lijst!A:B,2,FALSE)</f>
        <v>Vast</v>
      </c>
      <c r="I911" t="str">
        <f t="shared" si="44"/>
        <v>OK</v>
      </c>
    </row>
    <row r="912" spans="1:9" hidden="1" x14ac:dyDescent="0.3">
      <c r="A912" s="2">
        <v>45776</v>
      </c>
      <c r="B912" t="str">
        <f t="shared" si="42"/>
        <v xml:space="preserve">april </v>
      </c>
      <c r="C912">
        <v>-1.5</v>
      </c>
      <c r="D912" t="s">
        <v>26</v>
      </c>
      <c r="F912" t="str">
        <f>VLOOKUP(Tabel1[[#This Row],[categorie]],Lijst!A:C,3,FALSE)</f>
        <v>Uitgave</v>
      </c>
      <c r="G912">
        <f t="shared" si="43"/>
        <v>-1.5</v>
      </c>
      <c r="H912" t="str">
        <f>VLOOKUP(Tabel1[[#This Row],[categorie]],Lijst!A:B,2,FALSE)</f>
        <v>Variabel</v>
      </c>
      <c r="I912" t="str">
        <f t="shared" si="44"/>
        <v>OK</v>
      </c>
    </row>
    <row r="913" spans="1:9" hidden="1" x14ac:dyDescent="0.3">
      <c r="A913" s="2">
        <v>45776</v>
      </c>
      <c r="B913" t="str">
        <f t="shared" si="42"/>
        <v xml:space="preserve">april </v>
      </c>
      <c r="C913">
        <v>-19.600000000000001</v>
      </c>
      <c r="D913" t="s">
        <v>3</v>
      </c>
      <c r="F913" t="s">
        <v>18</v>
      </c>
      <c r="G913">
        <f t="shared" si="43"/>
        <v>-19.600000000000001</v>
      </c>
      <c r="H913" t="str">
        <f>VLOOKUP(Tabel1[[#This Row],[categorie]],Lijst!A:B,2,FALSE)</f>
        <v>Vast</v>
      </c>
      <c r="I913" t="str">
        <f t="shared" si="44"/>
        <v>OK</v>
      </c>
    </row>
    <row r="914" spans="1:9" hidden="1" x14ac:dyDescent="0.3">
      <c r="A914" s="2">
        <v>45777</v>
      </c>
      <c r="B914" t="str">
        <f t="shared" si="42"/>
        <v xml:space="preserve">april </v>
      </c>
      <c r="C914">
        <v>-24.2</v>
      </c>
      <c r="D914" t="s">
        <v>82</v>
      </c>
      <c r="F914" t="s">
        <v>18</v>
      </c>
      <c r="G914">
        <f t="shared" si="43"/>
        <v>-24.2</v>
      </c>
      <c r="H914" t="str">
        <f>VLOOKUP(Tabel1[[#This Row],[categorie]],Lijst!A:B,2,FALSE)</f>
        <v>Vast</v>
      </c>
      <c r="I914" t="str">
        <f t="shared" si="44"/>
        <v>OK</v>
      </c>
    </row>
    <row r="915" spans="1:9" hidden="1" x14ac:dyDescent="0.3">
      <c r="A915" s="2">
        <v>45777</v>
      </c>
      <c r="B915" t="str">
        <f t="shared" si="42"/>
        <v xml:space="preserve">april </v>
      </c>
      <c r="C915">
        <v>-1.5</v>
      </c>
      <c r="D915" t="s">
        <v>19</v>
      </c>
      <c r="F915" t="str">
        <f>VLOOKUP(Tabel1[[#This Row],[categorie]],Lijst!A:C,3,FALSE)</f>
        <v>Uitgave</v>
      </c>
      <c r="G915">
        <f t="shared" si="43"/>
        <v>-1.5</v>
      </c>
      <c r="H915" t="str">
        <f>VLOOKUP(Tabel1[[#This Row],[categorie]],Lijst!A:B,2,FALSE)</f>
        <v>Vast</v>
      </c>
      <c r="I915" t="str">
        <f t="shared" si="44"/>
        <v>OK</v>
      </c>
    </row>
    <row r="916" spans="1:9" hidden="1" x14ac:dyDescent="0.3">
      <c r="A916" s="2">
        <v>45777</v>
      </c>
      <c r="B916" t="str">
        <f t="shared" si="42"/>
        <v xml:space="preserve">april </v>
      </c>
      <c r="C916">
        <v>-0.9</v>
      </c>
      <c r="D916" t="s">
        <v>26</v>
      </c>
      <c r="F916" t="str">
        <f>VLOOKUP(Tabel1[[#This Row],[categorie]],Lijst!A:C,3,FALSE)</f>
        <v>Uitgave</v>
      </c>
      <c r="G916">
        <f t="shared" si="43"/>
        <v>-0.9</v>
      </c>
      <c r="H916" t="str">
        <f>VLOOKUP(Tabel1[[#This Row],[categorie]],Lijst!A:B,2,FALSE)</f>
        <v>Variabel</v>
      </c>
      <c r="I916" t="str">
        <f t="shared" si="44"/>
        <v>OK</v>
      </c>
    </row>
    <row r="917" spans="1:9" hidden="1" x14ac:dyDescent="0.3">
      <c r="A917" s="2">
        <v>45777</v>
      </c>
      <c r="B917" t="str">
        <f t="shared" si="42"/>
        <v xml:space="preserve">april </v>
      </c>
      <c r="C917">
        <v>-0.9</v>
      </c>
      <c r="D917" t="s">
        <v>26</v>
      </c>
      <c r="F917" t="str">
        <f>VLOOKUP(Tabel1[[#This Row],[categorie]],Lijst!A:C,3,FALSE)</f>
        <v>Uitgave</v>
      </c>
      <c r="G917">
        <f t="shared" si="43"/>
        <v>-0.9</v>
      </c>
      <c r="H917" t="str">
        <f>VLOOKUP(Tabel1[[#This Row],[categorie]],Lijst!A:B,2,FALSE)</f>
        <v>Variabel</v>
      </c>
      <c r="I917" t="str">
        <f t="shared" si="44"/>
        <v>OK</v>
      </c>
    </row>
    <row r="918" spans="1:9" hidden="1" x14ac:dyDescent="0.3">
      <c r="A918" s="2">
        <v>45777</v>
      </c>
      <c r="B918" t="str">
        <f t="shared" si="42"/>
        <v xml:space="preserve">april </v>
      </c>
      <c r="C918">
        <v>-11.7</v>
      </c>
      <c r="D918" t="s">
        <v>3</v>
      </c>
      <c r="F918" t="str">
        <f>VLOOKUP(Tabel1[[#This Row],[categorie]],Lijst!A:C,3,FALSE)</f>
        <v>Uitgave</v>
      </c>
      <c r="G918">
        <f t="shared" si="43"/>
        <v>-11.7</v>
      </c>
      <c r="H918" t="str">
        <f>VLOOKUP(Tabel1[[#This Row],[categorie]],Lijst!A:B,2,FALSE)</f>
        <v>Vast</v>
      </c>
      <c r="I918" t="str">
        <f t="shared" si="44"/>
        <v>OK</v>
      </c>
    </row>
    <row r="919" spans="1:9" hidden="1" x14ac:dyDescent="0.3">
      <c r="A919" s="2">
        <v>45777</v>
      </c>
      <c r="B919" t="str">
        <f t="shared" si="42"/>
        <v xml:space="preserve">april </v>
      </c>
      <c r="C919">
        <v>-2.7</v>
      </c>
      <c r="D919" t="s">
        <v>35</v>
      </c>
      <c r="F919" t="str">
        <f>VLOOKUP(Tabel1[[#This Row],[categorie]],Lijst!A:C,3,FALSE)</f>
        <v>Uitgave</v>
      </c>
      <c r="G919">
        <f t="shared" si="43"/>
        <v>-2.7</v>
      </c>
      <c r="H919" t="str">
        <f>VLOOKUP(Tabel1[[#This Row],[categorie]],Lijst!A:B,2,FALSE)</f>
        <v>Variabel</v>
      </c>
      <c r="I919" t="str">
        <f t="shared" si="44"/>
        <v>OK</v>
      </c>
    </row>
    <row r="920" spans="1:9" hidden="1" x14ac:dyDescent="0.3">
      <c r="A920" s="2">
        <v>45777</v>
      </c>
      <c r="B920" t="str">
        <f t="shared" si="42"/>
        <v xml:space="preserve">april </v>
      </c>
      <c r="C920">
        <v>-3.69</v>
      </c>
      <c r="D920" t="s">
        <v>63</v>
      </c>
      <c r="F920" t="str">
        <f>VLOOKUP(Tabel1[[#This Row],[categorie]],Lijst!A:C,3,FALSE)</f>
        <v>Uitgave</v>
      </c>
      <c r="G920">
        <f t="shared" si="43"/>
        <v>-3.69</v>
      </c>
      <c r="H920" t="str">
        <f>VLOOKUP(Tabel1[[#This Row],[categorie]],Lijst!A:B,2,FALSE)</f>
        <v>Variabel</v>
      </c>
      <c r="I920" t="str">
        <f t="shared" si="44"/>
        <v>OK</v>
      </c>
    </row>
    <row r="921" spans="1:9" hidden="1" x14ac:dyDescent="0.3">
      <c r="A921" s="2">
        <v>45777</v>
      </c>
      <c r="B921" t="str">
        <f t="shared" si="42"/>
        <v xml:space="preserve">april </v>
      </c>
      <c r="C921">
        <v>-9.5299999999999994</v>
      </c>
      <c r="D921" t="s">
        <v>3</v>
      </c>
      <c r="F921" t="s">
        <v>18</v>
      </c>
      <c r="G921">
        <f t="shared" si="43"/>
        <v>-9.5299999999999994</v>
      </c>
      <c r="H921" t="str">
        <f>VLOOKUP(Tabel1[[#This Row],[categorie]],Lijst!A:B,2,FALSE)</f>
        <v>Vast</v>
      </c>
      <c r="I921" t="str">
        <f t="shared" si="44"/>
        <v>OK</v>
      </c>
    </row>
    <row r="922" spans="1:9" hidden="1" x14ac:dyDescent="0.3">
      <c r="A922" s="2">
        <v>45777</v>
      </c>
      <c r="B922" t="str">
        <f t="shared" si="42"/>
        <v xml:space="preserve">april </v>
      </c>
      <c r="C922">
        <v>-7.38</v>
      </c>
      <c r="D922" t="s">
        <v>3</v>
      </c>
      <c r="F922" t="s">
        <v>18</v>
      </c>
      <c r="G922">
        <f t="shared" si="43"/>
        <v>-7.38</v>
      </c>
      <c r="H922" t="str">
        <f>VLOOKUP(Tabel1[[#This Row],[categorie]],Lijst!A:B,2,FALSE)</f>
        <v>Vast</v>
      </c>
      <c r="I922" t="str">
        <f t="shared" si="44"/>
        <v>OK</v>
      </c>
    </row>
    <row r="923" spans="1:9" hidden="1" x14ac:dyDescent="0.3">
      <c r="A923" s="2">
        <v>45777</v>
      </c>
      <c r="B923" t="str">
        <f t="shared" si="42"/>
        <v xml:space="preserve">april </v>
      </c>
      <c r="C923">
        <v>-35.58</v>
      </c>
      <c r="D923" t="s">
        <v>3</v>
      </c>
      <c r="F923" t="s">
        <v>18</v>
      </c>
      <c r="G923">
        <f t="shared" si="43"/>
        <v>-35.58</v>
      </c>
      <c r="H923" t="str">
        <f>VLOOKUP(Tabel1[[#This Row],[categorie]],Lijst!A:B,2,FALSE)</f>
        <v>Vast</v>
      </c>
      <c r="I923" t="str">
        <f t="shared" si="44"/>
        <v>OK</v>
      </c>
    </row>
    <row r="924" spans="1:9" hidden="1" x14ac:dyDescent="0.3">
      <c r="A924" s="2">
        <v>45777</v>
      </c>
      <c r="B924" t="str">
        <f t="shared" si="42"/>
        <v xml:space="preserve">april </v>
      </c>
      <c r="C924">
        <v>-10.73</v>
      </c>
      <c r="D924" t="s">
        <v>3</v>
      </c>
      <c r="F924" t="s">
        <v>18</v>
      </c>
      <c r="G924">
        <f t="shared" si="43"/>
        <v>-10.73</v>
      </c>
      <c r="H924" t="str">
        <f>VLOOKUP(Tabel1[[#This Row],[categorie]],Lijst!A:B,2,FALSE)</f>
        <v>Vast</v>
      </c>
      <c r="I924" t="str">
        <f t="shared" si="44"/>
        <v>OK</v>
      </c>
    </row>
    <row r="925" spans="1:9" hidden="1" x14ac:dyDescent="0.3">
      <c r="A925" s="2">
        <v>45777</v>
      </c>
      <c r="B925" t="str">
        <f t="shared" si="42"/>
        <v xml:space="preserve">april </v>
      </c>
      <c r="C925">
        <v>-91.08</v>
      </c>
      <c r="D925" t="s">
        <v>75</v>
      </c>
      <c r="F925" t="s">
        <v>18</v>
      </c>
      <c r="G925">
        <f t="shared" si="43"/>
        <v>-91.08</v>
      </c>
      <c r="H925" t="str">
        <f>VLOOKUP(Tabel1[[#This Row],[categorie]],Lijst!A:B,2,FALSE)</f>
        <v>Variabel</v>
      </c>
      <c r="I925" t="str">
        <f t="shared" si="44"/>
        <v>OK</v>
      </c>
    </row>
    <row r="926" spans="1:9" hidden="1" x14ac:dyDescent="0.3">
      <c r="A926" s="2">
        <v>45777</v>
      </c>
      <c r="B926" t="str">
        <f t="shared" si="42"/>
        <v xml:space="preserve">april </v>
      </c>
      <c r="C926">
        <v>-10</v>
      </c>
      <c r="D926" t="s">
        <v>44</v>
      </c>
      <c r="F926" t="str">
        <f>VLOOKUP(Tabel1[[#This Row],[categorie]],Lijst!A:C,3,FALSE)</f>
        <v>Uitgave</v>
      </c>
      <c r="G926">
        <f t="shared" si="43"/>
        <v>-10</v>
      </c>
      <c r="H926" t="str">
        <f>VLOOKUP(Tabel1[[#This Row],[categorie]],Lijst!A:B,2,FALSE)</f>
        <v>Variabel</v>
      </c>
      <c r="I926" t="str">
        <f t="shared" si="44"/>
        <v>OK</v>
      </c>
    </row>
    <row r="927" spans="1:9" hidden="1" x14ac:dyDescent="0.3">
      <c r="A927" s="2">
        <v>45777</v>
      </c>
      <c r="B927" t="str">
        <f t="shared" si="42"/>
        <v xml:space="preserve">april </v>
      </c>
      <c r="C927">
        <v>-66.03</v>
      </c>
      <c r="D927" t="s">
        <v>23</v>
      </c>
      <c r="F927" t="str">
        <f>VLOOKUP(Tabel1[[#This Row],[categorie]],Lijst!A:C,3,FALSE)</f>
        <v>Uitgave</v>
      </c>
      <c r="G927">
        <f t="shared" si="43"/>
        <v>-66.03</v>
      </c>
      <c r="H927" t="str">
        <f>VLOOKUP(Tabel1[[#This Row],[categorie]],Lijst!A:B,2,FALSE)</f>
        <v>Vast</v>
      </c>
      <c r="I927" t="str">
        <f t="shared" si="44"/>
        <v>OK</v>
      </c>
    </row>
    <row r="928" spans="1:9" hidden="1" x14ac:dyDescent="0.3">
      <c r="A928" s="2">
        <v>45777</v>
      </c>
      <c r="B928" t="str">
        <f t="shared" si="42"/>
        <v xml:space="preserve">april </v>
      </c>
      <c r="C928">
        <v>-44.64</v>
      </c>
      <c r="D928" t="str" cm="1">
        <f t="array" ref="D928">IFERROR(
  _xlfn.XLOOKUP(TRUE, ISNUMBER(FIND(Trefwoorden!$A$2:$A$99, E928)), Trefwoorden!$B$2:$B$99),
  "Onbekend"
)</f>
        <v>Hospitalisatie</v>
      </c>
      <c r="E928" t="s">
        <v>133</v>
      </c>
      <c r="F928" t="s">
        <v>18</v>
      </c>
      <c r="G928">
        <f t="shared" si="43"/>
        <v>-44.64</v>
      </c>
      <c r="H928" t="str">
        <f>VLOOKUP(Tabel1[[#This Row],[categorie]],Lijst!A:B,2,FALSE)</f>
        <v>Vast</v>
      </c>
      <c r="I928" t="str">
        <f t="shared" si="44"/>
        <v>OK</v>
      </c>
    </row>
    <row r="929" spans="1:9" hidden="1" x14ac:dyDescent="0.3">
      <c r="A929" s="2">
        <v>45777</v>
      </c>
      <c r="B929" t="str">
        <f t="shared" si="42"/>
        <v xml:space="preserve">april </v>
      </c>
      <c r="C929">
        <v>-586.12</v>
      </c>
      <c r="D929" t="s">
        <v>73</v>
      </c>
      <c r="F929" t="str">
        <f>VLOOKUP(Tabel1[[#This Row],[categorie]],Lijst!A:C,3,FALSE)</f>
        <v>Uitgave</v>
      </c>
      <c r="G929">
        <f t="shared" si="43"/>
        <v>-586.12</v>
      </c>
      <c r="H929" t="str">
        <f>VLOOKUP(Tabel1[[#This Row],[categorie]],Lijst!A:B,2,FALSE)</f>
        <v>Vast</v>
      </c>
      <c r="I929" t="str">
        <f t="shared" si="44"/>
        <v>OK</v>
      </c>
    </row>
    <row r="930" spans="1:9" hidden="1" x14ac:dyDescent="0.3">
      <c r="A930" s="2">
        <v>45778</v>
      </c>
      <c r="B930" t="str">
        <f t="shared" si="42"/>
        <v xml:space="preserve">mei </v>
      </c>
      <c r="C930">
        <v>2582.21</v>
      </c>
      <c r="D930" t="s">
        <v>83</v>
      </c>
      <c r="F930" t="s">
        <v>65</v>
      </c>
      <c r="G930">
        <f t="shared" si="43"/>
        <v>2582.21</v>
      </c>
      <c r="H930" t="str">
        <f>VLOOKUP(Tabel1[[#This Row],[categorie]],Lijst!A:B,2,FALSE)</f>
        <v>Inkomsten</v>
      </c>
      <c r="I930" t="str">
        <f t="shared" si="44"/>
        <v>OK</v>
      </c>
    </row>
    <row r="931" spans="1:9" hidden="1" x14ac:dyDescent="0.3">
      <c r="A931" s="2">
        <v>45778</v>
      </c>
      <c r="B931" t="str">
        <f t="shared" ref="B931:B994" si="45">TEXT(A931,"mmmm ")</f>
        <v xml:space="preserve">mei </v>
      </c>
      <c r="C931">
        <v>2376.23</v>
      </c>
      <c r="D931" t="s">
        <v>83</v>
      </c>
      <c r="F931" t="s">
        <v>65</v>
      </c>
      <c r="G931">
        <f t="shared" ref="G931:G994" si="46">IF(F931="Uitgave", -ABS(C931), ABS(C931))</f>
        <v>2376.23</v>
      </c>
      <c r="H931" t="str">
        <f>VLOOKUP(Tabel1[[#This Row],[categorie]],Lijst!A:B,2,FALSE)</f>
        <v>Inkomsten</v>
      </c>
      <c r="I931" t="str">
        <f t="shared" ref="I931:I994" si="47">IF(OR(AND(F931="Uitgave", C931&lt;0), AND(F931="Inkomst", C931&gt;0)), "OK", "FOUT")</f>
        <v>OK</v>
      </c>
    </row>
    <row r="932" spans="1:9" hidden="1" x14ac:dyDescent="0.3">
      <c r="A932" s="2">
        <v>45778</v>
      </c>
      <c r="B932" t="str">
        <f t="shared" si="45"/>
        <v xml:space="preserve">mei </v>
      </c>
      <c r="C932">
        <v>66</v>
      </c>
      <c r="D932" t="s">
        <v>75</v>
      </c>
      <c r="F932" t="s">
        <v>65</v>
      </c>
      <c r="G932">
        <f t="shared" si="46"/>
        <v>66</v>
      </c>
      <c r="H932" t="str">
        <f>VLOOKUP(Tabel1[[#This Row],[categorie]],Lijst!A:B,2,FALSE)</f>
        <v>Variabel</v>
      </c>
      <c r="I932" t="str">
        <f t="shared" si="47"/>
        <v>OK</v>
      </c>
    </row>
    <row r="933" spans="1:9" hidden="1" x14ac:dyDescent="0.3">
      <c r="A933" s="2">
        <v>45778</v>
      </c>
      <c r="B933" t="str">
        <f t="shared" si="45"/>
        <v xml:space="preserve">mei </v>
      </c>
      <c r="C933">
        <v>-13.9</v>
      </c>
      <c r="D933" t="s">
        <v>21</v>
      </c>
      <c r="F933" t="str">
        <f>VLOOKUP(Tabel1[[#This Row],[categorie]],Lijst!A:C,3,FALSE)</f>
        <v>Uitgave</v>
      </c>
      <c r="G933">
        <f t="shared" si="46"/>
        <v>-13.9</v>
      </c>
      <c r="H933" t="str">
        <f>VLOOKUP(Tabel1[[#This Row],[categorie]],Lijst!A:B,2,FALSE)</f>
        <v>Variabel</v>
      </c>
      <c r="I933" t="str">
        <f t="shared" si="47"/>
        <v>OK</v>
      </c>
    </row>
    <row r="934" spans="1:9" hidden="1" x14ac:dyDescent="0.3">
      <c r="A934" s="2">
        <v>45778</v>
      </c>
      <c r="B934" t="str">
        <f t="shared" si="45"/>
        <v xml:space="preserve">mei </v>
      </c>
      <c r="C934">
        <v>-12.8</v>
      </c>
      <c r="D934" t="s">
        <v>21</v>
      </c>
      <c r="F934" t="str">
        <f>VLOOKUP(Tabel1[[#This Row],[categorie]],Lijst!A:C,3,FALSE)</f>
        <v>Uitgave</v>
      </c>
      <c r="G934">
        <f t="shared" si="46"/>
        <v>-12.8</v>
      </c>
      <c r="H934" t="str">
        <f>VLOOKUP(Tabel1[[#This Row],[categorie]],Lijst!A:B,2,FALSE)</f>
        <v>Variabel</v>
      </c>
      <c r="I934" t="str">
        <f t="shared" si="47"/>
        <v>OK</v>
      </c>
    </row>
    <row r="935" spans="1:9" hidden="1" x14ac:dyDescent="0.3">
      <c r="A935" s="2">
        <v>45778</v>
      </c>
      <c r="B935" t="str">
        <f t="shared" si="45"/>
        <v xml:space="preserve">mei </v>
      </c>
      <c r="C935">
        <v>-899.89</v>
      </c>
      <c r="D935" t="s">
        <v>40</v>
      </c>
      <c r="F935" t="str">
        <f>VLOOKUP(Tabel1[[#This Row],[categorie]],Lijst!A:C,3,FALSE)</f>
        <v>Uitgave</v>
      </c>
      <c r="G935">
        <f t="shared" si="46"/>
        <v>-899.89</v>
      </c>
      <c r="H935" t="str">
        <f>VLOOKUP(Tabel1[[#This Row],[categorie]],Lijst!A:B,2,FALSE)</f>
        <v>Variabel</v>
      </c>
      <c r="I935" t="str">
        <f t="shared" si="47"/>
        <v>OK</v>
      </c>
    </row>
    <row r="936" spans="1:9" hidden="1" x14ac:dyDescent="0.3">
      <c r="A936" s="2">
        <v>45778</v>
      </c>
      <c r="B936" t="str">
        <f t="shared" si="45"/>
        <v xml:space="preserve">mei </v>
      </c>
      <c r="C936">
        <v>1760</v>
      </c>
      <c r="D936" t="s">
        <v>83</v>
      </c>
      <c r="E936" t="s">
        <v>326</v>
      </c>
      <c r="F936" t="str">
        <f>VLOOKUP(Tabel1[[#This Row],[categorie]],Lijst!A:C,3,FALSE)</f>
        <v>Inkomst</v>
      </c>
      <c r="G936">
        <f t="shared" si="46"/>
        <v>1760</v>
      </c>
      <c r="H936" t="str">
        <f>VLOOKUP(Tabel1[[#This Row],[categorie]],Lijst!A:B,2,FALSE)</f>
        <v>Inkomsten</v>
      </c>
      <c r="I936" t="str">
        <f t="shared" si="47"/>
        <v>OK</v>
      </c>
    </row>
    <row r="937" spans="1:9" hidden="1" x14ac:dyDescent="0.3">
      <c r="A937" s="2">
        <v>45779</v>
      </c>
      <c r="B937" t="str">
        <f t="shared" si="45"/>
        <v xml:space="preserve">mei </v>
      </c>
      <c r="C937">
        <v>-65.599999999999994</v>
      </c>
      <c r="D937" t="s">
        <v>9</v>
      </c>
      <c r="F937" t="s">
        <v>18</v>
      </c>
      <c r="G937">
        <f t="shared" si="46"/>
        <v>-65.599999999999994</v>
      </c>
      <c r="H937" t="str">
        <f>VLOOKUP(Tabel1[[#This Row],[categorie]],Lijst!A:B,2,FALSE)</f>
        <v>Variabel</v>
      </c>
      <c r="I937" t="str">
        <f t="shared" si="47"/>
        <v>OK</v>
      </c>
    </row>
    <row r="938" spans="1:9" hidden="1" x14ac:dyDescent="0.3">
      <c r="A938" s="2">
        <v>45779</v>
      </c>
      <c r="B938" t="str">
        <f t="shared" si="45"/>
        <v xml:space="preserve">mei </v>
      </c>
      <c r="C938">
        <v>-30.09</v>
      </c>
      <c r="D938" t="s">
        <v>9</v>
      </c>
      <c r="F938" t="s">
        <v>18</v>
      </c>
      <c r="G938">
        <f t="shared" si="46"/>
        <v>-30.09</v>
      </c>
      <c r="H938" t="str">
        <f>VLOOKUP(Tabel1[[#This Row],[categorie]],Lijst!A:B,2,FALSE)</f>
        <v>Variabel</v>
      </c>
      <c r="I938" t="str">
        <f t="shared" si="47"/>
        <v>OK</v>
      </c>
    </row>
    <row r="939" spans="1:9" hidden="1" x14ac:dyDescent="0.3">
      <c r="A939" s="2">
        <v>45779</v>
      </c>
      <c r="B939" t="str">
        <f t="shared" si="45"/>
        <v xml:space="preserve">mei </v>
      </c>
      <c r="C939">
        <v>-27.9</v>
      </c>
      <c r="D939" t="s">
        <v>9</v>
      </c>
      <c r="F939" t="s">
        <v>18</v>
      </c>
      <c r="G939">
        <f t="shared" si="46"/>
        <v>-27.9</v>
      </c>
      <c r="H939" t="str">
        <f>VLOOKUP(Tabel1[[#This Row],[categorie]],Lijst!A:B,2,FALSE)</f>
        <v>Variabel</v>
      </c>
      <c r="I939" t="str">
        <f t="shared" si="47"/>
        <v>OK</v>
      </c>
    </row>
    <row r="940" spans="1:9" hidden="1" x14ac:dyDescent="0.3">
      <c r="A940" s="2">
        <v>45779</v>
      </c>
      <c r="B940" t="str">
        <f t="shared" si="45"/>
        <v xml:space="preserve">mei </v>
      </c>
      <c r="C940">
        <v>-36.799999999999997</v>
      </c>
      <c r="D940" t="s">
        <v>75</v>
      </c>
      <c r="F940" t="s">
        <v>18</v>
      </c>
      <c r="G940">
        <f t="shared" si="46"/>
        <v>-36.799999999999997</v>
      </c>
      <c r="H940" t="str">
        <f>VLOOKUP(Tabel1[[#This Row],[categorie]],Lijst!A:B,2,FALSE)</f>
        <v>Variabel</v>
      </c>
      <c r="I940" t="str">
        <f t="shared" si="47"/>
        <v>OK</v>
      </c>
    </row>
    <row r="941" spans="1:9" hidden="1" x14ac:dyDescent="0.3">
      <c r="A941" s="2">
        <v>45779</v>
      </c>
      <c r="B941" t="str">
        <f t="shared" si="45"/>
        <v xml:space="preserve">mei </v>
      </c>
      <c r="C941">
        <v>-30.7</v>
      </c>
      <c r="D941" t="s">
        <v>3</v>
      </c>
      <c r="F941" t="str">
        <f>VLOOKUP(Tabel1[[#This Row],[categorie]],Lijst!A:C,3,FALSE)</f>
        <v>Uitgave</v>
      </c>
      <c r="G941">
        <f t="shared" si="46"/>
        <v>-30.7</v>
      </c>
      <c r="H941" t="str">
        <f>VLOOKUP(Tabel1[[#This Row],[categorie]],Lijst!A:B,2,FALSE)</f>
        <v>Vast</v>
      </c>
      <c r="I941" t="str">
        <f t="shared" si="47"/>
        <v>OK</v>
      </c>
    </row>
    <row r="942" spans="1:9" hidden="1" x14ac:dyDescent="0.3">
      <c r="A942" s="2">
        <v>45779</v>
      </c>
      <c r="B942" t="str">
        <f t="shared" si="45"/>
        <v xml:space="preserve">mei </v>
      </c>
      <c r="C942">
        <v>-13.04</v>
      </c>
      <c r="D942" t="s">
        <v>14</v>
      </c>
      <c r="F942" t="str">
        <f>VLOOKUP(Tabel1[[#This Row],[categorie]],Lijst!A:C,3,FALSE)</f>
        <v>Uitgave</v>
      </c>
      <c r="G942">
        <f t="shared" si="46"/>
        <v>-13.04</v>
      </c>
      <c r="H942" t="str">
        <f>VLOOKUP(Tabel1[[#This Row],[categorie]],Lijst!A:B,2,FALSE)</f>
        <v>Variabel</v>
      </c>
      <c r="I942" t="str">
        <f t="shared" si="47"/>
        <v>OK</v>
      </c>
    </row>
    <row r="943" spans="1:9" hidden="1" x14ac:dyDescent="0.3">
      <c r="A943" s="2">
        <v>45779</v>
      </c>
      <c r="B943" t="str">
        <f t="shared" si="45"/>
        <v xml:space="preserve">mei </v>
      </c>
      <c r="C943">
        <v>-58.19</v>
      </c>
      <c r="D943" t="s">
        <v>14</v>
      </c>
      <c r="F943" t="str">
        <f>VLOOKUP(Tabel1[[#This Row],[categorie]],Lijst!A:C,3,FALSE)</f>
        <v>Uitgave</v>
      </c>
      <c r="G943">
        <f t="shared" si="46"/>
        <v>-58.19</v>
      </c>
      <c r="H943" t="str">
        <f>VLOOKUP(Tabel1[[#This Row],[categorie]],Lijst!A:B,2,FALSE)</f>
        <v>Variabel</v>
      </c>
      <c r="I943" t="str">
        <f t="shared" si="47"/>
        <v>OK</v>
      </c>
    </row>
    <row r="944" spans="1:9" hidden="1" x14ac:dyDescent="0.3">
      <c r="A944" s="2">
        <v>45779</v>
      </c>
      <c r="B944" t="str">
        <f t="shared" si="45"/>
        <v xml:space="preserve">mei </v>
      </c>
      <c r="C944">
        <v>-10</v>
      </c>
      <c r="D944" t="s">
        <v>21</v>
      </c>
      <c r="F944" t="s">
        <v>18</v>
      </c>
      <c r="G944">
        <f t="shared" si="46"/>
        <v>-10</v>
      </c>
      <c r="H944" t="str">
        <f>VLOOKUP(Tabel1[[#This Row],[categorie]],Lijst!A:B,2,FALSE)</f>
        <v>Variabel</v>
      </c>
      <c r="I944" t="str">
        <f t="shared" si="47"/>
        <v>OK</v>
      </c>
    </row>
    <row r="945" spans="1:9" hidden="1" x14ac:dyDescent="0.3">
      <c r="A945" s="2">
        <v>45779</v>
      </c>
      <c r="B945" t="str">
        <f t="shared" si="45"/>
        <v xml:space="preserve">mei </v>
      </c>
      <c r="C945">
        <v>-25</v>
      </c>
      <c r="D945" t="s">
        <v>75</v>
      </c>
      <c r="F945" t="s">
        <v>18</v>
      </c>
      <c r="G945">
        <f t="shared" si="46"/>
        <v>-25</v>
      </c>
      <c r="H945" t="str">
        <f>VLOOKUP(Tabel1[[#This Row],[categorie]],Lijst!A:B,2,FALSE)</f>
        <v>Variabel</v>
      </c>
      <c r="I945" t="str">
        <f t="shared" si="47"/>
        <v>OK</v>
      </c>
    </row>
    <row r="946" spans="1:9" hidden="1" x14ac:dyDescent="0.3">
      <c r="A946" s="2">
        <v>45779</v>
      </c>
      <c r="B946" t="str">
        <f t="shared" si="45"/>
        <v xml:space="preserve">mei </v>
      </c>
      <c r="C946">
        <v>-9</v>
      </c>
      <c r="D946" t="s">
        <v>22</v>
      </c>
      <c r="F946" t="str">
        <f>VLOOKUP(Tabel1[[#This Row],[categorie]],Lijst!A:C,3,FALSE)</f>
        <v>Uitgave</v>
      </c>
      <c r="G946">
        <f t="shared" si="46"/>
        <v>-9</v>
      </c>
      <c r="H946" t="str">
        <f>VLOOKUP(Tabel1[[#This Row],[categorie]],Lijst!A:B,2,FALSE)</f>
        <v>Variabel</v>
      </c>
      <c r="I946" t="str">
        <f t="shared" si="47"/>
        <v>OK</v>
      </c>
    </row>
    <row r="947" spans="1:9" hidden="1" x14ac:dyDescent="0.3">
      <c r="A947" s="2">
        <v>45779</v>
      </c>
      <c r="B947" t="str">
        <f t="shared" si="45"/>
        <v xml:space="preserve">mei </v>
      </c>
      <c r="C947">
        <v>-5</v>
      </c>
      <c r="D947" t="s">
        <v>21</v>
      </c>
      <c r="F947" t="str">
        <f>VLOOKUP(Tabel1[[#This Row],[categorie]],Lijst!A:C,3,FALSE)</f>
        <v>Uitgave</v>
      </c>
      <c r="G947">
        <f t="shared" si="46"/>
        <v>-5</v>
      </c>
      <c r="H947" t="str">
        <f>VLOOKUP(Tabel1[[#This Row],[categorie]],Lijst!A:B,2,FALSE)</f>
        <v>Variabel</v>
      </c>
      <c r="I947" t="str">
        <f t="shared" si="47"/>
        <v>OK</v>
      </c>
    </row>
    <row r="948" spans="1:9" hidden="1" x14ac:dyDescent="0.3">
      <c r="A948" s="2">
        <v>45779</v>
      </c>
      <c r="B948" t="str">
        <f t="shared" si="45"/>
        <v xml:space="preserve">mei </v>
      </c>
      <c r="C948">
        <v>-6.67</v>
      </c>
      <c r="D948" t="s">
        <v>3</v>
      </c>
      <c r="F948" t="s">
        <v>18</v>
      </c>
      <c r="G948">
        <f t="shared" si="46"/>
        <v>-6.67</v>
      </c>
      <c r="H948" t="str">
        <f>VLOOKUP(Tabel1[[#This Row],[categorie]],Lijst!A:B,2,FALSE)</f>
        <v>Vast</v>
      </c>
      <c r="I948" t="str">
        <f t="shared" si="47"/>
        <v>OK</v>
      </c>
    </row>
    <row r="949" spans="1:9" hidden="1" x14ac:dyDescent="0.3">
      <c r="A949" s="2">
        <v>45779</v>
      </c>
      <c r="B949" t="str">
        <f t="shared" si="45"/>
        <v xml:space="preserve">mei </v>
      </c>
      <c r="C949">
        <v>-2.0499999999999998</v>
      </c>
      <c r="D949" t="s">
        <v>3</v>
      </c>
      <c r="F949" t="s">
        <v>18</v>
      </c>
      <c r="G949">
        <f t="shared" si="46"/>
        <v>-2.0499999999999998</v>
      </c>
      <c r="H949" t="str">
        <f>VLOOKUP(Tabel1[[#This Row],[categorie]],Lijst!A:B,2,FALSE)</f>
        <v>Vast</v>
      </c>
      <c r="I949" t="str">
        <f t="shared" si="47"/>
        <v>OK</v>
      </c>
    </row>
    <row r="950" spans="1:9" hidden="1" x14ac:dyDescent="0.3">
      <c r="A950" s="2">
        <v>45779</v>
      </c>
      <c r="B950" t="str">
        <f t="shared" si="45"/>
        <v xml:space="preserve">mei </v>
      </c>
      <c r="C950">
        <v>-0.99</v>
      </c>
      <c r="D950" t="s">
        <v>62</v>
      </c>
      <c r="F950" t="str">
        <f>VLOOKUP(Tabel1[[#This Row],[categorie]],Lijst!A:C,3,FALSE)</f>
        <v>Uitgave</v>
      </c>
      <c r="G950">
        <f t="shared" si="46"/>
        <v>-0.99</v>
      </c>
      <c r="H950" t="str">
        <f>VLOOKUP(Tabel1[[#This Row],[categorie]],Lijst!A:B,2,FALSE)</f>
        <v>Variabel</v>
      </c>
      <c r="I950" t="str">
        <f t="shared" si="47"/>
        <v>OK</v>
      </c>
    </row>
    <row r="951" spans="1:9" hidden="1" x14ac:dyDescent="0.3">
      <c r="A951" s="2">
        <v>45779</v>
      </c>
      <c r="B951" t="str">
        <f t="shared" si="45"/>
        <v xml:space="preserve">mei </v>
      </c>
      <c r="C951">
        <v>-1.8</v>
      </c>
      <c r="D951" t="s">
        <v>26</v>
      </c>
      <c r="F951" t="str">
        <f>VLOOKUP(Tabel1[[#This Row],[categorie]],Lijst!A:C,3,FALSE)</f>
        <v>Uitgave</v>
      </c>
      <c r="G951">
        <f t="shared" si="46"/>
        <v>-1.8</v>
      </c>
      <c r="H951" t="str">
        <f>VLOOKUP(Tabel1[[#This Row],[categorie]],Lijst!A:B,2,FALSE)</f>
        <v>Variabel</v>
      </c>
      <c r="I951" t="str">
        <f t="shared" si="47"/>
        <v>OK</v>
      </c>
    </row>
    <row r="952" spans="1:9" hidden="1" x14ac:dyDescent="0.3">
      <c r="A952" s="2">
        <v>45779</v>
      </c>
      <c r="B952" t="str">
        <f t="shared" si="45"/>
        <v xml:space="preserve">mei </v>
      </c>
      <c r="C952">
        <v>-3.9</v>
      </c>
      <c r="D952" t="s">
        <v>3</v>
      </c>
      <c r="F952" t="str">
        <f>VLOOKUP(Tabel1[[#This Row],[categorie]],Lijst!A:C,3,FALSE)</f>
        <v>Uitgave</v>
      </c>
      <c r="G952">
        <f t="shared" si="46"/>
        <v>-3.9</v>
      </c>
      <c r="H952" t="str">
        <f>VLOOKUP(Tabel1[[#This Row],[categorie]],Lijst!A:B,2,FALSE)</f>
        <v>Vast</v>
      </c>
      <c r="I952" t="str">
        <f t="shared" si="47"/>
        <v>OK</v>
      </c>
    </row>
    <row r="953" spans="1:9" hidden="1" x14ac:dyDescent="0.3">
      <c r="A953" s="2">
        <v>45779</v>
      </c>
      <c r="B953" t="str">
        <f t="shared" si="45"/>
        <v xml:space="preserve">mei </v>
      </c>
      <c r="C953">
        <v>-45.25</v>
      </c>
      <c r="D953" t="s">
        <v>209</v>
      </c>
      <c r="F953" t="str">
        <f>VLOOKUP(Tabel1[[#This Row],[categorie]],Lijst!A:C,3,FALSE)</f>
        <v>Uitgave</v>
      </c>
      <c r="G953">
        <f t="shared" si="46"/>
        <v>-45.25</v>
      </c>
      <c r="H953" t="str">
        <f>VLOOKUP(Tabel1[[#This Row],[categorie]],Lijst!A:B,2,FALSE)</f>
        <v>Vast</v>
      </c>
      <c r="I953" t="str">
        <f t="shared" si="47"/>
        <v>OK</v>
      </c>
    </row>
    <row r="954" spans="1:9" hidden="1" x14ac:dyDescent="0.3">
      <c r="A954" s="2">
        <v>45779</v>
      </c>
      <c r="B954" t="str">
        <f t="shared" si="45"/>
        <v xml:space="preserve">mei </v>
      </c>
      <c r="C954">
        <v>-12</v>
      </c>
      <c r="D954" t="s">
        <v>39</v>
      </c>
      <c r="F954" t="str">
        <f>VLOOKUP(Tabel1[[#This Row],[categorie]],Lijst!A:C,3,FALSE)</f>
        <v>Uitgave</v>
      </c>
      <c r="G954">
        <f t="shared" si="46"/>
        <v>-12</v>
      </c>
      <c r="H954" t="str">
        <f>VLOOKUP(Tabel1[[#This Row],[categorie]],Lijst!A:B,2,FALSE)</f>
        <v>Vast</v>
      </c>
      <c r="I954" t="str">
        <f t="shared" si="47"/>
        <v>OK</v>
      </c>
    </row>
    <row r="955" spans="1:9" hidden="1" x14ac:dyDescent="0.3">
      <c r="A955" s="2">
        <v>45779</v>
      </c>
      <c r="B955" t="str">
        <f t="shared" si="45"/>
        <v xml:space="preserve">mei </v>
      </c>
      <c r="C955">
        <v>-5.5</v>
      </c>
      <c r="D955" t="s">
        <v>9</v>
      </c>
      <c r="F955" t="s">
        <v>18</v>
      </c>
      <c r="G955">
        <f t="shared" si="46"/>
        <v>-5.5</v>
      </c>
      <c r="H955" t="str">
        <f>VLOOKUP(Tabel1[[#This Row],[categorie]],Lijst!A:B,2,FALSE)</f>
        <v>Variabel</v>
      </c>
      <c r="I955" t="str">
        <f t="shared" si="47"/>
        <v>OK</v>
      </c>
    </row>
    <row r="956" spans="1:9" hidden="1" x14ac:dyDescent="0.3">
      <c r="A956" s="2">
        <v>45779</v>
      </c>
      <c r="B956" t="str">
        <f t="shared" si="45"/>
        <v xml:space="preserve">mei </v>
      </c>
      <c r="C956">
        <v>-5</v>
      </c>
      <c r="D956" t="s">
        <v>75</v>
      </c>
      <c r="F956" t="s">
        <v>18</v>
      </c>
      <c r="G956">
        <f t="shared" si="46"/>
        <v>-5</v>
      </c>
      <c r="H956" t="str">
        <f>VLOOKUP(Tabel1[[#This Row],[categorie]],Lijst!A:B,2,FALSE)</f>
        <v>Variabel</v>
      </c>
      <c r="I956" t="str">
        <f t="shared" si="47"/>
        <v>OK</v>
      </c>
    </row>
    <row r="957" spans="1:9" hidden="1" x14ac:dyDescent="0.3">
      <c r="A957" s="2">
        <v>45780</v>
      </c>
      <c r="B957" t="str">
        <f t="shared" si="45"/>
        <v xml:space="preserve">mei </v>
      </c>
      <c r="C957">
        <v>-47</v>
      </c>
      <c r="D957" t="s">
        <v>21</v>
      </c>
      <c r="F957" t="str">
        <f>VLOOKUP(Tabel1[[#This Row],[categorie]],Lijst!A:C,3,FALSE)</f>
        <v>Uitgave</v>
      </c>
      <c r="G957">
        <f t="shared" si="46"/>
        <v>-47</v>
      </c>
      <c r="H957" t="str">
        <f>VLOOKUP(Tabel1[[#This Row],[categorie]],Lijst!A:B,2,FALSE)</f>
        <v>Variabel</v>
      </c>
      <c r="I957" t="str">
        <f t="shared" si="47"/>
        <v>OK</v>
      </c>
    </row>
    <row r="958" spans="1:9" hidden="1" x14ac:dyDescent="0.3">
      <c r="A958" s="2">
        <v>45781</v>
      </c>
      <c r="B958" t="str">
        <f t="shared" si="45"/>
        <v xml:space="preserve">mei </v>
      </c>
      <c r="C958">
        <v>-11.55</v>
      </c>
      <c r="D958" t="s">
        <v>59</v>
      </c>
      <c r="F958" t="str">
        <f>VLOOKUP(Tabel1[[#This Row],[categorie]],Lijst!A:C,3,FALSE)</f>
        <v>Uitgave</v>
      </c>
      <c r="G958">
        <f t="shared" si="46"/>
        <v>-11.55</v>
      </c>
      <c r="H958" t="str">
        <f>VLOOKUP(Tabel1[[#This Row],[categorie]],Lijst!A:B,2,FALSE)</f>
        <v>Variabel</v>
      </c>
      <c r="I958" t="str">
        <f t="shared" si="47"/>
        <v>OK</v>
      </c>
    </row>
    <row r="959" spans="1:9" hidden="1" x14ac:dyDescent="0.3">
      <c r="A959" s="2">
        <v>45781</v>
      </c>
      <c r="B959" t="str">
        <f t="shared" si="45"/>
        <v xml:space="preserve">mei </v>
      </c>
      <c r="C959">
        <v>-7.8</v>
      </c>
      <c r="D959" t="s">
        <v>21</v>
      </c>
      <c r="F959" t="str">
        <f>VLOOKUP(Tabel1[[#This Row],[categorie]],Lijst!A:C,3,FALSE)</f>
        <v>Uitgave</v>
      </c>
      <c r="G959">
        <f t="shared" si="46"/>
        <v>-7.8</v>
      </c>
      <c r="H959" t="str">
        <f>VLOOKUP(Tabel1[[#This Row],[categorie]],Lijst!A:B,2,FALSE)</f>
        <v>Variabel</v>
      </c>
      <c r="I959" t="str">
        <f t="shared" si="47"/>
        <v>OK</v>
      </c>
    </row>
    <row r="960" spans="1:9" hidden="1" x14ac:dyDescent="0.3">
      <c r="A960" s="2">
        <v>45781</v>
      </c>
      <c r="B960" t="str">
        <f t="shared" si="45"/>
        <v xml:space="preserve">mei </v>
      </c>
      <c r="C960">
        <v>-20.05</v>
      </c>
      <c r="D960" t="s">
        <v>3</v>
      </c>
      <c r="F960" t="str">
        <f>VLOOKUP(Tabel1[[#This Row],[categorie]],Lijst!A:C,3,FALSE)</f>
        <v>Uitgave</v>
      </c>
      <c r="G960">
        <f t="shared" si="46"/>
        <v>-20.05</v>
      </c>
      <c r="H960" t="str">
        <f>VLOOKUP(Tabel1[[#This Row],[categorie]],Lijst!A:B,2,FALSE)</f>
        <v>Vast</v>
      </c>
      <c r="I960" t="str">
        <f t="shared" si="47"/>
        <v>OK</v>
      </c>
    </row>
    <row r="961" spans="1:9" hidden="1" x14ac:dyDescent="0.3">
      <c r="A961" s="2">
        <v>45782</v>
      </c>
      <c r="B961" t="str">
        <f t="shared" si="45"/>
        <v xml:space="preserve">mei </v>
      </c>
      <c r="C961">
        <v>-30.1</v>
      </c>
      <c r="D961" t="s">
        <v>9</v>
      </c>
      <c r="F961" t="s">
        <v>18</v>
      </c>
      <c r="G961">
        <f t="shared" si="46"/>
        <v>-30.1</v>
      </c>
      <c r="H961" t="str">
        <f>VLOOKUP(Tabel1[[#This Row],[categorie]],Lijst!A:B,2,FALSE)</f>
        <v>Variabel</v>
      </c>
      <c r="I961" t="str">
        <f t="shared" si="47"/>
        <v>OK</v>
      </c>
    </row>
    <row r="962" spans="1:9" hidden="1" x14ac:dyDescent="0.3">
      <c r="A962" s="2">
        <v>45782</v>
      </c>
      <c r="B962" t="str">
        <f t="shared" si="45"/>
        <v xml:space="preserve">mei </v>
      </c>
      <c r="C962">
        <v>-2.5</v>
      </c>
      <c r="D962" t="s">
        <v>3</v>
      </c>
      <c r="F962" t="str">
        <f>VLOOKUP(Tabel1[[#This Row],[categorie]],Lijst!A:C,3,FALSE)</f>
        <v>Uitgave</v>
      </c>
      <c r="G962">
        <f t="shared" si="46"/>
        <v>-2.5</v>
      </c>
      <c r="H962" t="str">
        <f>VLOOKUP(Tabel1[[#This Row],[categorie]],Lijst!A:B,2,FALSE)</f>
        <v>Vast</v>
      </c>
      <c r="I962" t="str">
        <f t="shared" si="47"/>
        <v>OK</v>
      </c>
    </row>
    <row r="963" spans="1:9" hidden="1" x14ac:dyDescent="0.3">
      <c r="A963" s="2">
        <v>45782</v>
      </c>
      <c r="B963" t="str">
        <f t="shared" si="45"/>
        <v xml:space="preserve">mei </v>
      </c>
      <c r="C963">
        <v>-9.7799999999999994</v>
      </c>
      <c r="D963" t="s">
        <v>3</v>
      </c>
      <c r="F963" t="s">
        <v>18</v>
      </c>
      <c r="G963">
        <f t="shared" si="46"/>
        <v>-9.7799999999999994</v>
      </c>
      <c r="H963" t="str">
        <f>VLOOKUP(Tabel1[[#This Row],[categorie]],Lijst!A:B,2,FALSE)</f>
        <v>Vast</v>
      </c>
      <c r="I963" t="str">
        <f t="shared" si="47"/>
        <v>OK</v>
      </c>
    </row>
    <row r="964" spans="1:9" hidden="1" x14ac:dyDescent="0.3">
      <c r="A964" s="2">
        <v>45782</v>
      </c>
      <c r="B964" t="str">
        <f t="shared" si="45"/>
        <v xml:space="preserve">mei </v>
      </c>
      <c r="C964">
        <v>-12.57</v>
      </c>
      <c r="D964" t="s">
        <v>3</v>
      </c>
      <c r="F964" t="s">
        <v>18</v>
      </c>
      <c r="G964">
        <f t="shared" si="46"/>
        <v>-12.57</v>
      </c>
      <c r="H964" t="str">
        <f>VLOOKUP(Tabel1[[#This Row],[categorie]],Lijst!A:B,2,FALSE)</f>
        <v>Vast</v>
      </c>
      <c r="I964" t="str">
        <f t="shared" si="47"/>
        <v>OK</v>
      </c>
    </row>
    <row r="965" spans="1:9" hidden="1" x14ac:dyDescent="0.3">
      <c r="A965" s="2">
        <v>45782</v>
      </c>
      <c r="B965" t="str">
        <f t="shared" si="45"/>
        <v xml:space="preserve">mei </v>
      </c>
      <c r="C965">
        <v>5.22</v>
      </c>
      <c r="D965" t="s">
        <v>11</v>
      </c>
      <c r="F965" t="s">
        <v>65</v>
      </c>
      <c r="G965">
        <f t="shared" si="46"/>
        <v>5.22</v>
      </c>
      <c r="H965" t="str">
        <f>VLOOKUP(Tabel1[[#This Row],[categorie]],Lijst!A:B,2,FALSE)</f>
        <v>Vast</v>
      </c>
      <c r="I965" t="str">
        <f t="shared" si="47"/>
        <v>OK</v>
      </c>
    </row>
    <row r="966" spans="1:9" hidden="1" x14ac:dyDescent="0.3">
      <c r="A966" s="2">
        <v>45782</v>
      </c>
      <c r="B966" t="str">
        <f t="shared" si="45"/>
        <v xml:space="preserve">mei </v>
      </c>
      <c r="C966">
        <v>-29.99</v>
      </c>
      <c r="D966" t="s">
        <v>45</v>
      </c>
      <c r="F966" t="str">
        <f>VLOOKUP(Tabel1[[#This Row],[categorie]],Lijst!A:C,3,FALSE)</f>
        <v>Uitgave</v>
      </c>
      <c r="G966">
        <f t="shared" si="46"/>
        <v>-29.99</v>
      </c>
      <c r="H966" t="str">
        <f>VLOOKUP(Tabel1[[#This Row],[categorie]],Lijst!A:B,2,FALSE)</f>
        <v>Variabel</v>
      </c>
      <c r="I966" t="str">
        <f t="shared" si="47"/>
        <v>OK</v>
      </c>
    </row>
    <row r="967" spans="1:9" hidden="1" x14ac:dyDescent="0.3">
      <c r="A967" s="2">
        <v>45782</v>
      </c>
      <c r="B967" t="str">
        <f t="shared" si="45"/>
        <v xml:space="preserve">mei </v>
      </c>
      <c r="C967">
        <v>-13.57</v>
      </c>
      <c r="D967" t="s">
        <v>3</v>
      </c>
      <c r="F967" t="str">
        <f>VLOOKUP(Tabel1[[#This Row],[categorie]],Lijst!A:C,3,FALSE)</f>
        <v>Uitgave</v>
      </c>
      <c r="G967">
        <f t="shared" si="46"/>
        <v>-13.57</v>
      </c>
      <c r="H967" t="str">
        <f>VLOOKUP(Tabel1[[#This Row],[categorie]],Lijst!A:B,2,FALSE)</f>
        <v>Vast</v>
      </c>
      <c r="I967" t="str">
        <f t="shared" si="47"/>
        <v>OK</v>
      </c>
    </row>
    <row r="968" spans="1:9" hidden="1" x14ac:dyDescent="0.3">
      <c r="A968" s="2">
        <v>45782</v>
      </c>
      <c r="B968" t="str">
        <f t="shared" si="45"/>
        <v xml:space="preserve">mei </v>
      </c>
      <c r="C968">
        <v>-116.5</v>
      </c>
      <c r="D968" t="s">
        <v>60</v>
      </c>
      <c r="F968" t="str">
        <f>VLOOKUP(Tabel1[[#This Row],[categorie]],Lijst!A:C,3,FALSE)</f>
        <v>Uitgave</v>
      </c>
      <c r="G968">
        <f t="shared" si="46"/>
        <v>-116.5</v>
      </c>
      <c r="H968" t="str">
        <f>VLOOKUP(Tabel1[[#This Row],[categorie]],Lijst!A:B,2,FALSE)</f>
        <v>Variabel</v>
      </c>
      <c r="I968" t="str">
        <f t="shared" si="47"/>
        <v>OK</v>
      </c>
    </row>
    <row r="969" spans="1:9" hidden="1" x14ac:dyDescent="0.3">
      <c r="A969" s="2">
        <v>45782</v>
      </c>
      <c r="B969" t="str">
        <f t="shared" si="45"/>
        <v xml:space="preserve">mei </v>
      </c>
      <c r="C969">
        <v>-20.5</v>
      </c>
      <c r="D969" t="s">
        <v>61</v>
      </c>
      <c r="F969" t="str">
        <f>VLOOKUP(Tabel1[[#This Row],[categorie]],Lijst!A:C,3,FALSE)</f>
        <v>Uitgave</v>
      </c>
      <c r="G969">
        <f t="shared" si="46"/>
        <v>-20.5</v>
      </c>
      <c r="H969" t="str">
        <f>VLOOKUP(Tabel1[[#This Row],[categorie]],Lijst!A:B,2,FALSE)</f>
        <v>Variabel</v>
      </c>
      <c r="I969" t="str">
        <f t="shared" si="47"/>
        <v>OK</v>
      </c>
    </row>
    <row r="970" spans="1:9" hidden="1" x14ac:dyDescent="0.3">
      <c r="A970" s="2">
        <v>45782</v>
      </c>
      <c r="B970" t="str">
        <f t="shared" si="45"/>
        <v xml:space="preserve">mei </v>
      </c>
      <c r="C970">
        <v>-18</v>
      </c>
      <c r="D970" t="s">
        <v>3</v>
      </c>
      <c r="F970" t="str">
        <f>VLOOKUP(Tabel1[[#This Row],[categorie]],Lijst!A:C,3,FALSE)</f>
        <v>Uitgave</v>
      </c>
      <c r="G970">
        <f t="shared" si="46"/>
        <v>-18</v>
      </c>
      <c r="H970" t="str">
        <f>VLOOKUP(Tabel1[[#This Row],[categorie]],Lijst!A:B,2,FALSE)</f>
        <v>Vast</v>
      </c>
      <c r="I970" t="str">
        <f t="shared" si="47"/>
        <v>OK</v>
      </c>
    </row>
    <row r="971" spans="1:9" hidden="1" x14ac:dyDescent="0.3">
      <c r="A971" s="2">
        <v>45782</v>
      </c>
      <c r="B971" t="str">
        <f t="shared" si="45"/>
        <v xml:space="preserve">mei </v>
      </c>
      <c r="C971">
        <v>-11.58</v>
      </c>
      <c r="D971" t="s">
        <v>3</v>
      </c>
      <c r="F971" t="str">
        <f>VLOOKUP(Tabel1[[#This Row],[categorie]],Lijst!A:C,3,FALSE)</f>
        <v>Uitgave</v>
      </c>
      <c r="G971">
        <f t="shared" si="46"/>
        <v>-11.58</v>
      </c>
      <c r="H971" t="str">
        <f>VLOOKUP(Tabel1[[#This Row],[categorie]],Lijst!A:B,2,FALSE)</f>
        <v>Vast</v>
      </c>
      <c r="I971" t="str">
        <f t="shared" si="47"/>
        <v>OK</v>
      </c>
    </row>
    <row r="972" spans="1:9" hidden="1" x14ac:dyDescent="0.3">
      <c r="A972" s="2">
        <v>45782</v>
      </c>
      <c r="B972" t="str">
        <f t="shared" si="45"/>
        <v xml:space="preserve">mei </v>
      </c>
      <c r="C972">
        <v>-20.71</v>
      </c>
      <c r="D972" t="s">
        <v>38</v>
      </c>
      <c r="F972" t="s">
        <v>18</v>
      </c>
      <c r="G972">
        <f t="shared" si="46"/>
        <v>-20.71</v>
      </c>
      <c r="H972" t="str">
        <f>VLOOKUP(Tabel1[[#This Row],[categorie]],Lijst!A:B,2,FALSE)</f>
        <v>Vast</v>
      </c>
      <c r="I972" t="str">
        <f t="shared" si="47"/>
        <v>OK</v>
      </c>
    </row>
    <row r="973" spans="1:9" hidden="1" x14ac:dyDescent="0.3">
      <c r="A973" s="2">
        <v>45783</v>
      </c>
      <c r="B973" t="str">
        <f t="shared" si="45"/>
        <v xml:space="preserve">mei </v>
      </c>
      <c r="C973">
        <v>-7.47</v>
      </c>
      <c r="D973" t="s">
        <v>3</v>
      </c>
      <c r="F973" t="str">
        <f>VLOOKUP(Tabel1[[#This Row],[categorie]],Lijst!A:C,3,FALSE)</f>
        <v>Uitgave</v>
      </c>
      <c r="G973">
        <f t="shared" si="46"/>
        <v>-7.47</v>
      </c>
      <c r="H973" t="str">
        <f>VLOOKUP(Tabel1[[#This Row],[categorie]],Lijst!A:B,2,FALSE)</f>
        <v>Vast</v>
      </c>
      <c r="I973" t="str">
        <f t="shared" si="47"/>
        <v>OK</v>
      </c>
    </row>
    <row r="974" spans="1:9" hidden="1" x14ac:dyDescent="0.3">
      <c r="A974" s="2">
        <v>45783</v>
      </c>
      <c r="B974" t="str">
        <f t="shared" si="45"/>
        <v xml:space="preserve">mei </v>
      </c>
      <c r="C974">
        <v>-5.29</v>
      </c>
      <c r="D974" t="s">
        <v>3</v>
      </c>
      <c r="F974" t="s">
        <v>18</v>
      </c>
      <c r="G974">
        <f t="shared" si="46"/>
        <v>-5.29</v>
      </c>
      <c r="H974" t="str">
        <f>VLOOKUP(Tabel1[[#This Row],[categorie]],Lijst!A:B,2,FALSE)</f>
        <v>Vast</v>
      </c>
      <c r="I974" t="str">
        <f t="shared" si="47"/>
        <v>OK</v>
      </c>
    </row>
    <row r="975" spans="1:9" hidden="1" x14ac:dyDescent="0.3">
      <c r="A975" s="2">
        <v>45783</v>
      </c>
      <c r="B975" t="str">
        <f t="shared" si="45"/>
        <v xml:space="preserve">mei </v>
      </c>
      <c r="C975">
        <v>-8.43</v>
      </c>
      <c r="D975" t="s">
        <v>3</v>
      </c>
      <c r="F975" t="s">
        <v>18</v>
      </c>
      <c r="G975">
        <f t="shared" si="46"/>
        <v>-8.43</v>
      </c>
      <c r="H975" t="str">
        <f>VLOOKUP(Tabel1[[#This Row],[categorie]],Lijst!A:B,2,FALSE)</f>
        <v>Vast</v>
      </c>
      <c r="I975" t="str">
        <f t="shared" si="47"/>
        <v>OK</v>
      </c>
    </row>
    <row r="976" spans="1:9" hidden="1" x14ac:dyDescent="0.3">
      <c r="A976" s="2">
        <v>45783</v>
      </c>
      <c r="B976" t="str">
        <f t="shared" si="45"/>
        <v xml:space="preserve">mei </v>
      </c>
      <c r="C976">
        <v>91.08</v>
      </c>
      <c r="D976" t="s">
        <v>75</v>
      </c>
      <c r="F976" t="s">
        <v>65</v>
      </c>
      <c r="G976">
        <f t="shared" si="46"/>
        <v>91.08</v>
      </c>
      <c r="H976" t="str">
        <f>VLOOKUP(Tabel1[[#This Row],[categorie]],Lijst!A:B,2,FALSE)</f>
        <v>Variabel</v>
      </c>
      <c r="I976" t="str">
        <f t="shared" si="47"/>
        <v>OK</v>
      </c>
    </row>
    <row r="977" spans="1:9" hidden="1" x14ac:dyDescent="0.3">
      <c r="A977" s="2">
        <v>45783</v>
      </c>
      <c r="B977" t="str">
        <f t="shared" si="45"/>
        <v xml:space="preserve">mei </v>
      </c>
      <c r="C977">
        <v>50</v>
      </c>
      <c r="D977" t="s">
        <v>75</v>
      </c>
      <c r="F977" t="s">
        <v>65</v>
      </c>
      <c r="G977">
        <f t="shared" si="46"/>
        <v>50</v>
      </c>
      <c r="H977" t="str">
        <f>VLOOKUP(Tabel1[[#This Row],[categorie]],Lijst!A:B,2,FALSE)</f>
        <v>Variabel</v>
      </c>
      <c r="I977" t="str">
        <f t="shared" si="47"/>
        <v>OK</v>
      </c>
    </row>
    <row r="978" spans="1:9" hidden="1" x14ac:dyDescent="0.3">
      <c r="A978" s="2">
        <v>45783</v>
      </c>
      <c r="B978" t="str">
        <f t="shared" si="45"/>
        <v xml:space="preserve">mei </v>
      </c>
      <c r="C978">
        <v>50</v>
      </c>
      <c r="D978" t="s">
        <v>75</v>
      </c>
      <c r="F978" t="s">
        <v>65</v>
      </c>
      <c r="G978">
        <f t="shared" si="46"/>
        <v>50</v>
      </c>
      <c r="H978" t="str">
        <f>VLOOKUP(Tabel1[[#This Row],[categorie]],Lijst!A:B,2,FALSE)</f>
        <v>Variabel</v>
      </c>
      <c r="I978" t="str">
        <f t="shared" si="47"/>
        <v>OK</v>
      </c>
    </row>
    <row r="979" spans="1:9" hidden="1" x14ac:dyDescent="0.3">
      <c r="A979" s="2">
        <v>45783</v>
      </c>
      <c r="B979" t="str">
        <f t="shared" si="45"/>
        <v xml:space="preserve">mei </v>
      </c>
      <c r="C979">
        <v>-0.9</v>
      </c>
      <c r="D979" t="s">
        <v>26</v>
      </c>
      <c r="F979" t="str">
        <f>VLOOKUP(Tabel1[[#This Row],[categorie]],Lijst!A:C,3,FALSE)</f>
        <v>Uitgave</v>
      </c>
      <c r="G979">
        <f t="shared" si="46"/>
        <v>-0.9</v>
      </c>
      <c r="H979" t="str">
        <f>VLOOKUP(Tabel1[[#This Row],[categorie]],Lijst!A:B,2,FALSE)</f>
        <v>Variabel</v>
      </c>
      <c r="I979" t="str">
        <f t="shared" si="47"/>
        <v>OK</v>
      </c>
    </row>
    <row r="980" spans="1:9" hidden="1" x14ac:dyDescent="0.3">
      <c r="A980" s="2">
        <v>45783</v>
      </c>
      <c r="B980" t="str">
        <f t="shared" si="45"/>
        <v xml:space="preserve">mei </v>
      </c>
      <c r="C980">
        <v>-1.5</v>
      </c>
      <c r="D980" t="s">
        <v>26</v>
      </c>
      <c r="F980" t="str">
        <f>VLOOKUP(Tabel1[[#This Row],[categorie]],Lijst!A:C,3,FALSE)</f>
        <v>Uitgave</v>
      </c>
      <c r="G980">
        <f t="shared" si="46"/>
        <v>-1.5</v>
      </c>
      <c r="H980" t="str">
        <f>VLOOKUP(Tabel1[[#This Row],[categorie]],Lijst!A:B,2,FALSE)</f>
        <v>Variabel</v>
      </c>
      <c r="I980" t="str">
        <f t="shared" si="47"/>
        <v>OK</v>
      </c>
    </row>
    <row r="981" spans="1:9" hidden="1" x14ac:dyDescent="0.3">
      <c r="A981" s="2">
        <v>45783</v>
      </c>
      <c r="B981" t="str">
        <f t="shared" si="45"/>
        <v xml:space="preserve">mei </v>
      </c>
      <c r="C981">
        <v>-9.68</v>
      </c>
      <c r="D981" t="s">
        <v>3</v>
      </c>
      <c r="F981" t="s">
        <v>18</v>
      </c>
      <c r="G981">
        <f t="shared" si="46"/>
        <v>-9.68</v>
      </c>
      <c r="H981" t="str">
        <f>VLOOKUP(Tabel1[[#This Row],[categorie]],Lijst!A:B,2,FALSE)</f>
        <v>Vast</v>
      </c>
      <c r="I981" t="str">
        <f t="shared" si="47"/>
        <v>OK</v>
      </c>
    </row>
    <row r="982" spans="1:9" hidden="1" x14ac:dyDescent="0.3">
      <c r="A982" s="2">
        <v>45783</v>
      </c>
      <c r="B982" t="str">
        <f t="shared" si="45"/>
        <v xml:space="preserve">mei </v>
      </c>
      <c r="C982">
        <v>-46.24</v>
      </c>
      <c r="D982" t="s">
        <v>13</v>
      </c>
      <c r="F982" t="str">
        <f>VLOOKUP(Tabel1[[#This Row],[categorie]],Lijst!A:C,3,FALSE)</f>
        <v>Uitgave</v>
      </c>
      <c r="G982">
        <f t="shared" si="46"/>
        <v>-46.24</v>
      </c>
      <c r="H982" t="str">
        <f>VLOOKUP(Tabel1[[#This Row],[categorie]],Lijst!A:B,2,FALSE)</f>
        <v>Vast</v>
      </c>
      <c r="I982" t="str">
        <f t="shared" si="47"/>
        <v>OK</v>
      </c>
    </row>
    <row r="983" spans="1:9" hidden="1" x14ac:dyDescent="0.3">
      <c r="A983" s="2">
        <v>45783</v>
      </c>
      <c r="B983" t="str">
        <f t="shared" si="45"/>
        <v xml:space="preserve">mei </v>
      </c>
      <c r="C983">
        <v>-120.26</v>
      </c>
      <c r="D983" t="s">
        <v>82</v>
      </c>
      <c r="F983" t="s">
        <v>18</v>
      </c>
      <c r="G983">
        <f t="shared" si="46"/>
        <v>-120.26</v>
      </c>
      <c r="H983" t="str">
        <f>VLOOKUP(Tabel1[[#This Row],[categorie]],Lijst!A:B,2,FALSE)</f>
        <v>Vast</v>
      </c>
      <c r="I983" t="str">
        <f t="shared" si="47"/>
        <v>OK</v>
      </c>
    </row>
    <row r="984" spans="1:9" hidden="1" x14ac:dyDescent="0.3">
      <c r="A984" s="2">
        <v>45784</v>
      </c>
      <c r="B984" t="str">
        <f t="shared" si="45"/>
        <v xml:space="preserve">mei </v>
      </c>
      <c r="C984">
        <v>25</v>
      </c>
      <c r="D984" t="s">
        <v>82</v>
      </c>
      <c r="F984" t="s">
        <v>65</v>
      </c>
      <c r="G984">
        <f t="shared" si="46"/>
        <v>25</v>
      </c>
      <c r="H984" t="str">
        <f>VLOOKUP(Tabel1[[#This Row],[categorie]],Lijst!A:B,2,FALSE)</f>
        <v>Vast</v>
      </c>
      <c r="I984" t="str">
        <f t="shared" si="47"/>
        <v>OK</v>
      </c>
    </row>
    <row r="985" spans="1:9" hidden="1" x14ac:dyDescent="0.3">
      <c r="A985" s="2">
        <v>45784</v>
      </c>
      <c r="B985" t="str">
        <f t="shared" si="45"/>
        <v xml:space="preserve">mei </v>
      </c>
      <c r="C985">
        <v>-38.5</v>
      </c>
      <c r="D985" t="s">
        <v>9</v>
      </c>
      <c r="F985" t="s">
        <v>18</v>
      </c>
      <c r="G985">
        <f t="shared" si="46"/>
        <v>-38.5</v>
      </c>
      <c r="H985" t="str">
        <f>VLOOKUP(Tabel1[[#This Row],[categorie]],Lijst!A:B,2,FALSE)</f>
        <v>Variabel</v>
      </c>
      <c r="I985" t="str">
        <f t="shared" si="47"/>
        <v>OK</v>
      </c>
    </row>
    <row r="986" spans="1:9" hidden="1" x14ac:dyDescent="0.3">
      <c r="A986" s="2">
        <v>45784</v>
      </c>
      <c r="B986" t="str">
        <f t="shared" si="45"/>
        <v xml:space="preserve">mei </v>
      </c>
      <c r="C986">
        <v>-19.989999999999998</v>
      </c>
      <c r="D986" t="s">
        <v>14</v>
      </c>
      <c r="F986" t="s">
        <v>18</v>
      </c>
      <c r="G986">
        <f t="shared" si="46"/>
        <v>-19.989999999999998</v>
      </c>
      <c r="H986" t="str">
        <f>VLOOKUP(Tabel1[[#This Row],[categorie]],Lijst!A:B,2,FALSE)</f>
        <v>Variabel</v>
      </c>
      <c r="I986" t="str">
        <f t="shared" si="47"/>
        <v>OK</v>
      </c>
    </row>
    <row r="987" spans="1:9" hidden="1" x14ac:dyDescent="0.3">
      <c r="A987" s="2">
        <v>45784</v>
      </c>
      <c r="B987" t="str">
        <f t="shared" si="45"/>
        <v xml:space="preserve">mei </v>
      </c>
      <c r="C987">
        <v>-12.36</v>
      </c>
      <c r="D987" t="s">
        <v>3</v>
      </c>
      <c r="F987" t="s">
        <v>18</v>
      </c>
      <c r="G987">
        <f t="shared" si="46"/>
        <v>-12.36</v>
      </c>
      <c r="H987" t="str">
        <f>VLOOKUP(Tabel1[[#This Row],[categorie]],Lijst!A:B,2,FALSE)</f>
        <v>Vast</v>
      </c>
      <c r="I987" t="str">
        <f t="shared" si="47"/>
        <v>OK</v>
      </c>
    </row>
    <row r="988" spans="1:9" hidden="1" x14ac:dyDescent="0.3">
      <c r="A988" s="2">
        <v>45784</v>
      </c>
      <c r="B988" t="str">
        <f t="shared" si="45"/>
        <v xml:space="preserve">mei </v>
      </c>
      <c r="C988">
        <v>-1.5</v>
      </c>
      <c r="D988" t="s">
        <v>26</v>
      </c>
      <c r="F988" t="str">
        <f>VLOOKUP(Tabel1[[#This Row],[categorie]],Lijst!A:C,3,FALSE)</f>
        <v>Uitgave</v>
      </c>
      <c r="G988">
        <f t="shared" si="46"/>
        <v>-1.5</v>
      </c>
      <c r="H988" t="str">
        <f>VLOOKUP(Tabel1[[#This Row],[categorie]],Lijst!A:B,2,FALSE)</f>
        <v>Variabel</v>
      </c>
      <c r="I988" t="str">
        <f t="shared" si="47"/>
        <v>OK</v>
      </c>
    </row>
    <row r="989" spans="1:9" hidden="1" x14ac:dyDescent="0.3">
      <c r="A989" s="2">
        <v>45784</v>
      </c>
      <c r="B989" t="str">
        <f t="shared" si="45"/>
        <v xml:space="preserve">mei </v>
      </c>
      <c r="C989">
        <v>-810.65</v>
      </c>
      <c r="D989" t="s">
        <v>10</v>
      </c>
      <c r="F989" t="str">
        <f>VLOOKUP(Tabel1[[#This Row],[categorie]],Lijst!A:C,3,FALSE)</f>
        <v>Uitgave</v>
      </c>
      <c r="G989">
        <f t="shared" si="46"/>
        <v>-810.65</v>
      </c>
      <c r="H989" t="str">
        <f>VLOOKUP(Tabel1[[#This Row],[categorie]],Lijst!A:B,2,FALSE)</f>
        <v>Vast</v>
      </c>
      <c r="I989" t="str">
        <f t="shared" si="47"/>
        <v>OK</v>
      </c>
    </row>
    <row r="990" spans="1:9" hidden="1" x14ac:dyDescent="0.3">
      <c r="A990" s="2">
        <v>45784</v>
      </c>
      <c r="B990" t="str">
        <f t="shared" si="45"/>
        <v xml:space="preserve">mei </v>
      </c>
      <c r="C990">
        <v>-39.119999999999997</v>
      </c>
      <c r="D990" t="s">
        <v>82</v>
      </c>
      <c r="F990" t="s">
        <v>18</v>
      </c>
      <c r="G990">
        <f t="shared" si="46"/>
        <v>-39.119999999999997</v>
      </c>
      <c r="H990" t="str">
        <f>VLOOKUP(Tabel1[[#This Row],[categorie]],Lijst!A:B,2,FALSE)</f>
        <v>Vast</v>
      </c>
      <c r="I990" t="str">
        <f t="shared" si="47"/>
        <v>OK</v>
      </c>
    </row>
    <row r="991" spans="1:9" hidden="1" x14ac:dyDescent="0.3">
      <c r="A991" s="2">
        <v>45785</v>
      </c>
      <c r="B991" t="str">
        <f t="shared" si="45"/>
        <v xml:space="preserve">mei </v>
      </c>
      <c r="C991">
        <v>-24.99</v>
      </c>
      <c r="D991" t="s">
        <v>14</v>
      </c>
      <c r="F991" t="str">
        <f>VLOOKUP(Tabel1[[#This Row],[categorie]],Lijst!A:C,3,FALSE)</f>
        <v>Uitgave</v>
      </c>
      <c r="G991">
        <f t="shared" si="46"/>
        <v>-24.99</v>
      </c>
      <c r="H991" t="str">
        <f>VLOOKUP(Tabel1[[#This Row],[categorie]],Lijst!A:B,2,FALSE)</f>
        <v>Variabel</v>
      </c>
      <c r="I991" t="str">
        <f t="shared" si="47"/>
        <v>OK</v>
      </c>
    </row>
    <row r="992" spans="1:9" hidden="1" x14ac:dyDescent="0.3">
      <c r="A992" s="2">
        <v>45785</v>
      </c>
      <c r="B992" t="str">
        <f t="shared" si="45"/>
        <v xml:space="preserve">mei </v>
      </c>
      <c r="C992">
        <v>-53.07</v>
      </c>
      <c r="D992" t="s">
        <v>3</v>
      </c>
      <c r="F992" t="s">
        <v>18</v>
      </c>
      <c r="G992">
        <f t="shared" si="46"/>
        <v>-53.07</v>
      </c>
      <c r="H992" t="str">
        <f>VLOOKUP(Tabel1[[#This Row],[categorie]],Lijst!A:B,2,FALSE)</f>
        <v>Vast</v>
      </c>
      <c r="I992" t="str">
        <f t="shared" si="47"/>
        <v>OK</v>
      </c>
    </row>
    <row r="993" spans="1:9" hidden="1" x14ac:dyDescent="0.3">
      <c r="A993" s="2">
        <v>45785</v>
      </c>
      <c r="B993" t="str">
        <f t="shared" si="45"/>
        <v xml:space="preserve">mei </v>
      </c>
      <c r="C993">
        <v>-56</v>
      </c>
      <c r="D993" t="s">
        <v>82</v>
      </c>
      <c r="F993" t="s">
        <v>18</v>
      </c>
      <c r="G993">
        <f t="shared" si="46"/>
        <v>-56</v>
      </c>
      <c r="H993" t="str">
        <f>VLOOKUP(Tabel1[[#This Row],[categorie]],Lijst!A:B,2,FALSE)</f>
        <v>Vast</v>
      </c>
      <c r="I993" t="str">
        <f t="shared" si="47"/>
        <v>OK</v>
      </c>
    </row>
    <row r="994" spans="1:9" hidden="1" x14ac:dyDescent="0.3">
      <c r="A994" s="2">
        <v>45785</v>
      </c>
      <c r="B994" t="str">
        <f t="shared" si="45"/>
        <v xml:space="preserve">mei </v>
      </c>
      <c r="C994">
        <v>-3.9</v>
      </c>
      <c r="D994" t="s">
        <v>3</v>
      </c>
      <c r="F994" t="str">
        <f>VLOOKUP(Tabel1[[#This Row],[categorie]],Lijst!A:C,3,FALSE)</f>
        <v>Uitgave</v>
      </c>
      <c r="G994">
        <f t="shared" si="46"/>
        <v>-3.9</v>
      </c>
      <c r="H994" t="str">
        <f>VLOOKUP(Tabel1[[#This Row],[categorie]],Lijst!A:B,2,FALSE)</f>
        <v>Vast</v>
      </c>
      <c r="I994" t="str">
        <f t="shared" si="47"/>
        <v>OK</v>
      </c>
    </row>
    <row r="995" spans="1:9" hidden="1" x14ac:dyDescent="0.3">
      <c r="A995" s="2">
        <v>45785</v>
      </c>
      <c r="B995" t="str">
        <f t="shared" ref="B995:B1058" si="48">TEXT(A995,"mmmm ")</f>
        <v xml:space="preserve">mei </v>
      </c>
      <c r="C995">
        <v>-19</v>
      </c>
      <c r="D995" t="s">
        <v>54</v>
      </c>
      <c r="F995" t="str">
        <f>VLOOKUP(Tabel1[[#This Row],[categorie]],Lijst!A:C,3,FALSE)</f>
        <v>Uitgave</v>
      </c>
      <c r="G995">
        <f t="shared" ref="G995:G1058" si="49">IF(F995="Uitgave", -ABS(C995), ABS(C995))</f>
        <v>-19</v>
      </c>
      <c r="H995" t="str">
        <f>VLOOKUP(Tabel1[[#This Row],[categorie]],Lijst!A:B,2,FALSE)</f>
        <v>Variabel</v>
      </c>
      <c r="I995" t="str">
        <f t="shared" ref="I995:I1058" si="50">IF(OR(AND(F995="Uitgave", C995&lt;0), AND(F995="Inkomst", C995&gt;0)), "OK", "FOUT")</f>
        <v>OK</v>
      </c>
    </row>
    <row r="996" spans="1:9" hidden="1" x14ac:dyDescent="0.3">
      <c r="A996" s="2">
        <v>45785</v>
      </c>
      <c r="B996" t="str">
        <f t="shared" si="48"/>
        <v xml:space="preserve">mei </v>
      </c>
      <c r="C996">
        <v>-5.79</v>
      </c>
      <c r="D996" t="s">
        <v>3</v>
      </c>
      <c r="F996" t="s">
        <v>18</v>
      </c>
      <c r="G996">
        <f t="shared" si="49"/>
        <v>-5.79</v>
      </c>
      <c r="H996" t="str">
        <f>VLOOKUP(Tabel1[[#This Row],[categorie]],Lijst!A:B,2,FALSE)</f>
        <v>Vast</v>
      </c>
      <c r="I996" t="str">
        <f t="shared" si="50"/>
        <v>OK</v>
      </c>
    </row>
    <row r="997" spans="1:9" hidden="1" x14ac:dyDescent="0.3">
      <c r="A997" s="2">
        <v>45785</v>
      </c>
      <c r="B997" t="str">
        <f t="shared" si="48"/>
        <v xml:space="preserve">mei </v>
      </c>
      <c r="C997">
        <v>-14.99</v>
      </c>
      <c r="D997" t="s">
        <v>52</v>
      </c>
      <c r="F997" t="str">
        <f>VLOOKUP(Tabel1[[#This Row],[categorie]],Lijst!A:C,3,FALSE)</f>
        <v>Uitgave</v>
      </c>
      <c r="G997">
        <f t="shared" si="49"/>
        <v>-14.99</v>
      </c>
      <c r="H997" t="str">
        <f>VLOOKUP(Tabel1[[#This Row],[categorie]],Lijst!A:B,2,FALSE)</f>
        <v>Variabel</v>
      </c>
      <c r="I997" t="str">
        <f t="shared" si="50"/>
        <v>OK</v>
      </c>
    </row>
    <row r="998" spans="1:9" hidden="1" x14ac:dyDescent="0.3">
      <c r="A998" s="2">
        <v>45786</v>
      </c>
      <c r="B998" t="str">
        <f t="shared" si="48"/>
        <v xml:space="preserve">mei </v>
      </c>
      <c r="C998">
        <v>-12.18</v>
      </c>
      <c r="D998" t="s">
        <v>3</v>
      </c>
      <c r="F998" t="s">
        <v>18</v>
      </c>
      <c r="G998">
        <f t="shared" si="49"/>
        <v>-12.18</v>
      </c>
      <c r="H998" t="str">
        <f>VLOOKUP(Tabel1[[#This Row],[categorie]],Lijst!A:B,2,FALSE)</f>
        <v>Vast</v>
      </c>
      <c r="I998" t="str">
        <f t="shared" si="50"/>
        <v>OK</v>
      </c>
    </row>
    <row r="999" spans="1:9" hidden="1" x14ac:dyDescent="0.3">
      <c r="A999" s="2">
        <v>45786</v>
      </c>
      <c r="B999" t="str">
        <f t="shared" si="48"/>
        <v xml:space="preserve">mei </v>
      </c>
      <c r="C999">
        <v>-14.93</v>
      </c>
      <c r="D999" t="s">
        <v>3</v>
      </c>
      <c r="F999" t="s">
        <v>18</v>
      </c>
      <c r="G999">
        <f t="shared" si="49"/>
        <v>-14.93</v>
      </c>
      <c r="H999" t="str">
        <f>VLOOKUP(Tabel1[[#This Row],[categorie]],Lijst!A:B,2,FALSE)</f>
        <v>Vast</v>
      </c>
      <c r="I999" t="str">
        <f t="shared" si="50"/>
        <v>OK</v>
      </c>
    </row>
    <row r="1000" spans="1:9" hidden="1" x14ac:dyDescent="0.3">
      <c r="A1000" s="2">
        <v>45786</v>
      </c>
      <c r="B1000" t="str">
        <f t="shared" si="48"/>
        <v xml:space="preserve">mei </v>
      </c>
      <c r="C1000">
        <v>-37.5</v>
      </c>
      <c r="D1000" t="s">
        <v>3</v>
      </c>
      <c r="F1000" t="str">
        <f>VLOOKUP(Tabel1[[#This Row],[categorie]],Lijst!A:C,3,FALSE)</f>
        <v>Uitgave</v>
      </c>
      <c r="G1000">
        <f t="shared" si="49"/>
        <v>-37.5</v>
      </c>
      <c r="H1000" t="str">
        <f>VLOOKUP(Tabel1[[#This Row],[categorie]],Lijst!A:B,2,FALSE)</f>
        <v>Vast</v>
      </c>
      <c r="I1000" t="str">
        <f t="shared" si="50"/>
        <v>OK</v>
      </c>
    </row>
    <row r="1001" spans="1:9" hidden="1" x14ac:dyDescent="0.3">
      <c r="A1001" s="2">
        <v>45786</v>
      </c>
      <c r="B1001" t="str">
        <f t="shared" si="48"/>
        <v xml:space="preserve">mei </v>
      </c>
      <c r="C1001">
        <v>-6.67</v>
      </c>
      <c r="D1001" t="s">
        <v>3</v>
      </c>
      <c r="F1001" t="str">
        <f>VLOOKUP(Tabel1[[#This Row],[categorie]],Lijst!A:C,3,FALSE)</f>
        <v>Uitgave</v>
      </c>
      <c r="G1001">
        <f t="shared" si="49"/>
        <v>-6.67</v>
      </c>
      <c r="H1001" t="str">
        <f>VLOOKUP(Tabel1[[#This Row],[categorie]],Lijst!A:B,2,FALSE)</f>
        <v>Vast</v>
      </c>
      <c r="I1001" t="str">
        <f t="shared" si="50"/>
        <v>OK</v>
      </c>
    </row>
    <row r="1002" spans="1:9" hidden="1" x14ac:dyDescent="0.3">
      <c r="A1002" s="2">
        <v>45786</v>
      </c>
      <c r="B1002" t="str">
        <f t="shared" si="48"/>
        <v xml:space="preserve">mei </v>
      </c>
      <c r="C1002">
        <v>-3</v>
      </c>
      <c r="D1002" t="s">
        <v>3</v>
      </c>
      <c r="F1002" t="str">
        <f>VLOOKUP(Tabel1[[#This Row],[categorie]],Lijst!A:C,3,FALSE)</f>
        <v>Uitgave</v>
      </c>
      <c r="G1002">
        <f t="shared" si="49"/>
        <v>-3</v>
      </c>
      <c r="H1002" t="str">
        <f>VLOOKUP(Tabel1[[#This Row],[categorie]],Lijst!A:B,2,FALSE)</f>
        <v>Vast</v>
      </c>
      <c r="I1002" t="str">
        <f t="shared" si="50"/>
        <v>OK</v>
      </c>
    </row>
    <row r="1003" spans="1:9" hidden="1" x14ac:dyDescent="0.3">
      <c r="A1003" s="2">
        <v>45786</v>
      </c>
      <c r="B1003" t="str">
        <f t="shared" si="48"/>
        <v xml:space="preserve">mei </v>
      </c>
      <c r="C1003">
        <v>-1.8</v>
      </c>
      <c r="D1003" t="s">
        <v>26</v>
      </c>
      <c r="F1003" t="str">
        <f>VLOOKUP(Tabel1[[#This Row],[categorie]],Lijst!A:C,3,FALSE)</f>
        <v>Uitgave</v>
      </c>
      <c r="G1003">
        <f t="shared" si="49"/>
        <v>-1.8</v>
      </c>
      <c r="H1003" t="str">
        <f>VLOOKUP(Tabel1[[#This Row],[categorie]],Lijst!A:B,2,FALSE)</f>
        <v>Variabel</v>
      </c>
      <c r="I1003" t="str">
        <f t="shared" si="50"/>
        <v>OK</v>
      </c>
    </row>
    <row r="1004" spans="1:9" hidden="1" x14ac:dyDescent="0.3">
      <c r="A1004" s="2">
        <v>45786</v>
      </c>
      <c r="B1004" t="str">
        <f t="shared" si="48"/>
        <v xml:space="preserve">mei </v>
      </c>
      <c r="C1004">
        <v>-15.4</v>
      </c>
      <c r="D1004" t="s">
        <v>75</v>
      </c>
      <c r="F1004" t="s">
        <v>18</v>
      </c>
      <c r="G1004">
        <f t="shared" si="49"/>
        <v>-15.4</v>
      </c>
      <c r="H1004" t="str">
        <f>VLOOKUP(Tabel1[[#This Row],[categorie]],Lijst!A:B,2,FALSE)</f>
        <v>Variabel</v>
      </c>
      <c r="I1004" t="str">
        <f t="shared" si="50"/>
        <v>OK</v>
      </c>
    </row>
    <row r="1005" spans="1:9" hidden="1" x14ac:dyDescent="0.3">
      <c r="A1005" s="2">
        <v>45786</v>
      </c>
      <c r="B1005" t="str">
        <f t="shared" si="48"/>
        <v xml:space="preserve">mei </v>
      </c>
      <c r="C1005">
        <v>26.93</v>
      </c>
      <c r="D1005" t="s">
        <v>11</v>
      </c>
      <c r="F1005" t="s">
        <v>65</v>
      </c>
      <c r="G1005">
        <f t="shared" si="49"/>
        <v>26.93</v>
      </c>
      <c r="H1005" t="str">
        <f>VLOOKUP(Tabel1[[#This Row],[categorie]],Lijst!A:B,2,FALSE)</f>
        <v>Vast</v>
      </c>
      <c r="I1005" t="str">
        <f t="shared" si="50"/>
        <v>OK</v>
      </c>
    </row>
    <row r="1006" spans="1:9" hidden="1" x14ac:dyDescent="0.3">
      <c r="A1006" s="2">
        <v>45786</v>
      </c>
      <c r="B1006" t="str">
        <f t="shared" si="48"/>
        <v xml:space="preserve">mei </v>
      </c>
      <c r="C1006">
        <v>19.18</v>
      </c>
      <c r="D1006" t="s">
        <v>11</v>
      </c>
      <c r="F1006" t="s">
        <v>65</v>
      </c>
      <c r="G1006">
        <f t="shared" si="49"/>
        <v>19.18</v>
      </c>
      <c r="H1006" t="str">
        <f>VLOOKUP(Tabel1[[#This Row],[categorie]],Lijst!A:B,2,FALSE)</f>
        <v>Vast</v>
      </c>
      <c r="I1006" t="str">
        <f t="shared" si="50"/>
        <v>OK</v>
      </c>
    </row>
    <row r="1007" spans="1:9" hidden="1" x14ac:dyDescent="0.3">
      <c r="A1007" s="2">
        <v>45786</v>
      </c>
      <c r="B1007" t="str">
        <f t="shared" si="48"/>
        <v xml:space="preserve">mei </v>
      </c>
      <c r="C1007">
        <v>-19.95</v>
      </c>
      <c r="D1007" t="s">
        <v>14</v>
      </c>
      <c r="F1007" t="str">
        <f>VLOOKUP(Tabel1[[#This Row],[categorie]],Lijst!A:C,3,FALSE)</f>
        <v>Uitgave</v>
      </c>
      <c r="G1007">
        <f t="shared" si="49"/>
        <v>-19.95</v>
      </c>
      <c r="H1007" t="str">
        <f>VLOOKUP(Tabel1[[#This Row],[categorie]],Lijst!A:B,2,FALSE)</f>
        <v>Variabel</v>
      </c>
      <c r="I1007" t="str">
        <f t="shared" si="50"/>
        <v>OK</v>
      </c>
    </row>
    <row r="1008" spans="1:9" hidden="1" x14ac:dyDescent="0.3">
      <c r="A1008" s="2">
        <v>45786</v>
      </c>
      <c r="B1008" t="str">
        <f t="shared" si="48"/>
        <v xml:space="preserve">mei </v>
      </c>
      <c r="C1008">
        <v>-8.6199999999999992</v>
      </c>
      <c r="D1008" t="s">
        <v>13</v>
      </c>
      <c r="F1008" t="str">
        <f>VLOOKUP(Tabel1[[#This Row],[categorie]],Lijst!A:C,3,FALSE)</f>
        <v>Uitgave</v>
      </c>
      <c r="G1008">
        <f t="shared" si="49"/>
        <v>-8.6199999999999992</v>
      </c>
      <c r="H1008" t="str">
        <f>VLOOKUP(Tabel1[[#This Row],[categorie]],Lijst!A:B,2,FALSE)</f>
        <v>Vast</v>
      </c>
      <c r="I1008" t="str">
        <f t="shared" si="50"/>
        <v>OK</v>
      </c>
    </row>
    <row r="1009" spans="1:9" hidden="1" x14ac:dyDescent="0.3">
      <c r="A1009" s="2">
        <v>45787</v>
      </c>
      <c r="B1009" t="str">
        <f t="shared" si="48"/>
        <v xml:space="preserve">mei </v>
      </c>
      <c r="C1009">
        <v>-10.34</v>
      </c>
      <c r="D1009" t="s">
        <v>3</v>
      </c>
      <c r="F1009" t="s">
        <v>18</v>
      </c>
      <c r="G1009">
        <f t="shared" si="49"/>
        <v>-10.34</v>
      </c>
      <c r="H1009" t="str">
        <f>VLOOKUP(Tabel1[[#This Row],[categorie]],Lijst!A:B,2,FALSE)</f>
        <v>Vast</v>
      </c>
      <c r="I1009" t="str">
        <f t="shared" si="50"/>
        <v>OK</v>
      </c>
    </row>
    <row r="1010" spans="1:9" hidden="1" x14ac:dyDescent="0.3">
      <c r="A1010" s="2">
        <v>45787</v>
      </c>
      <c r="B1010" t="str">
        <f t="shared" si="48"/>
        <v xml:space="preserve">mei </v>
      </c>
      <c r="C1010">
        <v>-56.4</v>
      </c>
      <c r="D1010" t="s">
        <v>3</v>
      </c>
      <c r="F1010" t="str">
        <f>VLOOKUP(Tabel1[[#This Row],[categorie]],Lijst!A:C,3,FALSE)</f>
        <v>Uitgave</v>
      </c>
      <c r="G1010">
        <f t="shared" si="49"/>
        <v>-56.4</v>
      </c>
      <c r="H1010" t="str">
        <f>VLOOKUP(Tabel1[[#This Row],[categorie]],Lijst!A:B,2,FALSE)</f>
        <v>Vast</v>
      </c>
      <c r="I1010" t="str">
        <f t="shared" si="50"/>
        <v>OK</v>
      </c>
    </row>
    <row r="1011" spans="1:9" hidden="1" x14ac:dyDescent="0.3">
      <c r="A1011" s="2">
        <v>45787</v>
      </c>
      <c r="B1011" t="str">
        <f t="shared" si="48"/>
        <v xml:space="preserve">mei </v>
      </c>
      <c r="C1011">
        <v>-8.75</v>
      </c>
      <c r="D1011" t="s">
        <v>56</v>
      </c>
      <c r="F1011" t="str">
        <f>VLOOKUP(Tabel1[[#This Row],[categorie]],Lijst!A:C,3,FALSE)</f>
        <v>Uitgave</v>
      </c>
      <c r="G1011">
        <f t="shared" si="49"/>
        <v>-8.75</v>
      </c>
      <c r="H1011" t="str">
        <f>VLOOKUP(Tabel1[[#This Row],[categorie]],Lijst!A:B,2,FALSE)</f>
        <v>Variabel</v>
      </c>
      <c r="I1011" t="str">
        <f t="shared" si="50"/>
        <v>OK</v>
      </c>
    </row>
    <row r="1012" spans="1:9" hidden="1" x14ac:dyDescent="0.3">
      <c r="A1012" s="2">
        <v>45787</v>
      </c>
      <c r="B1012" t="str">
        <f t="shared" si="48"/>
        <v xml:space="preserve">mei </v>
      </c>
      <c r="C1012">
        <v>-3.25</v>
      </c>
      <c r="D1012" t="s">
        <v>56</v>
      </c>
      <c r="F1012" t="str">
        <f>VLOOKUP(Tabel1[[#This Row],[categorie]],Lijst!A:C,3,FALSE)</f>
        <v>Uitgave</v>
      </c>
      <c r="G1012">
        <f t="shared" si="49"/>
        <v>-3.25</v>
      </c>
      <c r="H1012" t="str">
        <f>VLOOKUP(Tabel1[[#This Row],[categorie]],Lijst!A:B,2,FALSE)</f>
        <v>Variabel</v>
      </c>
      <c r="I1012" t="str">
        <f t="shared" si="50"/>
        <v>OK</v>
      </c>
    </row>
    <row r="1013" spans="1:9" hidden="1" x14ac:dyDescent="0.3">
      <c r="A1013" s="2">
        <v>45787</v>
      </c>
      <c r="B1013" t="str">
        <f t="shared" si="48"/>
        <v xml:space="preserve">mei </v>
      </c>
      <c r="C1013">
        <v>-7.6</v>
      </c>
      <c r="D1013" t="s">
        <v>9</v>
      </c>
      <c r="F1013" t="s">
        <v>18</v>
      </c>
      <c r="G1013">
        <f t="shared" si="49"/>
        <v>-7.6</v>
      </c>
      <c r="H1013" t="str">
        <f>VLOOKUP(Tabel1[[#This Row],[categorie]],Lijst!A:B,2,FALSE)</f>
        <v>Variabel</v>
      </c>
      <c r="I1013" t="str">
        <f t="shared" si="50"/>
        <v>OK</v>
      </c>
    </row>
    <row r="1014" spans="1:9" hidden="1" x14ac:dyDescent="0.3">
      <c r="A1014" s="2">
        <v>45787</v>
      </c>
      <c r="B1014" t="str">
        <f t="shared" si="48"/>
        <v xml:space="preserve">mei </v>
      </c>
      <c r="C1014">
        <v>-7.6</v>
      </c>
      <c r="D1014" t="s">
        <v>9</v>
      </c>
      <c r="F1014" t="s">
        <v>18</v>
      </c>
      <c r="G1014">
        <f t="shared" si="49"/>
        <v>-7.6</v>
      </c>
      <c r="H1014" t="str">
        <f>VLOOKUP(Tabel1[[#This Row],[categorie]],Lijst!A:B,2,FALSE)</f>
        <v>Variabel</v>
      </c>
      <c r="I1014" t="str">
        <f t="shared" si="50"/>
        <v>OK</v>
      </c>
    </row>
    <row r="1015" spans="1:9" hidden="1" x14ac:dyDescent="0.3">
      <c r="A1015" s="2">
        <v>45788</v>
      </c>
      <c r="B1015" t="str">
        <f t="shared" si="48"/>
        <v xml:space="preserve">mei </v>
      </c>
      <c r="C1015">
        <v>-36.99</v>
      </c>
      <c r="D1015" t="s">
        <v>9</v>
      </c>
      <c r="F1015" t="s">
        <v>18</v>
      </c>
      <c r="G1015">
        <f t="shared" si="49"/>
        <v>-36.99</v>
      </c>
      <c r="H1015" t="str">
        <f>VLOOKUP(Tabel1[[#This Row],[categorie]],Lijst!A:B,2,FALSE)</f>
        <v>Variabel</v>
      </c>
      <c r="I1015" t="str">
        <f t="shared" si="50"/>
        <v>OK</v>
      </c>
    </row>
    <row r="1016" spans="1:9" hidden="1" x14ac:dyDescent="0.3">
      <c r="A1016" s="2">
        <v>45788</v>
      </c>
      <c r="B1016" t="str">
        <f t="shared" si="48"/>
        <v xml:space="preserve">mei </v>
      </c>
      <c r="C1016">
        <v>-6.88</v>
      </c>
      <c r="D1016" t="s">
        <v>3</v>
      </c>
      <c r="F1016" t="s">
        <v>18</v>
      </c>
      <c r="G1016">
        <f t="shared" si="49"/>
        <v>-6.88</v>
      </c>
      <c r="H1016" t="str">
        <f>VLOOKUP(Tabel1[[#This Row],[categorie]],Lijst!A:B,2,FALSE)</f>
        <v>Vast</v>
      </c>
      <c r="I1016" t="str">
        <f t="shared" si="50"/>
        <v>OK</v>
      </c>
    </row>
    <row r="1017" spans="1:9" hidden="1" x14ac:dyDescent="0.3">
      <c r="A1017" s="2">
        <v>45789</v>
      </c>
      <c r="B1017" t="str">
        <f t="shared" si="48"/>
        <v xml:space="preserve">mei </v>
      </c>
      <c r="C1017">
        <v>-11.85</v>
      </c>
      <c r="D1017" t="s">
        <v>35</v>
      </c>
      <c r="F1017" t="str">
        <f>VLOOKUP(Tabel1[[#This Row],[categorie]],Lijst!A:C,3,FALSE)</f>
        <v>Uitgave</v>
      </c>
      <c r="G1017">
        <f t="shared" si="49"/>
        <v>-11.85</v>
      </c>
      <c r="H1017" t="str">
        <f>VLOOKUP(Tabel1[[#This Row],[categorie]],Lijst!A:B,2,FALSE)</f>
        <v>Variabel</v>
      </c>
      <c r="I1017" t="str">
        <f t="shared" si="50"/>
        <v>OK</v>
      </c>
    </row>
    <row r="1018" spans="1:9" hidden="1" x14ac:dyDescent="0.3">
      <c r="A1018" s="2">
        <v>45789</v>
      </c>
      <c r="B1018" t="str">
        <f t="shared" si="48"/>
        <v xml:space="preserve">mei </v>
      </c>
      <c r="C1018">
        <v>1.5</v>
      </c>
      <c r="D1018" t="s">
        <v>3</v>
      </c>
      <c r="F1018" t="s">
        <v>65</v>
      </c>
      <c r="G1018">
        <f t="shared" si="49"/>
        <v>1.5</v>
      </c>
      <c r="H1018" t="str">
        <f>VLOOKUP(Tabel1[[#This Row],[categorie]],Lijst!A:B,2,FALSE)</f>
        <v>Vast</v>
      </c>
      <c r="I1018" t="str">
        <f t="shared" si="50"/>
        <v>OK</v>
      </c>
    </row>
    <row r="1019" spans="1:9" hidden="1" x14ac:dyDescent="0.3">
      <c r="A1019" s="2">
        <v>45789</v>
      </c>
      <c r="B1019" t="str">
        <f t="shared" si="48"/>
        <v xml:space="preserve">mei </v>
      </c>
      <c r="C1019">
        <v>-8</v>
      </c>
      <c r="D1019" t="s">
        <v>13</v>
      </c>
      <c r="F1019" t="str">
        <f>VLOOKUP(Tabel1[[#This Row],[categorie]],Lijst!A:C,3,FALSE)</f>
        <v>Uitgave</v>
      </c>
      <c r="G1019">
        <f t="shared" si="49"/>
        <v>-8</v>
      </c>
      <c r="H1019" t="str">
        <f>VLOOKUP(Tabel1[[#This Row],[categorie]],Lijst!A:B,2,FALSE)</f>
        <v>Vast</v>
      </c>
      <c r="I1019" t="str">
        <f t="shared" si="50"/>
        <v>OK</v>
      </c>
    </row>
    <row r="1020" spans="1:9" hidden="1" x14ac:dyDescent="0.3">
      <c r="A1020" s="2">
        <v>45789</v>
      </c>
      <c r="B1020" t="str">
        <f t="shared" si="48"/>
        <v xml:space="preserve">mei </v>
      </c>
      <c r="C1020">
        <v>-2</v>
      </c>
      <c r="D1020" t="s">
        <v>75</v>
      </c>
      <c r="F1020" t="s">
        <v>18</v>
      </c>
      <c r="G1020">
        <f t="shared" si="49"/>
        <v>-2</v>
      </c>
      <c r="H1020" t="str">
        <f>VLOOKUP(Tabel1[[#This Row],[categorie]],Lijst!A:B,2,FALSE)</f>
        <v>Variabel</v>
      </c>
      <c r="I1020" t="str">
        <f t="shared" si="50"/>
        <v>OK</v>
      </c>
    </row>
    <row r="1021" spans="1:9" hidden="1" x14ac:dyDescent="0.3">
      <c r="A1021" s="2">
        <v>45789</v>
      </c>
      <c r="B1021" t="str">
        <f t="shared" si="48"/>
        <v xml:space="preserve">mei </v>
      </c>
      <c r="C1021">
        <v>-7.19</v>
      </c>
      <c r="D1021" t="s">
        <v>3</v>
      </c>
      <c r="F1021" t="s">
        <v>18</v>
      </c>
      <c r="G1021">
        <f t="shared" si="49"/>
        <v>-7.19</v>
      </c>
      <c r="H1021" t="str">
        <f>VLOOKUP(Tabel1[[#This Row],[categorie]],Lijst!A:B,2,FALSE)</f>
        <v>Vast</v>
      </c>
      <c r="I1021" t="str">
        <f t="shared" si="50"/>
        <v>OK</v>
      </c>
    </row>
    <row r="1022" spans="1:9" hidden="1" x14ac:dyDescent="0.3">
      <c r="A1022" s="2">
        <v>45789</v>
      </c>
      <c r="B1022" t="str">
        <f t="shared" si="48"/>
        <v xml:space="preserve">mei </v>
      </c>
      <c r="C1022">
        <v>-6.93</v>
      </c>
      <c r="D1022" t="s">
        <v>13</v>
      </c>
      <c r="F1022" t="str">
        <f>VLOOKUP(Tabel1[[#This Row],[categorie]],Lijst!A:C,3,FALSE)</f>
        <v>Uitgave</v>
      </c>
      <c r="G1022">
        <f t="shared" si="49"/>
        <v>-6.93</v>
      </c>
      <c r="H1022" t="str">
        <f>VLOOKUP(Tabel1[[#This Row],[categorie]],Lijst!A:B,2,FALSE)</f>
        <v>Vast</v>
      </c>
      <c r="I1022" t="str">
        <f t="shared" si="50"/>
        <v>OK</v>
      </c>
    </row>
    <row r="1023" spans="1:9" hidden="1" x14ac:dyDescent="0.3">
      <c r="A1023" s="2">
        <v>45789</v>
      </c>
      <c r="B1023" t="str">
        <f t="shared" si="48"/>
        <v xml:space="preserve">mei </v>
      </c>
      <c r="C1023">
        <v>-5</v>
      </c>
      <c r="D1023" t="s">
        <v>13</v>
      </c>
      <c r="F1023" t="str">
        <f>VLOOKUP(Tabel1[[#This Row],[categorie]],Lijst!A:C,3,FALSE)</f>
        <v>Uitgave</v>
      </c>
      <c r="G1023">
        <f t="shared" si="49"/>
        <v>-5</v>
      </c>
      <c r="H1023" t="str">
        <f>VLOOKUP(Tabel1[[#This Row],[categorie]],Lijst!A:B,2,FALSE)</f>
        <v>Vast</v>
      </c>
      <c r="I1023" t="str">
        <f t="shared" si="50"/>
        <v>OK</v>
      </c>
    </row>
    <row r="1024" spans="1:9" hidden="1" x14ac:dyDescent="0.3">
      <c r="A1024" s="2">
        <v>45789</v>
      </c>
      <c r="B1024" t="str">
        <f t="shared" si="48"/>
        <v xml:space="preserve">mei </v>
      </c>
      <c r="C1024">
        <v>-0.9</v>
      </c>
      <c r="D1024" t="s">
        <v>26</v>
      </c>
      <c r="F1024" t="str">
        <f>VLOOKUP(Tabel1[[#This Row],[categorie]],Lijst!A:C,3,FALSE)</f>
        <v>Uitgave</v>
      </c>
      <c r="G1024">
        <f t="shared" si="49"/>
        <v>-0.9</v>
      </c>
      <c r="H1024" t="str">
        <f>VLOOKUP(Tabel1[[#This Row],[categorie]],Lijst!A:B,2,FALSE)</f>
        <v>Variabel</v>
      </c>
      <c r="I1024" t="str">
        <f t="shared" si="50"/>
        <v>OK</v>
      </c>
    </row>
    <row r="1025" spans="1:9" hidden="1" x14ac:dyDescent="0.3">
      <c r="A1025" s="2">
        <v>45789</v>
      </c>
      <c r="B1025" t="str">
        <f t="shared" si="48"/>
        <v xml:space="preserve">mei </v>
      </c>
      <c r="C1025">
        <v>-81.400000000000006</v>
      </c>
      <c r="D1025" t="s">
        <v>3</v>
      </c>
      <c r="F1025" t="str">
        <f>VLOOKUP(Tabel1[[#This Row],[categorie]],Lijst!A:C,3,FALSE)</f>
        <v>Uitgave</v>
      </c>
      <c r="G1025">
        <f t="shared" si="49"/>
        <v>-81.400000000000006</v>
      </c>
      <c r="H1025" t="str">
        <f>VLOOKUP(Tabel1[[#This Row],[categorie]],Lijst!A:B,2,FALSE)</f>
        <v>Vast</v>
      </c>
      <c r="I1025" t="str">
        <f t="shared" si="50"/>
        <v>OK</v>
      </c>
    </row>
    <row r="1026" spans="1:9" hidden="1" x14ac:dyDescent="0.3">
      <c r="A1026" s="2">
        <v>45789</v>
      </c>
      <c r="B1026" t="str">
        <f t="shared" si="48"/>
        <v xml:space="preserve">mei </v>
      </c>
      <c r="C1026">
        <v>-5</v>
      </c>
      <c r="D1026" t="s">
        <v>3</v>
      </c>
      <c r="F1026" t="str">
        <f>VLOOKUP(Tabel1[[#This Row],[categorie]],Lijst!A:C,3,FALSE)</f>
        <v>Uitgave</v>
      </c>
      <c r="G1026">
        <f t="shared" si="49"/>
        <v>-5</v>
      </c>
      <c r="H1026" t="str">
        <f>VLOOKUP(Tabel1[[#This Row],[categorie]],Lijst!A:B,2,FALSE)</f>
        <v>Vast</v>
      </c>
      <c r="I1026" t="str">
        <f t="shared" si="50"/>
        <v>OK</v>
      </c>
    </row>
    <row r="1027" spans="1:9" hidden="1" x14ac:dyDescent="0.3">
      <c r="A1027" s="2">
        <v>45789</v>
      </c>
      <c r="B1027" t="str">
        <f t="shared" si="48"/>
        <v xml:space="preserve">mei </v>
      </c>
      <c r="C1027">
        <v>-12.01</v>
      </c>
      <c r="D1027" t="s">
        <v>46</v>
      </c>
      <c r="F1027" t="str">
        <f>VLOOKUP(Tabel1[[#This Row],[categorie]],Lijst!A:C,3,FALSE)</f>
        <v>Uitgave</v>
      </c>
      <c r="G1027">
        <f t="shared" si="49"/>
        <v>-12.01</v>
      </c>
      <c r="H1027" t="str">
        <f>VLOOKUP(Tabel1[[#This Row],[categorie]],Lijst!A:B,2,FALSE)</f>
        <v>Vast</v>
      </c>
      <c r="I1027" t="str">
        <f t="shared" si="50"/>
        <v>OK</v>
      </c>
    </row>
    <row r="1028" spans="1:9" hidden="1" x14ac:dyDescent="0.3">
      <c r="A1028" s="2">
        <v>45790</v>
      </c>
      <c r="B1028" t="str">
        <f t="shared" si="48"/>
        <v xml:space="preserve">mei </v>
      </c>
      <c r="C1028">
        <v>-14.64</v>
      </c>
      <c r="D1028" t="s">
        <v>3</v>
      </c>
      <c r="F1028" t="s">
        <v>18</v>
      </c>
      <c r="G1028">
        <f t="shared" si="49"/>
        <v>-14.64</v>
      </c>
      <c r="H1028" t="str">
        <f>VLOOKUP(Tabel1[[#This Row],[categorie]],Lijst!A:B,2,FALSE)</f>
        <v>Vast</v>
      </c>
      <c r="I1028" t="str">
        <f t="shared" si="50"/>
        <v>OK</v>
      </c>
    </row>
    <row r="1029" spans="1:9" hidden="1" x14ac:dyDescent="0.3">
      <c r="A1029" s="2">
        <v>45790</v>
      </c>
      <c r="B1029" t="str">
        <f t="shared" si="48"/>
        <v xml:space="preserve">mei </v>
      </c>
      <c r="C1029">
        <v>50</v>
      </c>
      <c r="D1029" t="s">
        <v>75</v>
      </c>
      <c r="F1029" t="s">
        <v>65</v>
      </c>
      <c r="G1029">
        <f t="shared" si="49"/>
        <v>50</v>
      </c>
      <c r="H1029" t="str">
        <f>VLOOKUP(Tabel1[[#This Row],[categorie]],Lijst!A:B,2,FALSE)</f>
        <v>Variabel</v>
      </c>
      <c r="I1029" t="str">
        <f t="shared" si="50"/>
        <v>OK</v>
      </c>
    </row>
    <row r="1030" spans="1:9" hidden="1" x14ac:dyDescent="0.3">
      <c r="A1030" s="2">
        <v>45790</v>
      </c>
      <c r="B1030" t="str">
        <f t="shared" si="48"/>
        <v xml:space="preserve">mei </v>
      </c>
      <c r="C1030">
        <v>-1.5</v>
      </c>
      <c r="D1030" t="s">
        <v>26</v>
      </c>
      <c r="F1030" t="str">
        <f>VLOOKUP(Tabel1[[#This Row],[categorie]],Lijst!A:C,3,FALSE)</f>
        <v>Uitgave</v>
      </c>
      <c r="G1030">
        <f t="shared" si="49"/>
        <v>-1.5</v>
      </c>
      <c r="H1030" t="str">
        <f>VLOOKUP(Tabel1[[#This Row],[categorie]],Lijst!A:B,2,FALSE)</f>
        <v>Variabel</v>
      </c>
      <c r="I1030" t="str">
        <f t="shared" si="50"/>
        <v>OK</v>
      </c>
    </row>
    <row r="1031" spans="1:9" hidden="1" x14ac:dyDescent="0.3">
      <c r="A1031" s="2">
        <v>45790</v>
      </c>
      <c r="B1031" t="str">
        <f t="shared" si="48"/>
        <v xml:space="preserve">mei </v>
      </c>
      <c r="C1031">
        <v>-1.5</v>
      </c>
      <c r="D1031" t="s">
        <v>26</v>
      </c>
      <c r="F1031" t="str">
        <f>VLOOKUP(Tabel1[[#This Row],[categorie]],Lijst!A:C,3,FALSE)</f>
        <v>Uitgave</v>
      </c>
      <c r="G1031">
        <f t="shared" si="49"/>
        <v>-1.5</v>
      </c>
      <c r="H1031" t="str">
        <f>VLOOKUP(Tabel1[[#This Row],[categorie]],Lijst!A:B,2,FALSE)</f>
        <v>Variabel</v>
      </c>
      <c r="I1031" t="str">
        <f t="shared" si="50"/>
        <v>OK</v>
      </c>
    </row>
    <row r="1032" spans="1:9" hidden="1" x14ac:dyDescent="0.3">
      <c r="A1032" s="2">
        <v>45790</v>
      </c>
      <c r="B1032" t="str">
        <f t="shared" si="48"/>
        <v xml:space="preserve">mei </v>
      </c>
      <c r="C1032">
        <v>8.33</v>
      </c>
      <c r="D1032" t="s">
        <v>30</v>
      </c>
      <c r="F1032" t="s">
        <v>65</v>
      </c>
      <c r="G1032">
        <f t="shared" si="49"/>
        <v>8.33</v>
      </c>
      <c r="H1032" t="str">
        <f>VLOOKUP(Tabel1[[#This Row],[categorie]],Lijst!A:B,2,FALSE)</f>
        <v>Vast</v>
      </c>
      <c r="I1032" t="str">
        <f t="shared" si="50"/>
        <v>OK</v>
      </c>
    </row>
    <row r="1033" spans="1:9" hidden="1" x14ac:dyDescent="0.3">
      <c r="A1033" s="2">
        <v>45791</v>
      </c>
      <c r="B1033" t="str">
        <f t="shared" si="48"/>
        <v xml:space="preserve">mei </v>
      </c>
      <c r="C1033">
        <v>-34.200000000000003</v>
      </c>
      <c r="D1033" t="s">
        <v>9</v>
      </c>
      <c r="F1033" t="s">
        <v>18</v>
      </c>
      <c r="G1033">
        <f t="shared" si="49"/>
        <v>-34.200000000000003</v>
      </c>
      <c r="H1033" t="str">
        <f>VLOOKUP(Tabel1[[#This Row],[categorie]],Lijst!A:B,2,FALSE)</f>
        <v>Variabel</v>
      </c>
      <c r="I1033" t="str">
        <f t="shared" si="50"/>
        <v>OK</v>
      </c>
    </row>
    <row r="1034" spans="1:9" hidden="1" x14ac:dyDescent="0.3">
      <c r="A1034" s="2">
        <v>45791</v>
      </c>
      <c r="B1034" t="str">
        <f t="shared" si="48"/>
        <v xml:space="preserve">mei </v>
      </c>
      <c r="C1034">
        <v>-4</v>
      </c>
      <c r="D1034" t="s">
        <v>82</v>
      </c>
      <c r="F1034" t="s">
        <v>18</v>
      </c>
      <c r="G1034">
        <f t="shared" si="49"/>
        <v>-4</v>
      </c>
      <c r="H1034" t="str">
        <f>VLOOKUP(Tabel1[[#This Row],[categorie]],Lijst!A:B,2,FALSE)</f>
        <v>Vast</v>
      </c>
      <c r="I1034" t="str">
        <f t="shared" si="50"/>
        <v>OK</v>
      </c>
    </row>
    <row r="1035" spans="1:9" hidden="1" x14ac:dyDescent="0.3">
      <c r="A1035" s="2">
        <v>45791</v>
      </c>
      <c r="B1035" t="str">
        <f t="shared" si="48"/>
        <v xml:space="preserve">mei </v>
      </c>
      <c r="C1035">
        <v>-23.4</v>
      </c>
      <c r="D1035" t="s">
        <v>3</v>
      </c>
      <c r="F1035" t="str">
        <f>VLOOKUP(Tabel1[[#This Row],[categorie]],Lijst!A:C,3,FALSE)</f>
        <v>Uitgave</v>
      </c>
      <c r="G1035">
        <f t="shared" si="49"/>
        <v>-23.4</v>
      </c>
      <c r="H1035" t="str">
        <f>VLOOKUP(Tabel1[[#This Row],[categorie]],Lijst!A:B,2,FALSE)</f>
        <v>Vast</v>
      </c>
      <c r="I1035" t="str">
        <f t="shared" si="50"/>
        <v>OK</v>
      </c>
    </row>
    <row r="1036" spans="1:9" hidden="1" x14ac:dyDescent="0.3">
      <c r="A1036" s="2">
        <v>45791</v>
      </c>
      <c r="B1036" t="str">
        <f t="shared" si="48"/>
        <v xml:space="preserve">mei </v>
      </c>
      <c r="C1036">
        <v>-0.9</v>
      </c>
      <c r="D1036" t="s">
        <v>26</v>
      </c>
      <c r="F1036" t="str">
        <f>VLOOKUP(Tabel1[[#This Row],[categorie]],Lijst!A:C,3,FALSE)</f>
        <v>Uitgave</v>
      </c>
      <c r="G1036">
        <f t="shared" si="49"/>
        <v>-0.9</v>
      </c>
      <c r="H1036" t="str">
        <f>VLOOKUP(Tabel1[[#This Row],[categorie]],Lijst!A:B,2,FALSE)</f>
        <v>Variabel</v>
      </c>
      <c r="I1036" t="str">
        <f t="shared" si="50"/>
        <v>OK</v>
      </c>
    </row>
    <row r="1037" spans="1:9" hidden="1" x14ac:dyDescent="0.3">
      <c r="A1037" s="2">
        <v>45792</v>
      </c>
      <c r="B1037" t="str">
        <f t="shared" si="48"/>
        <v xml:space="preserve">mei </v>
      </c>
      <c r="C1037">
        <v>-32.799999999999997</v>
      </c>
      <c r="D1037" t="s">
        <v>9</v>
      </c>
      <c r="F1037" t="s">
        <v>18</v>
      </c>
      <c r="G1037">
        <f t="shared" si="49"/>
        <v>-32.799999999999997</v>
      </c>
      <c r="H1037" t="str">
        <f>VLOOKUP(Tabel1[[#This Row],[categorie]],Lijst!A:B,2,FALSE)</f>
        <v>Variabel</v>
      </c>
      <c r="I1037" t="str">
        <f t="shared" si="50"/>
        <v>OK</v>
      </c>
    </row>
    <row r="1038" spans="1:9" hidden="1" x14ac:dyDescent="0.3">
      <c r="A1038" s="2">
        <v>45792</v>
      </c>
      <c r="B1038" t="str">
        <f t="shared" si="48"/>
        <v xml:space="preserve">mei </v>
      </c>
      <c r="C1038">
        <v>-8.44</v>
      </c>
      <c r="D1038" t="s">
        <v>3</v>
      </c>
      <c r="F1038" t="str">
        <f>VLOOKUP(Tabel1[[#This Row],[categorie]],Lijst!A:C,3,FALSE)</f>
        <v>Uitgave</v>
      </c>
      <c r="G1038">
        <f t="shared" si="49"/>
        <v>-8.44</v>
      </c>
      <c r="H1038" t="str">
        <f>VLOOKUP(Tabel1[[#This Row],[categorie]],Lijst!A:B,2,FALSE)</f>
        <v>Vast</v>
      </c>
      <c r="I1038" t="str">
        <f t="shared" si="50"/>
        <v>OK</v>
      </c>
    </row>
    <row r="1039" spans="1:9" hidden="1" x14ac:dyDescent="0.3">
      <c r="A1039" s="2">
        <v>45792</v>
      </c>
      <c r="B1039" t="str">
        <f t="shared" si="48"/>
        <v xml:space="preserve">mei </v>
      </c>
      <c r="C1039">
        <v>-10.65</v>
      </c>
      <c r="D1039" t="s">
        <v>56</v>
      </c>
      <c r="F1039" t="str">
        <f>VLOOKUP(Tabel1[[#This Row],[categorie]],Lijst!A:C,3,FALSE)</f>
        <v>Uitgave</v>
      </c>
      <c r="G1039">
        <f t="shared" si="49"/>
        <v>-10.65</v>
      </c>
      <c r="H1039" t="str">
        <f>VLOOKUP(Tabel1[[#This Row],[categorie]],Lijst!A:B,2,FALSE)</f>
        <v>Variabel</v>
      </c>
      <c r="I1039" t="str">
        <f t="shared" si="50"/>
        <v>OK</v>
      </c>
    </row>
    <row r="1040" spans="1:9" hidden="1" x14ac:dyDescent="0.3">
      <c r="A1040" s="2">
        <v>45792</v>
      </c>
      <c r="B1040" t="str">
        <f t="shared" si="48"/>
        <v xml:space="preserve">mei </v>
      </c>
      <c r="C1040">
        <v>-0.9</v>
      </c>
      <c r="D1040" t="s">
        <v>26</v>
      </c>
      <c r="F1040" t="str">
        <f>VLOOKUP(Tabel1[[#This Row],[categorie]],Lijst!A:C,3,FALSE)</f>
        <v>Uitgave</v>
      </c>
      <c r="G1040">
        <f t="shared" si="49"/>
        <v>-0.9</v>
      </c>
      <c r="H1040" t="str">
        <f>VLOOKUP(Tabel1[[#This Row],[categorie]],Lijst!A:B,2,FALSE)</f>
        <v>Variabel</v>
      </c>
      <c r="I1040" t="str">
        <f t="shared" si="50"/>
        <v>OK</v>
      </c>
    </row>
    <row r="1041" spans="1:9" hidden="1" x14ac:dyDescent="0.3">
      <c r="A1041" s="2">
        <v>45792</v>
      </c>
      <c r="B1041" t="str">
        <f t="shared" si="48"/>
        <v xml:space="preserve">mei </v>
      </c>
      <c r="C1041">
        <v>-6.4</v>
      </c>
      <c r="D1041" t="s">
        <v>9</v>
      </c>
      <c r="F1041" t="s">
        <v>18</v>
      </c>
      <c r="G1041">
        <f t="shared" si="49"/>
        <v>-6.4</v>
      </c>
      <c r="H1041" t="str">
        <f>VLOOKUP(Tabel1[[#This Row],[categorie]],Lijst!A:B,2,FALSE)</f>
        <v>Variabel</v>
      </c>
      <c r="I1041" t="str">
        <f t="shared" si="50"/>
        <v>OK</v>
      </c>
    </row>
    <row r="1042" spans="1:9" hidden="1" x14ac:dyDescent="0.3">
      <c r="A1042" s="2">
        <v>45792</v>
      </c>
      <c r="B1042" t="str">
        <f t="shared" si="48"/>
        <v xml:space="preserve">mei </v>
      </c>
      <c r="C1042">
        <v>-6.4</v>
      </c>
      <c r="D1042" t="s">
        <v>9</v>
      </c>
      <c r="F1042" t="s">
        <v>18</v>
      </c>
      <c r="G1042">
        <f t="shared" si="49"/>
        <v>-6.4</v>
      </c>
      <c r="H1042" t="str">
        <f>VLOOKUP(Tabel1[[#This Row],[categorie]],Lijst!A:B,2,FALSE)</f>
        <v>Variabel</v>
      </c>
      <c r="I1042" t="str">
        <f t="shared" si="50"/>
        <v>OK</v>
      </c>
    </row>
    <row r="1043" spans="1:9" hidden="1" x14ac:dyDescent="0.3">
      <c r="A1043" s="2">
        <v>45793</v>
      </c>
      <c r="B1043" t="str">
        <f t="shared" si="48"/>
        <v xml:space="preserve">mei </v>
      </c>
      <c r="C1043">
        <v>-16.7</v>
      </c>
      <c r="D1043" t="s">
        <v>9</v>
      </c>
      <c r="F1043" t="s">
        <v>18</v>
      </c>
      <c r="G1043">
        <f t="shared" si="49"/>
        <v>-16.7</v>
      </c>
      <c r="H1043" t="str">
        <f>VLOOKUP(Tabel1[[#This Row],[categorie]],Lijst!A:B,2,FALSE)</f>
        <v>Variabel</v>
      </c>
      <c r="I1043" t="str">
        <f t="shared" si="50"/>
        <v>OK</v>
      </c>
    </row>
    <row r="1044" spans="1:9" hidden="1" x14ac:dyDescent="0.3">
      <c r="A1044" s="2">
        <v>45793</v>
      </c>
      <c r="B1044" t="str">
        <f t="shared" si="48"/>
        <v xml:space="preserve">mei </v>
      </c>
      <c r="C1044">
        <v>19.5</v>
      </c>
      <c r="D1044" t="s">
        <v>75</v>
      </c>
      <c r="F1044" t="s">
        <v>65</v>
      </c>
      <c r="G1044">
        <f t="shared" si="49"/>
        <v>19.5</v>
      </c>
      <c r="H1044" t="str">
        <f>VLOOKUP(Tabel1[[#This Row],[categorie]],Lijst!A:B,2,FALSE)</f>
        <v>Variabel</v>
      </c>
      <c r="I1044" t="str">
        <f t="shared" si="50"/>
        <v>OK</v>
      </c>
    </row>
    <row r="1045" spans="1:9" hidden="1" x14ac:dyDescent="0.3">
      <c r="A1045" s="2">
        <v>45793</v>
      </c>
      <c r="B1045" t="str">
        <f t="shared" si="48"/>
        <v xml:space="preserve">mei </v>
      </c>
      <c r="C1045">
        <v>3.5</v>
      </c>
      <c r="D1045" t="s">
        <v>75</v>
      </c>
      <c r="F1045" t="s">
        <v>65</v>
      </c>
      <c r="G1045">
        <f t="shared" si="49"/>
        <v>3.5</v>
      </c>
      <c r="H1045" t="str">
        <f>VLOOKUP(Tabel1[[#This Row],[categorie]],Lijst!A:B,2,FALSE)</f>
        <v>Variabel</v>
      </c>
      <c r="I1045" t="str">
        <f t="shared" si="50"/>
        <v>OK</v>
      </c>
    </row>
    <row r="1046" spans="1:9" hidden="1" x14ac:dyDescent="0.3">
      <c r="A1046" s="2">
        <v>45793</v>
      </c>
      <c r="B1046" t="str">
        <f t="shared" si="48"/>
        <v xml:space="preserve">mei </v>
      </c>
      <c r="C1046">
        <v>-19.5</v>
      </c>
      <c r="D1046" t="s">
        <v>75</v>
      </c>
      <c r="F1046" t="s">
        <v>18</v>
      </c>
      <c r="G1046">
        <f t="shared" si="49"/>
        <v>-19.5</v>
      </c>
      <c r="H1046" t="str">
        <f>VLOOKUP(Tabel1[[#This Row],[categorie]],Lijst!A:B,2,FALSE)</f>
        <v>Variabel</v>
      </c>
      <c r="I1046" t="str">
        <f t="shared" si="50"/>
        <v>OK</v>
      </c>
    </row>
    <row r="1047" spans="1:9" hidden="1" x14ac:dyDescent="0.3">
      <c r="A1047" s="2">
        <v>45793</v>
      </c>
      <c r="B1047" t="str">
        <f t="shared" si="48"/>
        <v xml:space="preserve">mei </v>
      </c>
      <c r="C1047">
        <v>14.3</v>
      </c>
      <c r="D1047" t="s">
        <v>3</v>
      </c>
      <c r="F1047" t="s">
        <v>65</v>
      </c>
      <c r="G1047">
        <f t="shared" si="49"/>
        <v>14.3</v>
      </c>
      <c r="H1047" t="str">
        <f>VLOOKUP(Tabel1[[#This Row],[categorie]],Lijst!A:B,2,FALSE)</f>
        <v>Vast</v>
      </c>
      <c r="I1047" t="str">
        <f t="shared" si="50"/>
        <v>OK</v>
      </c>
    </row>
    <row r="1048" spans="1:9" hidden="1" x14ac:dyDescent="0.3">
      <c r="A1048" s="2">
        <v>45793</v>
      </c>
      <c r="B1048" t="str">
        <f t="shared" si="48"/>
        <v xml:space="preserve">mei </v>
      </c>
      <c r="C1048">
        <v>-4</v>
      </c>
      <c r="D1048" t="s">
        <v>35</v>
      </c>
      <c r="F1048" t="str">
        <f>VLOOKUP(Tabel1[[#This Row],[categorie]],Lijst!A:C,3,FALSE)</f>
        <v>Uitgave</v>
      </c>
      <c r="G1048">
        <f t="shared" si="49"/>
        <v>-4</v>
      </c>
      <c r="H1048" t="str">
        <f>VLOOKUP(Tabel1[[#This Row],[categorie]],Lijst!A:B,2,FALSE)</f>
        <v>Variabel</v>
      </c>
      <c r="I1048" t="str">
        <f t="shared" si="50"/>
        <v>OK</v>
      </c>
    </row>
    <row r="1049" spans="1:9" hidden="1" x14ac:dyDescent="0.3">
      <c r="A1049" s="2">
        <v>45793</v>
      </c>
      <c r="B1049" t="str">
        <f t="shared" si="48"/>
        <v xml:space="preserve">mei </v>
      </c>
      <c r="C1049">
        <v>-7.64</v>
      </c>
      <c r="D1049" t="s">
        <v>3</v>
      </c>
      <c r="F1049" t="s">
        <v>18</v>
      </c>
      <c r="G1049">
        <f t="shared" si="49"/>
        <v>-7.64</v>
      </c>
      <c r="H1049" t="str">
        <f>VLOOKUP(Tabel1[[#This Row],[categorie]],Lijst!A:B,2,FALSE)</f>
        <v>Vast</v>
      </c>
      <c r="I1049" t="str">
        <f t="shared" si="50"/>
        <v>OK</v>
      </c>
    </row>
    <row r="1050" spans="1:9" hidden="1" x14ac:dyDescent="0.3">
      <c r="A1050" s="2">
        <v>45793</v>
      </c>
      <c r="B1050" t="str">
        <f t="shared" si="48"/>
        <v xml:space="preserve">mei </v>
      </c>
      <c r="C1050">
        <v>-91.2</v>
      </c>
      <c r="D1050" t="s">
        <v>3</v>
      </c>
      <c r="F1050" t="str">
        <f>VLOOKUP(Tabel1[[#This Row],[categorie]],Lijst!A:C,3,FALSE)</f>
        <v>Uitgave</v>
      </c>
      <c r="G1050">
        <f t="shared" si="49"/>
        <v>-91.2</v>
      </c>
      <c r="H1050" t="str">
        <f>VLOOKUP(Tabel1[[#This Row],[categorie]],Lijst!A:B,2,FALSE)</f>
        <v>Vast</v>
      </c>
      <c r="I1050" t="str">
        <f t="shared" si="50"/>
        <v>OK</v>
      </c>
    </row>
    <row r="1051" spans="1:9" hidden="1" x14ac:dyDescent="0.3">
      <c r="A1051" s="2">
        <v>45793</v>
      </c>
      <c r="B1051" t="str">
        <f t="shared" si="48"/>
        <v xml:space="preserve">mei </v>
      </c>
      <c r="C1051">
        <v>-81.66</v>
      </c>
      <c r="D1051" t="s">
        <v>33</v>
      </c>
      <c r="F1051" t="str">
        <f>VLOOKUP(Tabel1[[#This Row],[categorie]],Lijst!A:C,3,FALSE)</f>
        <v>Uitgave</v>
      </c>
      <c r="G1051">
        <f t="shared" si="49"/>
        <v>-81.66</v>
      </c>
      <c r="H1051" t="str">
        <f>VLOOKUP(Tabel1[[#This Row],[categorie]],Lijst!A:B,2,FALSE)</f>
        <v>Vast</v>
      </c>
      <c r="I1051" t="str">
        <f t="shared" si="50"/>
        <v>OK</v>
      </c>
    </row>
    <row r="1052" spans="1:9" hidden="1" x14ac:dyDescent="0.3">
      <c r="A1052" s="2">
        <v>45793</v>
      </c>
      <c r="B1052" t="str">
        <f t="shared" si="48"/>
        <v xml:space="preserve">mei </v>
      </c>
      <c r="C1052">
        <v>-85</v>
      </c>
      <c r="D1052" t="s">
        <v>33</v>
      </c>
      <c r="F1052" t="str">
        <f>VLOOKUP(Tabel1[[#This Row],[categorie]],Lijst!A:C,3,FALSE)</f>
        <v>Uitgave</v>
      </c>
      <c r="G1052">
        <f t="shared" si="49"/>
        <v>-85</v>
      </c>
      <c r="H1052" t="str">
        <f>VLOOKUP(Tabel1[[#This Row],[categorie]],Lijst!A:B,2,FALSE)</f>
        <v>Vast</v>
      </c>
      <c r="I1052" t="str">
        <f t="shared" si="50"/>
        <v>OK</v>
      </c>
    </row>
    <row r="1053" spans="1:9" hidden="1" x14ac:dyDescent="0.3">
      <c r="A1053" s="2">
        <v>45794</v>
      </c>
      <c r="B1053" t="str">
        <f t="shared" si="48"/>
        <v xml:space="preserve">mei </v>
      </c>
      <c r="C1053">
        <v>-11.13</v>
      </c>
      <c r="D1053" t="s">
        <v>3</v>
      </c>
      <c r="F1053" t="s">
        <v>18</v>
      </c>
      <c r="G1053">
        <f t="shared" si="49"/>
        <v>-11.13</v>
      </c>
      <c r="H1053" t="str">
        <f>VLOOKUP(Tabel1[[#This Row],[categorie]],Lijst!A:B,2,FALSE)</f>
        <v>Vast</v>
      </c>
      <c r="I1053" t="str">
        <f t="shared" si="50"/>
        <v>OK</v>
      </c>
    </row>
    <row r="1054" spans="1:9" hidden="1" x14ac:dyDescent="0.3">
      <c r="A1054" s="2">
        <v>45794</v>
      </c>
      <c r="B1054" t="str">
        <f t="shared" si="48"/>
        <v xml:space="preserve">mei </v>
      </c>
      <c r="C1054">
        <v>-5.39</v>
      </c>
      <c r="D1054" t="s">
        <v>3</v>
      </c>
      <c r="F1054" t="s">
        <v>18</v>
      </c>
      <c r="G1054">
        <f t="shared" si="49"/>
        <v>-5.39</v>
      </c>
      <c r="H1054" t="str">
        <f>VLOOKUP(Tabel1[[#This Row],[categorie]],Lijst!A:B,2,FALSE)</f>
        <v>Vast</v>
      </c>
      <c r="I1054" t="str">
        <f t="shared" si="50"/>
        <v>OK</v>
      </c>
    </row>
    <row r="1055" spans="1:9" hidden="1" x14ac:dyDescent="0.3">
      <c r="A1055" s="2">
        <v>45794</v>
      </c>
      <c r="B1055" t="str">
        <f t="shared" si="48"/>
        <v xml:space="preserve">mei </v>
      </c>
      <c r="C1055">
        <v>-25.5</v>
      </c>
      <c r="D1055" t="s">
        <v>3</v>
      </c>
      <c r="F1055" t="str">
        <f>VLOOKUP(Tabel1[[#This Row],[categorie]],Lijst!A:C,3,FALSE)</f>
        <v>Uitgave</v>
      </c>
      <c r="G1055">
        <f t="shared" si="49"/>
        <v>-25.5</v>
      </c>
      <c r="H1055" t="str">
        <f>VLOOKUP(Tabel1[[#This Row],[categorie]],Lijst!A:B,2,FALSE)</f>
        <v>Vast</v>
      </c>
      <c r="I1055" t="str">
        <f t="shared" si="50"/>
        <v>OK</v>
      </c>
    </row>
    <row r="1056" spans="1:9" hidden="1" x14ac:dyDescent="0.3">
      <c r="A1056" s="2">
        <v>45794</v>
      </c>
      <c r="B1056" t="str">
        <f t="shared" si="48"/>
        <v xml:space="preserve">mei </v>
      </c>
      <c r="C1056">
        <v>-7</v>
      </c>
      <c r="D1056" t="s">
        <v>3</v>
      </c>
      <c r="F1056" t="str">
        <f>VLOOKUP(Tabel1[[#This Row],[categorie]],Lijst!A:C,3,FALSE)</f>
        <v>Uitgave</v>
      </c>
      <c r="G1056">
        <f t="shared" si="49"/>
        <v>-7</v>
      </c>
      <c r="H1056" t="str">
        <f>VLOOKUP(Tabel1[[#This Row],[categorie]],Lijst!A:B,2,FALSE)</f>
        <v>Vast</v>
      </c>
      <c r="I1056" t="str">
        <f t="shared" si="50"/>
        <v>OK</v>
      </c>
    </row>
    <row r="1057" spans="1:9" hidden="1" x14ac:dyDescent="0.3">
      <c r="A1057" s="2">
        <v>45794</v>
      </c>
      <c r="B1057" t="str">
        <f t="shared" si="48"/>
        <v xml:space="preserve">mei </v>
      </c>
      <c r="C1057">
        <v>-57.98</v>
      </c>
      <c r="D1057" t="s">
        <v>75</v>
      </c>
      <c r="F1057" t="s">
        <v>18</v>
      </c>
      <c r="G1057">
        <f t="shared" si="49"/>
        <v>-57.98</v>
      </c>
      <c r="H1057" t="str">
        <f>VLOOKUP(Tabel1[[#This Row],[categorie]],Lijst!A:B,2,FALSE)</f>
        <v>Variabel</v>
      </c>
      <c r="I1057" t="str">
        <f t="shared" si="50"/>
        <v>OK</v>
      </c>
    </row>
    <row r="1058" spans="1:9" hidden="1" x14ac:dyDescent="0.3">
      <c r="A1058" s="2">
        <v>45795</v>
      </c>
      <c r="B1058" t="str">
        <f t="shared" si="48"/>
        <v xml:space="preserve">mei </v>
      </c>
      <c r="C1058">
        <v>-19.98</v>
      </c>
      <c r="D1058" t="s">
        <v>14</v>
      </c>
      <c r="F1058" t="str">
        <f>VLOOKUP(Tabel1[[#This Row],[categorie]],Lijst!A:C,3,FALSE)</f>
        <v>Uitgave</v>
      </c>
      <c r="G1058">
        <f t="shared" si="49"/>
        <v>-19.98</v>
      </c>
      <c r="H1058" t="str">
        <f>VLOOKUP(Tabel1[[#This Row],[categorie]],Lijst!A:B,2,FALSE)</f>
        <v>Variabel</v>
      </c>
      <c r="I1058" t="str">
        <f t="shared" si="50"/>
        <v>OK</v>
      </c>
    </row>
    <row r="1059" spans="1:9" hidden="1" x14ac:dyDescent="0.3">
      <c r="A1059" s="2">
        <v>45795</v>
      </c>
      <c r="B1059" t="str">
        <f t="shared" ref="B1059:B1122" si="51">TEXT(A1059,"mmmm ")</f>
        <v xml:space="preserve">mei </v>
      </c>
      <c r="C1059">
        <v>-14.9</v>
      </c>
      <c r="D1059" t="s">
        <v>3</v>
      </c>
      <c r="F1059" t="s">
        <v>18</v>
      </c>
      <c r="G1059">
        <f t="shared" ref="G1059:G1122" si="52">IF(F1059="Uitgave", -ABS(C1059), ABS(C1059))</f>
        <v>-14.9</v>
      </c>
      <c r="H1059" t="str">
        <f>VLOOKUP(Tabel1[[#This Row],[categorie]],Lijst!A:B,2,FALSE)</f>
        <v>Vast</v>
      </c>
      <c r="I1059" t="str">
        <f t="shared" ref="I1059:I1122" si="53">IF(OR(AND(F1059="Uitgave", C1059&lt;0), AND(F1059="Inkomst", C1059&gt;0)), "OK", "FOUT")</f>
        <v>OK</v>
      </c>
    </row>
    <row r="1060" spans="1:9" hidden="1" x14ac:dyDescent="0.3">
      <c r="A1060" s="2">
        <v>45795</v>
      </c>
      <c r="B1060" t="str">
        <f t="shared" si="51"/>
        <v xml:space="preserve">mei </v>
      </c>
      <c r="C1060">
        <v>-12.38</v>
      </c>
      <c r="D1060" t="s">
        <v>3</v>
      </c>
      <c r="F1060" t="s">
        <v>18</v>
      </c>
      <c r="G1060">
        <f t="shared" si="52"/>
        <v>-12.38</v>
      </c>
      <c r="H1060" t="str">
        <f>VLOOKUP(Tabel1[[#This Row],[categorie]],Lijst!A:B,2,FALSE)</f>
        <v>Vast</v>
      </c>
      <c r="I1060" t="str">
        <f t="shared" si="53"/>
        <v>OK</v>
      </c>
    </row>
    <row r="1061" spans="1:9" hidden="1" x14ac:dyDescent="0.3">
      <c r="A1061" s="2">
        <v>45795</v>
      </c>
      <c r="B1061" t="str">
        <f t="shared" si="51"/>
        <v xml:space="preserve">mei </v>
      </c>
      <c r="C1061">
        <v>-77.62</v>
      </c>
      <c r="D1061" t="s">
        <v>59</v>
      </c>
      <c r="F1061" t="str">
        <f>VLOOKUP(Tabel1[[#This Row],[categorie]],Lijst!A:C,3,FALSE)</f>
        <v>Uitgave</v>
      </c>
      <c r="G1061">
        <f t="shared" si="52"/>
        <v>-77.62</v>
      </c>
      <c r="H1061" t="str">
        <f>VLOOKUP(Tabel1[[#This Row],[categorie]],Lijst!A:B,2,FALSE)</f>
        <v>Variabel</v>
      </c>
      <c r="I1061" t="str">
        <f t="shared" si="53"/>
        <v>OK</v>
      </c>
    </row>
    <row r="1062" spans="1:9" hidden="1" x14ac:dyDescent="0.3">
      <c r="A1062" s="2">
        <v>45795</v>
      </c>
      <c r="B1062" t="str">
        <f t="shared" si="51"/>
        <v xml:space="preserve">mei </v>
      </c>
      <c r="C1062">
        <v>-3.25</v>
      </c>
      <c r="D1062" t="s">
        <v>56</v>
      </c>
      <c r="F1062" t="str">
        <f>VLOOKUP(Tabel1[[#This Row],[categorie]],Lijst!A:C,3,FALSE)</f>
        <v>Uitgave</v>
      </c>
      <c r="G1062">
        <f t="shared" si="52"/>
        <v>-3.25</v>
      </c>
      <c r="H1062" t="str">
        <f>VLOOKUP(Tabel1[[#This Row],[categorie]],Lijst!A:B,2,FALSE)</f>
        <v>Variabel</v>
      </c>
      <c r="I1062" t="str">
        <f t="shared" si="53"/>
        <v>OK</v>
      </c>
    </row>
    <row r="1063" spans="1:9" hidden="1" x14ac:dyDescent="0.3">
      <c r="A1063" s="2">
        <v>45795</v>
      </c>
      <c r="B1063" t="str">
        <f t="shared" si="51"/>
        <v xml:space="preserve">mei </v>
      </c>
      <c r="C1063">
        <v>-6</v>
      </c>
      <c r="D1063" t="s">
        <v>9</v>
      </c>
      <c r="F1063" t="s">
        <v>18</v>
      </c>
      <c r="G1063">
        <f t="shared" si="52"/>
        <v>-6</v>
      </c>
      <c r="H1063" t="str">
        <f>VLOOKUP(Tabel1[[#This Row],[categorie]],Lijst!A:B,2,FALSE)</f>
        <v>Variabel</v>
      </c>
      <c r="I1063" t="str">
        <f t="shared" si="53"/>
        <v>OK</v>
      </c>
    </row>
    <row r="1064" spans="1:9" hidden="1" x14ac:dyDescent="0.3">
      <c r="A1064" s="2">
        <v>45796</v>
      </c>
      <c r="B1064" t="str">
        <f t="shared" si="51"/>
        <v xml:space="preserve">mei </v>
      </c>
      <c r="C1064">
        <v>-15.94</v>
      </c>
      <c r="D1064" t="s">
        <v>3</v>
      </c>
      <c r="F1064" t="s">
        <v>18</v>
      </c>
      <c r="G1064">
        <f t="shared" si="52"/>
        <v>-15.94</v>
      </c>
      <c r="H1064" t="str">
        <f>VLOOKUP(Tabel1[[#This Row],[categorie]],Lijst!A:B,2,FALSE)</f>
        <v>Vast</v>
      </c>
      <c r="I1064" t="str">
        <f t="shared" si="53"/>
        <v>OK</v>
      </c>
    </row>
    <row r="1065" spans="1:9" hidden="1" x14ac:dyDescent="0.3">
      <c r="A1065" s="2">
        <v>45796</v>
      </c>
      <c r="B1065" t="str">
        <f t="shared" si="51"/>
        <v xml:space="preserve">mei </v>
      </c>
      <c r="C1065">
        <v>-12.38</v>
      </c>
      <c r="D1065" t="s">
        <v>3</v>
      </c>
      <c r="F1065" t="str">
        <f>VLOOKUP(Tabel1[[#This Row],[categorie]],Lijst!A:C,3,FALSE)</f>
        <v>Uitgave</v>
      </c>
      <c r="G1065">
        <f t="shared" si="52"/>
        <v>-12.38</v>
      </c>
      <c r="H1065" t="str">
        <f>VLOOKUP(Tabel1[[#This Row],[categorie]],Lijst!A:B,2,FALSE)</f>
        <v>Vast</v>
      </c>
      <c r="I1065" t="str">
        <f t="shared" si="53"/>
        <v>OK</v>
      </c>
    </row>
    <row r="1066" spans="1:9" hidden="1" x14ac:dyDescent="0.3">
      <c r="A1066" s="2">
        <v>45796</v>
      </c>
      <c r="B1066" t="str">
        <f t="shared" si="51"/>
        <v xml:space="preserve">mei </v>
      </c>
      <c r="C1066">
        <v>-120</v>
      </c>
      <c r="D1066" t="s">
        <v>24</v>
      </c>
      <c r="F1066" t="str">
        <f>VLOOKUP(Tabel1[[#This Row],[categorie]],Lijst!A:C,3,FALSE)</f>
        <v>Uitgave</v>
      </c>
      <c r="G1066">
        <f t="shared" si="52"/>
        <v>-120</v>
      </c>
      <c r="H1066" t="str">
        <f>VLOOKUP(Tabel1[[#This Row],[categorie]],Lijst!A:B,2,FALSE)</f>
        <v>Vast</v>
      </c>
      <c r="I1066" t="str">
        <f t="shared" si="53"/>
        <v>OK</v>
      </c>
    </row>
    <row r="1067" spans="1:9" hidden="1" x14ac:dyDescent="0.3">
      <c r="A1067" s="2">
        <v>45796</v>
      </c>
      <c r="B1067" t="str">
        <f t="shared" si="51"/>
        <v xml:space="preserve">mei </v>
      </c>
      <c r="C1067">
        <v>-5</v>
      </c>
      <c r="D1067" t="s">
        <v>3</v>
      </c>
      <c r="F1067" t="str">
        <f>VLOOKUP(Tabel1[[#This Row],[categorie]],Lijst!A:C,3,FALSE)</f>
        <v>Uitgave</v>
      </c>
      <c r="G1067">
        <f t="shared" si="52"/>
        <v>-5</v>
      </c>
      <c r="H1067" t="str">
        <f>VLOOKUP(Tabel1[[#This Row],[categorie]],Lijst!A:B,2,FALSE)</f>
        <v>Vast</v>
      </c>
      <c r="I1067" t="str">
        <f t="shared" si="53"/>
        <v>OK</v>
      </c>
    </row>
    <row r="1068" spans="1:9" hidden="1" x14ac:dyDescent="0.3">
      <c r="A1068" s="2">
        <v>45796</v>
      </c>
      <c r="B1068" t="str">
        <f t="shared" si="51"/>
        <v xml:space="preserve">mei </v>
      </c>
      <c r="C1068">
        <v>4.5</v>
      </c>
      <c r="D1068" t="s">
        <v>3</v>
      </c>
      <c r="F1068" t="s">
        <v>65</v>
      </c>
      <c r="G1068">
        <f t="shared" si="52"/>
        <v>4.5</v>
      </c>
      <c r="H1068" t="str">
        <f>VLOOKUP(Tabel1[[#This Row],[categorie]],Lijst!A:B,2,FALSE)</f>
        <v>Vast</v>
      </c>
      <c r="I1068" t="str">
        <f t="shared" si="53"/>
        <v>OK</v>
      </c>
    </row>
    <row r="1069" spans="1:9" hidden="1" x14ac:dyDescent="0.3">
      <c r="A1069" s="2">
        <v>45796</v>
      </c>
      <c r="B1069" t="str">
        <f t="shared" si="51"/>
        <v xml:space="preserve">mei </v>
      </c>
      <c r="C1069">
        <v>-14.72</v>
      </c>
      <c r="D1069" t="s">
        <v>3</v>
      </c>
      <c r="F1069" t="s">
        <v>18</v>
      </c>
      <c r="G1069">
        <f t="shared" si="52"/>
        <v>-14.72</v>
      </c>
      <c r="H1069" t="str">
        <f>VLOOKUP(Tabel1[[#This Row],[categorie]],Lijst!A:B,2,FALSE)</f>
        <v>Vast</v>
      </c>
      <c r="I1069" t="str">
        <f t="shared" si="53"/>
        <v>OK</v>
      </c>
    </row>
    <row r="1070" spans="1:9" hidden="1" x14ac:dyDescent="0.3">
      <c r="A1070" s="2">
        <v>45796</v>
      </c>
      <c r="B1070" t="str">
        <f t="shared" si="51"/>
        <v xml:space="preserve">mei </v>
      </c>
      <c r="C1070">
        <v>-33.549999999999997</v>
      </c>
      <c r="D1070" t="s">
        <v>50</v>
      </c>
      <c r="F1070" t="str">
        <f>VLOOKUP(Tabel1[[#This Row],[categorie]],Lijst!A:C,3,FALSE)</f>
        <v>Uitgave</v>
      </c>
      <c r="G1070">
        <f t="shared" si="52"/>
        <v>-33.549999999999997</v>
      </c>
      <c r="H1070" t="str">
        <f>VLOOKUP(Tabel1[[#This Row],[categorie]],Lijst!A:B,2,FALSE)</f>
        <v>Vast</v>
      </c>
      <c r="I1070" t="str">
        <f t="shared" si="53"/>
        <v>OK</v>
      </c>
    </row>
    <row r="1071" spans="1:9" hidden="1" x14ac:dyDescent="0.3">
      <c r="A1071" s="2">
        <v>45796</v>
      </c>
      <c r="B1071" t="str">
        <f t="shared" si="51"/>
        <v xml:space="preserve">mei </v>
      </c>
      <c r="C1071">
        <v>-32.43</v>
      </c>
      <c r="D1071" t="s">
        <v>30</v>
      </c>
      <c r="F1071" t="str">
        <f>VLOOKUP(Tabel1[[#This Row],[categorie]],Lijst!A:C,3,FALSE)</f>
        <v>Uitgave</v>
      </c>
      <c r="G1071">
        <f t="shared" si="52"/>
        <v>-32.43</v>
      </c>
      <c r="H1071" t="str">
        <f>VLOOKUP(Tabel1[[#This Row],[categorie]],Lijst!A:B,2,FALSE)</f>
        <v>Vast</v>
      </c>
      <c r="I1071" t="str">
        <f t="shared" si="53"/>
        <v>OK</v>
      </c>
    </row>
    <row r="1072" spans="1:9" hidden="1" x14ac:dyDescent="0.3">
      <c r="A1072" s="2">
        <v>45797</v>
      </c>
      <c r="B1072" t="str">
        <f t="shared" si="51"/>
        <v xml:space="preserve">mei </v>
      </c>
      <c r="C1072">
        <v>-3.7</v>
      </c>
      <c r="D1072" t="s">
        <v>3</v>
      </c>
      <c r="F1072" t="str">
        <f>VLOOKUP(Tabel1[[#This Row],[categorie]],Lijst!A:C,3,FALSE)</f>
        <v>Uitgave</v>
      </c>
      <c r="G1072">
        <f t="shared" si="52"/>
        <v>-3.7</v>
      </c>
      <c r="H1072" t="str">
        <f>VLOOKUP(Tabel1[[#This Row],[categorie]],Lijst!A:B,2,FALSE)</f>
        <v>Vast</v>
      </c>
      <c r="I1072" t="str">
        <f t="shared" si="53"/>
        <v>OK</v>
      </c>
    </row>
    <row r="1073" spans="1:9" hidden="1" x14ac:dyDescent="0.3">
      <c r="A1073" s="2">
        <v>45797</v>
      </c>
      <c r="B1073" t="str">
        <f t="shared" si="51"/>
        <v xml:space="preserve">mei </v>
      </c>
      <c r="C1073">
        <v>-5</v>
      </c>
      <c r="D1073" t="s">
        <v>31</v>
      </c>
      <c r="F1073" t="str">
        <f>VLOOKUP(Tabel1[[#This Row],[categorie]],Lijst!A:C,3,FALSE)</f>
        <v>Uitgave</v>
      </c>
      <c r="G1073">
        <f t="shared" si="52"/>
        <v>-5</v>
      </c>
      <c r="H1073" t="str">
        <f>VLOOKUP(Tabel1[[#This Row],[categorie]],Lijst!A:B,2,FALSE)</f>
        <v>Vast</v>
      </c>
      <c r="I1073" t="str">
        <f t="shared" si="53"/>
        <v>OK</v>
      </c>
    </row>
    <row r="1074" spans="1:9" hidden="1" x14ac:dyDescent="0.3">
      <c r="A1074" s="2">
        <v>45798</v>
      </c>
      <c r="B1074" t="str">
        <f t="shared" si="51"/>
        <v xml:space="preserve">mei </v>
      </c>
      <c r="C1074">
        <v>-37.299999999999997</v>
      </c>
      <c r="D1074" t="s">
        <v>9</v>
      </c>
      <c r="F1074" t="s">
        <v>18</v>
      </c>
      <c r="G1074">
        <f t="shared" si="52"/>
        <v>-37.299999999999997</v>
      </c>
      <c r="H1074" t="str">
        <f>VLOOKUP(Tabel1[[#This Row],[categorie]],Lijst!A:B,2,FALSE)</f>
        <v>Variabel</v>
      </c>
      <c r="I1074" t="str">
        <f t="shared" si="53"/>
        <v>OK</v>
      </c>
    </row>
    <row r="1075" spans="1:9" hidden="1" x14ac:dyDescent="0.3">
      <c r="A1075" s="2">
        <v>45798</v>
      </c>
      <c r="B1075" t="str">
        <f t="shared" si="51"/>
        <v xml:space="preserve">mei </v>
      </c>
      <c r="C1075">
        <v>-5.05</v>
      </c>
      <c r="D1075" t="s">
        <v>3</v>
      </c>
      <c r="F1075" t="str">
        <f>VLOOKUP(Tabel1[[#This Row],[categorie]],Lijst!A:C,3,FALSE)</f>
        <v>Uitgave</v>
      </c>
      <c r="G1075">
        <f t="shared" si="52"/>
        <v>-5.05</v>
      </c>
      <c r="H1075" t="str">
        <f>VLOOKUP(Tabel1[[#This Row],[categorie]],Lijst!A:B,2,FALSE)</f>
        <v>Vast</v>
      </c>
      <c r="I1075" t="str">
        <f t="shared" si="53"/>
        <v>OK</v>
      </c>
    </row>
    <row r="1076" spans="1:9" hidden="1" x14ac:dyDescent="0.3">
      <c r="A1076" s="2">
        <v>45798</v>
      </c>
      <c r="B1076" t="str">
        <f t="shared" si="51"/>
        <v xml:space="preserve">mei </v>
      </c>
      <c r="C1076">
        <v>-0.9</v>
      </c>
      <c r="D1076" t="s">
        <v>26</v>
      </c>
      <c r="F1076" t="str">
        <f>VLOOKUP(Tabel1[[#This Row],[categorie]],Lijst!A:C,3,FALSE)</f>
        <v>Uitgave</v>
      </c>
      <c r="G1076">
        <f t="shared" si="52"/>
        <v>-0.9</v>
      </c>
      <c r="H1076" t="str">
        <f>VLOOKUP(Tabel1[[#This Row],[categorie]],Lijst!A:B,2,FALSE)</f>
        <v>Variabel</v>
      </c>
      <c r="I1076" t="str">
        <f t="shared" si="53"/>
        <v>OK</v>
      </c>
    </row>
    <row r="1077" spans="1:9" hidden="1" x14ac:dyDescent="0.3">
      <c r="A1077" s="2">
        <v>45798</v>
      </c>
      <c r="B1077" t="str">
        <f t="shared" si="51"/>
        <v xml:space="preserve">mei </v>
      </c>
      <c r="C1077">
        <v>-3.2</v>
      </c>
      <c r="D1077" t="s">
        <v>3</v>
      </c>
      <c r="F1077" t="str">
        <f>VLOOKUP(Tabel1[[#This Row],[categorie]],Lijst!A:C,3,FALSE)</f>
        <v>Uitgave</v>
      </c>
      <c r="G1077">
        <f t="shared" si="52"/>
        <v>-3.2</v>
      </c>
      <c r="H1077" t="str">
        <f>VLOOKUP(Tabel1[[#This Row],[categorie]],Lijst!A:B,2,FALSE)</f>
        <v>Vast</v>
      </c>
      <c r="I1077" t="str">
        <f t="shared" si="53"/>
        <v>OK</v>
      </c>
    </row>
    <row r="1078" spans="1:9" hidden="1" x14ac:dyDescent="0.3">
      <c r="A1078" s="2">
        <v>45799</v>
      </c>
      <c r="B1078" t="str">
        <f t="shared" si="51"/>
        <v xml:space="preserve">mei </v>
      </c>
      <c r="C1078">
        <v>-15.95</v>
      </c>
      <c r="D1078" t="s">
        <v>9</v>
      </c>
      <c r="F1078" t="s">
        <v>18</v>
      </c>
      <c r="G1078">
        <f t="shared" si="52"/>
        <v>-15.95</v>
      </c>
      <c r="H1078" t="str">
        <f>VLOOKUP(Tabel1[[#This Row],[categorie]],Lijst!A:B,2,FALSE)</f>
        <v>Variabel</v>
      </c>
      <c r="I1078" t="str">
        <f t="shared" si="53"/>
        <v>OK</v>
      </c>
    </row>
    <row r="1079" spans="1:9" hidden="1" x14ac:dyDescent="0.3">
      <c r="A1079" s="2">
        <v>45799</v>
      </c>
      <c r="B1079" t="str">
        <f t="shared" si="51"/>
        <v xml:space="preserve">mei </v>
      </c>
      <c r="C1079">
        <v>-8.89</v>
      </c>
      <c r="D1079" t="s">
        <v>3</v>
      </c>
      <c r="F1079" t="s">
        <v>18</v>
      </c>
      <c r="G1079">
        <f t="shared" si="52"/>
        <v>-8.89</v>
      </c>
      <c r="H1079" t="str">
        <f>VLOOKUP(Tabel1[[#This Row],[categorie]],Lijst!A:B,2,FALSE)</f>
        <v>Vast</v>
      </c>
      <c r="I1079" t="str">
        <f t="shared" si="53"/>
        <v>OK</v>
      </c>
    </row>
    <row r="1080" spans="1:9" hidden="1" x14ac:dyDescent="0.3">
      <c r="A1080" s="2">
        <v>45799</v>
      </c>
      <c r="B1080" t="str">
        <f t="shared" si="51"/>
        <v xml:space="preserve">mei </v>
      </c>
      <c r="C1080">
        <v>-22.9</v>
      </c>
      <c r="D1080" t="s">
        <v>3</v>
      </c>
      <c r="F1080" t="str">
        <f>VLOOKUP(Tabel1[[#This Row],[categorie]],Lijst!A:C,3,FALSE)</f>
        <v>Uitgave</v>
      </c>
      <c r="G1080">
        <f t="shared" si="52"/>
        <v>-22.9</v>
      </c>
      <c r="H1080" t="str">
        <f>VLOOKUP(Tabel1[[#This Row],[categorie]],Lijst!A:B,2,FALSE)</f>
        <v>Vast</v>
      </c>
      <c r="I1080" t="str">
        <f t="shared" si="53"/>
        <v>OK</v>
      </c>
    </row>
    <row r="1081" spans="1:9" hidden="1" x14ac:dyDescent="0.3">
      <c r="A1081" s="2">
        <v>45799</v>
      </c>
      <c r="B1081" t="str">
        <f t="shared" si="51"/>
        <v xml:space="preserve">mei </v>
      </c>
      <c r="C1081">
        <v>-60</v>
      </c>
      <c r="D1081" t="s">
        <v>14</v>
      </c>
      <c r="F1081" t="str">
        <f>VLOOKUP(Tabel1[[#This Row],[categorie]],Lijst!A:C,3,FALSE)</f>
        <v>Uitgave</v>
      </c>
      <c r="G1081">
        <f t="shared" si="52"/>
        <v>-60</v>
      </c>
      <c r="H1081" t="str">
        <f>VLOOKUP(Tabel1[[#This Row],[categorie]],Lijst!A:B,2,FALSE)</f>
        <v>Variabel</v>
      </c>
      <c r="I1081" t="str">
        <f t="shared" si="53"/>
        <v>OK</v>
      </c>
    </row>
    <row r="1082" spans="1:9" hidden="1" x14ac:dyDescent="0.3">
      <c r="A1082" s="2">
        <v>45799</v>
      </c>
      <c r="B1082" t="str">
        <f t="shared" si="51"/>
        <v xml:space="preserve">mei </v>
      </c>
      <c r="C1082">
        <v>-2.7</v>
      </c>
      <c r="D1082" t="s">
        <v>3</v>
      </c>
      <c r="F1082" t="str">
        <f>VLOOKUP(Tabel1[[#This Row],[categorie]],Lijst!A:C,3,FALSE)</f>
        <v>Uitgave</v>
      </c>
      <c r="G1082">
        <f t="shared" si="52"/>
        <v>-2.7</v>
      </c>
      <c r="H1082" t="str">
        <f>VLOOKUP(Tabel1[[#This Row],[categorie]],Lijst!A:B,2,FALSE)</f>
        <v>Vast</v>
      </c>
      <c r="I1082" t="str">
        <f t="shared" si="53"/>
        <v>OK</v>
      </c>
    </row>
    <row r="1083" spans="1:9" hidden="1" x14ac:dyDescent="0.3">
      <c r="A1083" s="2">
        <v>45799</v>
      </c>
      <c r="B1083" t="str">
        <f t="shared" si="51"/>
        <v xml:space="preserve">mei </v>
      </c>
      <c r="C1083">
        <v>-17.64</v>
      </c>
      <c r="D1083" t="s">
        <v>3</v>
      </c>
      <c r="F1083" t="str">
        <f>VLOOKUP(Tabel1[[#This Row],[categorie]],Lijst!A:C,3,FALSE)</f>
        <v>Uitgave</v>
      </c>
      <c r="G1083">
        <f t="shared" si="52"/>
        <v>-17.64</v>
      </c>
      <c r="H1083" t="str">
        <f>VLOOKUP(Tabel1[[#This Row],[categorie]],Lijst!A:B,2,FALSE)</f>
        <v>Vast</v>
      </c>
      <c r="I1083" t="str">
        <f t="shared" si="53"/>
        <v>OK</v>
      </c>
    </row>
    <row r="1084" spans="1:9" hidden="1" x14ac:dyDescent="0.3">
      <c r="A1084" s="2">
        <v>45799</v>
      </c>
      <c r="B1084" t="str">
        <f t="shared" si="51"/>
        <v xml:space="preserve">mei </v>
      </c>
      <c r="C1084">
        <v>-53.29</v>
      </c>
      <c r="D1084" t="s">
        <v>28</v>
      </c>
      <c r="F1084" t="str">
        <f>VLOOKUP(Tabel1[[#This Row],[categorie]],Lijst!A:C,3,FALSE)</f>
        <v>Uitgave</v>
      </c>
      <c r="G1084">
        <f t="shared" si="52"/>
        <v>-53.29</v>
      </c>
      <c r="H1084" t="str">
        <f>VLOOKUP(Tabel1[[#This Row],[categorie]],Lijst!A:B,2,FALSE)</f>
        <v>Vast</v>
      </c>
      <c r="I1084" t="str">
        <f t="shared" si="53"/>
        <v>OK</v>
      </c>
    </row>
    <row r="1085" spans="1:9" hidden="1" x14ac:dyDescent="0.3">
      <c r="A1085" s="2">
        <v>45800</v>
      </c>
      <c r="B1085" t="str">
        <f t="shared" si="51"/>
        <v xml:space="preserve">mei </v>
      </c>
      <c r="C1085">
        <v>-10.6</v>
      </c>
      <c r="D1085" t="s">
        <v>9</v>
      </c>
      <c r="F1085" t="s">
        <v>18</v>
      </c>
      <c r="G1085">
        <f t="shared" si="52"/>
        <v>-10.6</v>
      </c>
      <c r="H1085" t="str">
        <f>VLOOKUP(Tabel1[[#This Row],[categorie]],Lijst!A:B,2,FALSE)</f>
        <v>Variabel</v>
      </c>
      <c r="I1085" t="str">
        <f t="shared" si="53"/>
        <v>OK</v>
      </c>
    </row>
    <row r="1086" spans="1:9" hidden="1" x14ac:dyDescent="0.3">
      <c r="A1086" s="2">
        <v>45800</v>
      </c>
      <c r="B1086" t="str">
        <f t="shared" si="51"/>
        <v xml:space="preserve">mei </v>
      </c>
      <c r="C1086">
        <v>-6.61</v>
      </c>
      <c r="D1086" t="s">
        <v>3</v>
      </c>
      <c r="F1086" t="str">
        <f>VLOOKUP(Tabel1[[#This Row],[categorie]],Lijst!A:C,3,FALSE)</f>
        <v>Uitgave</v>
      </c>
      <c r="G1086">
        <f t="shared" si="52"/>
        <v>-6.61</v>
      </c>
      <c r="H1086" t="str">
        <f>VLOOKUP(Tabel1[[#This Row],[categorie]],Lijst!A:B,2,FALSE)</f>
        <v>Vast</v>
      </c>
      <c r="I1086" t="str">
        <f t="shared" si="53"/>
        <v>OK</v>
      </c>
    </row>
    <row r="1087" spans="1:9" hidden="1" x14ac:dyDescent="0.3">
      <c r="A1087" s="2">
        <v>45800</v>
      </c>
      <c r="B1087" t="str">
        <f t="shared" si="51"/>
        <v xml:space="preserve">mei </v>
      </c>
      <c r="C1087">
        <v>-7.21</v>
      </c>
      <c r="D1087" t="s">
        <v>3</v>
      </c>
      <c r="F1087" t="s">
        <v>18</v>
      </c>
      <c r="G1087">
        <f t="shared" si="52"/>
        <v>-7.21</v>
      </c>
      <c r="H1087" t="str">
        <f>VLOOKUP(Tabel1[[#This Row],[categorie]],Lijst!A:B,2,FALSE)</f>
        <v>Vast</v>
      </c>
      <c r="I1087" t="str">
        <f t="shared" si="53"/>
        <v>OK</v>
      </c>
    </row>
    <row r="1088" spans="1:9" hidden="1" x14ac:dyDescent="0.3">
      <c r="A1088" s="2">
        <v>45800</v>
      </c>
      <c r="B1088" t="str">
        <f t="shared" si="51"/>
        <v xml:space="preserve">mei </v>
      </c>
      <c r="C1088">
        <v>-1.2</v>
      </c>
      <c r="D1088" t="s">
        <v>26</v>
      </c>
      <c r="F1088" t="str">
        <f>VLOOKUP(Tabel1[[#This Row],[categorie]],Lijst!A:C,3,FALSE)</f>
        <v>Uitgave</v>
      </c>
      <c r="G1088">
        <f t="shared" si="52"/>
        <v>-1.2</v>
      </c>
      <c r="H1088" t="str">
        <f>VLOOKUP(Tabel1[[#This Row],[categorie]],Lijst!A:B,2,FALSE)</f>
        <v>Variabel</v>
      </c>
      <c r="I1088" t="str">
        <f t="shared" si="53"/>
        <v>OK</v>
      </c>
    </row>
    <row r="1089" spans="1:9" hidden="1" x14ac:dyDescent="0.3">
      <c r="A1089" s="2">
        <v>45800</v>
      </c>
      <c r="B1089" t="str">
        <f t="shared" si="51"/>
        <v xml:space="preserve">mei </v>
      </c>
      <c r="C1089">
        <v>-192.64</v>
      </c>
      <c r="D1089" t="s">
        <v>82</v>
      </c>
      <c r="F1089" t="s">
        <v>18</v>
      </c>
      <c r="G1089">
        <f t="shared" si="52"/>
        <v>-192.64</v>
      </c>
      <c r="H1089" t="str">
        <f>VLOOKUP(Tabel1[[#This Row],[categorie]],Lijst!A:B,2,FALSE)</f>
        <v>Vast</v>
      </c>
      <c r="I1089" t="str">
        <f t="shared" si="53"/>
        <v>OK</v>
      </c>
    </row>
    <row r="1090" spans="1:9" hidden="1" x14ac:dyDescent="0.3">
      <c r="A1090" s="2">
        <v>45801</v>
      </c>
      <c r="B1090" t="str">
        <f t="shared" si="51"/>
        <v xml:space="preserve">mei </v>
      </c>
      <c r="C1090">
        <v>-23.41</v>
      </c>
      <c r="D1090" t="s">
        <v>3</v>
      </c>
      <c r="F1090" t="str">
        <f>VLOOKUP(Tabel1[[#This Row],[categorie]],Lijst!A:C,3,FALSE)</f>
        <v>Uitgave</v>
      </c>
      <c r="G1090">
        <f t="shared" si="52"/>
        <v>-23.41</v>
      </c>
      <c r="H1090" t="str">
        <f>VLOOKUP(Tabel1[[#This Row],[categorie]],Lijst!A:B,2,FALSE)</f>
        <v>Vast</v>
      </c>
      <c r="I1090" t="str">
        <f t="shared" si="53"/>
        <v>OK</v>
      </c>
    </row>
    <row r="1091" spans="1:9" hidden="1" x14ac:dyDescent="0.3">
      <c r="A1091" s="2">
        <v>45801</v>
      </c>
      <c r="B1091" t="str">
        <f t="shared" si="51"/>
        <v xml:space="preserve">mei </v>
      </c>
      <c r="C1091">
        <v>-10.5</v>
      </c>
      <c r="D1091" t="s">
        <v>14</v>
      </c>
      <c r="F1091" t="str">
        <f>VLOOKUP(Tabel1[[#This Row],[categorie]],Lijst!A:C,3,FALSE)</f>
        <v>Uitgave</v>
      </c>
      <c r="G1091">
        <f t="shared" si="52"/>
        <v>-10.5</v>
      </c>
      <c r="H1091" t="str">
        <f>VLOOKUP(Tabel1[[#This Row],[categorie]],Lijst!A:B,2,FALSE)</f>
        <v>Variabel</v>
      </c>
      <c r="I1091" t="str">
        <f t="shared" si="53"/>
        <v>OK</v>
      </c>
    </row>
    <row r="1092" spans="1:9" hidden="1" x14ac:dyDescent="0.3">
      <c r="A1092" s="2">
        <v>45801</v>
      </c>
      <c r="B1092" t="str">
        <f t="shared" si="51"/>
        <v xml:space="preserve">mei </v>
      </c>
      <c r="C1092">
        <v>-3.75</v>
      </c>
      <c r="D1092" t="s">
        <v>14</v>
      </c>
      <c r="F1092" t="str">
        <f>VLOOKUP(Tabel1[[#This Row],[categorie]],Lijst!A:C,3,FALSE)</f>
        <v>Uitgave</v>
      </c>
      <c r="G1092">
        <f t="shared" si="52"/>
        <v>-3.75</v>
      </c>
      <c r="H1092" t="str">
        <f>VLOOKUP(Tabel1[[#This Row],[categorie]],Lijst!A:B,2,FALSE)</f>
        <v>Variabel</v>
      </c>
      <c r="I1092" t="str">
        <f t="shared" si="53"/>
        <v>OK</v>
      </c>
    </row>
    <row r="1093" spans="1:9" hidden="1" x14ac:dyDescent="0.3">
      <c r="A1093" s="2">
        <v>45801</v>
      </c>
      <c r="B1093" t="str">
        <f t="shared" si="51"/>
        <v xml:space="preserve">mei </v>
      </c>
      <c r="C1093">
        <v>-25</v>
      </c>
      <c r="D1093" t="s">
        <v>43</v>
      </c>
      <c r="F1093" t="str">
        <f>VLOOKUP(Tabel1[[#This Row],[categorie]],Lijst!A:C,3,FALSE)</f>
        <v>Uitgave</v>
      </c>
      <c r="G1093">
        <f t="shared" si="52"/>
        <v>-25</v>
      </c>
      <c r="H1093" t="str">
        <f>VLOOKUP(Tabel1[[#This Row],[categorie]],Lijst!A:B,2,FALSE)</f>
        <v>Vast</v>
      </c>
      <c r="I1093" t="str">
        <f t="shared" si="53"/>
        <v>OK</v>
      </c>
    </row>
    <row r="1094" spans="1:9" hidden="1" x14ac:dyDescent="0.3">
      <c r="A1094" s="2">
        <v>45802</v>
      </c>
      <c r="B1094" t="str">
        <f t="shared" si="51"/>
        <v xml:space="preserve">mei </v>
      </c>
      <c r="C1094">
        <v>-18.66</v>
      </c>
      <c r="D1094" t="s">
        <v>3</v>
      </c>
      <c r="F1094" t="str">
        <f>VLOOKUP(Tabel1[[#This Row],[categorie]],Lijst!A:C,3,FALSE)</f>
        <v>Uitgave</v>
      </c>
      <c r="G1094">
        <f t="shared" si="52"/>
        <v>-18.66</v>
      </c>
      <c r="H1094" t="str">
        <f>VLOOKUP(Tabel1[[#This Row],[categorie]],Lijst!A:B,2,FALSE)</f>
        <v>Vast</v>
      </c>
      <c r="I1094" t="str">
        <f t="shared" si="53"/>
        <v>OK</v>
      </c>
    </row>
    <row r="1095" spans="1:9" hidden="1" x14ac:dyDescent="0.3">
      <c r="A1095" s="2">
        <v>45802</v>
      </c>
      <c r="B1095" t="str">
        <f t="shared" si="51"/>
        <v xml:space="preserve">mei </v>
      </c>
      <c r="C1095">
        <v>-0.98</v>
      </c>
      <c r="D1095" t="s">
        <v>3</v>
      </c>
      <c r="F1095" t="s">
        <v>18</v>
      </c>
      <c r="G1095">
        <f t="shared" si="52"/>
        <v>-0.98</v>
      </c>
      <c r="H1095" t="str">
        <f>VLOOKUP(Tabel1[[#This Row],[categorie]],Lijst!A:B,2,FALSE)</f>
        <v>Vast</v>
      </c>
      <c r="I1095" t="str">
        <f t="shared" si="53"/>
        <v>OK</v>
      </c>
    </row>
    <row r="1096" spans="1:9" hidden="1" x14ac:dyDescent="0.3">
      <c r="A1096" s="2">
        <v>45802</v>
      </c>
      <c r="B1096" t="str">
        <f t="shared" si="51"/>
        <v xml:space="preserve">mei </v>
      </c>
      <c r="C1096">
        <v>-20.67</v>
      </c>
      <c r="D1096" t="s">
        <v>3</v>
      </c>
      <c r="F1096" t="s">
        <v>18</v>
      </c>
      <c r="G1096">
        <f t="shared" si="52"/>
        <v>-20.67</v>
      </c>
      <c r="H1096" t="str">
        <f>VLOOKUP(Tabel1[[#This Row],[categorie]],Lijst!A:B,2,FALSE)</f>
        <v>Vast</v>
      </c>
      <c r="I1096" t="str">
        <f t="shared" si="53"/>
        <v>OK</v>
      </c>
    </row>
    <row r="1097" spans="1:9" hidden="1" x14ac:dyDescent="0.3">
      <c r="A1097" s="2">
        <v>45803</v>
      </c>
      <c r="B1097" t="str">
        <f t="shared" si="51"/>
        <v xml:space="preserve">mei </v>
      </c>
      <c r="C1097">
        <v>-29.45</v>
      </c>
      <c r="D1097" t="s">
        <v>3</v>
      </c>
      <c r="F1097" t="str">
        <f>VLOOKUP(Tabel1[[#This Row],[categorie]],Lijst!A:C,3,FALSE)</f>
        <v>Uitgave</v>
      </c>
      <c r="G1097">
        <f t="shared" si="52"/>
        <v>-29.45</v>
      </c>
      <c r="H1097" t="str">
        <f>VLOOKUP(Tabel1[[#This Row],[categorie]],Lijst!A:B,2,FALSE)</f>
        <v>Vast</v>
      </c>
      <c r="I1097" t="str">
        <f t="shared" si="53"/>
        <v>OK</v>
      </c>
    </row>
    <row r="1098" spans="1:9" hidden="1" x14ac:dyDescent="0.3">
      <c r="A1098" s="2">
        <v>45803</v>
      </c>
      <c r="B1098" t="str">
        <f t="shared" si="51"/>
        <v xml:space="preserve">mei </v>
      </c>
      <c r="C1098">
        <v>-145</v>
      </c>
      <c r="D1098" t="s">
        <v>35</v>
      </c>
      <c r="F1098" t="str">
        <f>VLOOKUP(Tabel1[[#This Row],[categorie]],Lijst!A:C,3,FALSE)</f>
        <v>Uitgave</v>
      </c>
      <c r="G1098">
        <f t="shared" si="52"/>
        <v>-145</v>
      </c>
      <c r="H1098" t="str">
        <f>VLOOKUP(Tabel1[[#This Row],[categorie]],Lijst!A:B,2,FALSE)</f>
        <v>Variabel</v>
      </c>
      <c r="I1098" t="str">
        <f t="shared" si="53"/>
        <v>OK</v>
      </c>
    </row>
    <row r="1099" spans="1:9" hidden="1" x14ac:dyDescent="0.3">
      <c r="A1099" s="2">
        <v>45803</v>
      </c>
      <c r="B1099" t="str">
        <f t="shared" si="51"/>
        <v xml:space="preserve">mei </v>
      </c>
      <c r="C1099">
        <v>-2.33</v>
      </c>
      <c r="D1099" t="s">
        <v>3</v>
      </c>
      <c r="F1099" t="s">
        <v>18</v>
      </c>
      <c r="G1099">
        <f t="shared" si="52"/>
        <v>-2.33</v>
      </c>
      <c r="H1099" t="str">
        <f>VLOOKUP(Tabel1[[#This Row],[categorie]],Lijst!A:B,2,FALSE)</f>
        <v>Vast</v>
      </c>
      <c r="I1099" t="str">
        <f t="shared" si="53"/>
        <v>OK</v>
      </c>
    </row>
    <row r="1100" spans="1:9" hidden="1" x14ac:dyDescent="0.3">
      <c r="A1100" s="2">
        <v>45803</v>
      </c>
      <c r="B1100" t="str">
        <f t="shared" si="51"/>
        <v xml:space="preserve">mei </v>
      </c>
      <c r="C1100">
        <v>-6.01</v>
      </c>
      <c r="D1100" t="s">
        <v>13</v>
      </c>
      <c r="F1100" t="str">
        <f>VLOOKUP(Tabel1[[#This Row],[categorie]],Lijst!A:C,3,FALSE)</f>
        <v>Uitgave</v>
      </c>
      <c r="G1100">
        <f t="shared" si="52"/>
        <v>-6.01</v>
      </c>
      <c r="H1100" t="str">
        <f>VLOOKUP(Tabel1[[#This Row],[categorie]],Lijst!A:B,2,FALSE)</f>
        <v>Vast</v>
      </c>
      <c r="I1100" t="str">
        <f t="shared" si="53"/>
        <v>OK</v>
      </c>
    </row>
    <row r="1101" spans="1:9" hidden="1" x14ac:dyDescent="0.3">
      <c r="A1101" s="2">
        <v>45803</v>
      </c>
      <c r="B1101" t="str">
        <f t="shared" si="51"/>
        <v xml:space="preserve">mei </v>
      </c>
      <c r="C1101">
        <v>-9.09</v>
      </c>
      <c r="D1101" t="s">
        <v>13</v>
      </c>
      <c r="F1101" t="str">
        <f>VLOOKUP(Tabel1[[#This Row],[categorie]],Lijst!A:C,3,FALSE)</f>
        <v>Uitgave</v>
      </c>
      <c r="G1101">
        <f t="shared" si="52"/>
        <v>-9.09</v>
      </c>
      <c r="H1101" t="str">
        <f>VLOOKUP(Tabel1[[#This Row],[categorie]],Lijst!A:B,2,FALSE)</f>
        <v>Vast</v>
      </c>
      <c r="I1101" t="str">
        <f t="shared" si="53"/>
        <v>OK</v>
      </c>
    </row>
    <row r="1102" spans="1:9" hidden="1" x14ac:dyDescent="0.3">
      <c r="A1102" s="2">
        <v>45803</v>
      </c>
      <c r="B1102" t="str">
        <f t="shared" si="51"/>
        <v xml:space="preserve">mei </v>
      </c>
      <c r="C1102">
        <v>-5</v>
      </c>
      <c r="D1102" t="s">
        <v>13</v>
      </c>
      <c r="F1102" t="str">
        <f>VLOOKUP(Tabel1[[#This Row],[categorie]],Lijst!A:C,3,FALSE)</f>
        <v>Uitgave</v>
      </c>
      <c r="G1102">
        <f t="shared" si="52"/>
        <v>-5</v>
      </c>
      <c r="H1102" t="str">
        <f>VLOOKUP(Tabel1[[#This Row],[categorie]],Lijst!A:B,2,FALSE)</f>
        <v>Vast</v>
      </c>
      <c r="I1102" t="str">
        <f t="shared" si="53"/>
        <v>OK</v>
      </c>
    </row>
    <row r="1103" spans="1:9" hidden="1" x14ac:dyDescent="0.3">
      <c r="A1103" s="2">
        <v>45803</v>
      </c>
      <c r="B1103" t="str">
        <f t="shared" si="51"/>
        <v xml:space="preserve">mei </v>
      </c>
      <c r="C1103">
        <v>-4.29</v>
      </c>
      <c r="D1103" t="s">
        <v>13</v>
      </c>
      <c r="F1103" t="str">
        <f>VLOOKUP(Tabel1[[#This Row],[categorie]],Lijst!A:C,3,FALSE)</f>
        <v>Uitgave</v>
      </c>
      <c r="G1103">
        <f t="shared" si="52"/>
        <v>-4.29</v>
      </c>
      <c r="H1103" t="str">
        <f>VLOOKUP(Tabel1[[#This Row],[categorie]],Lijst!A:B,2,FALSE)</f>
        <v>Vast</v>
      </c>
      <c r="I1103" t="str">
        <f t="shared" si="53"/>
        <v>OK</v>
      </c>
    </row>
    <row r="1104" spans="1:9" hidden="1" x14ac:dyDescent="0.3">
      <c r="A1104" s="2">
        <v>45803</v>
      </c>
      <c r="B1104" t="str">
        <f t="shared" si="51"/>
        <v xml:space="preserve">mei </v>
      </c>
      <c r="C1104">
        <v>-5</v>
      </c>
      <c r="D1104" t="s">
        <v>13</v>
      </c>
      <c r="F1104" t="str">
        <f>VLOOKUP(Tabel1[[#This Row],[categorie]],Lijst!A:C,3,FALSE)</f>
        <v>Uitgave</v>
      </c>
      <c r="G1104">
        <f t="shared" si="52"/>
        <v>-5</v>
      </c>
      <c r="H1104" t="str">
        <f>VLOOKUP(Tabel1[[#This Row],[categorie]],Lijst!A:B,2,FALSE)</f>
        <v>Vast</v>
      </c>
      <c r="I1104" t="str">
        <f t="shared" si="53"/>
        <v>OK</v>
      </c>
    </row>
    <row r="1105" spans="1:9" hidden="1" x14ac:dyDescent="0.3">
      <c r="A1105" s="2">
        <v>45803</v>
      </c>
      <c r="B1105" t="str">
        <f t="shared" si="51"/>
        <v xml:space="preserve">mei </v>
      </c>
      <c r="C1105">
        <v>530.58000000000004</v>
      </c>
      <c r="D1105" t="s">
        <v>83</v>
      </c>
      <c r="F1105" t="s">
        <v>65</v>
      </c>
      <c r="G1105">
        <f t="shared" si="52"/>
        <v>530.58000000000004</v>
      </c>
      <c r="H1105" t="str">
        <f>VLOOKUP(Tabel1[[#This Row],[categorie]],Lijst!A:B,2,FALSE)</f>
        <v>Inkomsten</v>
      </c>
      <c r="I1105" t="str">
        <f t="shared" si="53"/>
        <v>OK</v>
      </c>
    </row>
    <row r="1106" spans="1:9" hidden="1" x14ac:dyDescent="0.3">
      <c r="A1106" s="2">
        <v>45803</v>
      </c>
      <c r="B1106" t="str">
        <f t="shared" si="51"/>
        <v xml:space="preserve">mei </v>
      </c>
      <c r="C1106">
        <v>-113.49</v>
      </c>
      <c r="D1106" t="s">
        <v>28</v>
      </c>
      <c r="F1106" t="str">
        <f>VLOOKUP(Tabel1[[#This Row],[categorie]],Lijst!A:C,3,FALSE)</f>
        <v>Uitgave</v>
      </c>
      <c r="G1106">
        <f t="shared" si="52"/>
        <v>-113.49</v>
      </c>
      <c r="H1106" t="str">
        <f>VLOOKUP(Tabel1[[#This Row],[categorie]],Lijst!A:B,2,FALSE)</f>
        <v>Vast</v>
      </c>
      <c r="I1106" t="str">
        <f t="shared" si="53"/>
        <v>OK</v>
      </c>
    </row>
    <row r="1107" spans="1:9" hidden="1" x14ac:dyDescent="0.3">
      <c r="A1107" s="2">
        <v>45804</v>
      </c>
      <c r="B1107" t="str">
        <f t="shared" si="51"/>
        <v xml:space="preserve">mei </v>
      </c>
      <c r="C1107">
        <v>83</v>
      </c>
      <c r="D1107" t="s">
        <v>82</v>
      </c>
      <c r="F1107" t="s">
        <v>65</v>
      </c>
      <c r="G1107">
        <f t="shared" si="52"/>
        <v>83</v>
      </c>
      <c r="H1107" t="str">
        <f>VLOOKUP(Tabel1[[#This Row],[categorie]],Lijst!A:B,2,FALSE)</f>
        <v>Vast</v>
      </c>
      <c r="I1107" t="str">
        <f t="shared" si="53"/>
        <v>OK</v>
      </c>
    </row>
    <row r="1108" spans="1:9" hidden="1" x14ac:dyDescent="0.3">
      <c r="A1108" s="2">
        <v>45804</v>
      </c>
      <c r="B1108" t="str">
        <f t="shared" si="51"/>
        <v xml:space="preserve">mei </v>
      </c>
      <c r="C1108">
        <v>-37.9</v>
      </c>
      <c r="D1108" t="s">
        <v>9</v>
      </c>
      <c r="F1108" t="s">
        <v>18</v>
      </c>
      <c r="G1108">
        <f t="shared" si="52"/>
        <v>-37.9</v>
      </c>
      <c r="H1108" t="str">
        <f>VLOOKUP(Tabel1[[#This Row],[categorie]],Lijst!A:B,2,FALSE)</f>
        <v>Variabel</v>
      </c>
      <c r="I1108" t="str">
        <f t="shared" si="53"/>
        <v>OK</v>
      </c>
    </row>
    <row r="1109" spans="1:9" hidden="1" x14ac:dyDescent="0.3">
      <c r="A1109" s="2">
        <v>45804</v>
      </c>
      <c r="B1109" t="str">
        <f t="shared" si="51"/>
        <v xml:space="preserve">mei </v>
      </c>
      <c r="C1109">
        <v>-12.25</v>
      </c>
      <c r="D1109" t="s">
        <v>3</v>
      </c>
      <c r="F1109" t="str">
        <f>VLOOKUP(Tabel1[[#This Row],[categorie]],Lijst!A:C,3,FALSE)</f>
        <v>Uitgave</v>
      </c>
      <c r="G1109">
        <f t="shared" si="52"/>
        <v>-12.25</v>
      </c>
      <c r="H1109" t="str">
        <f>VLOOKUP(Tabel1[[#This Row],[categorie]],Lijst!A:B,2,FALSE)</f>
        <v>Vast</v>
      </c>
      <c r="I1109" t="str">
        <f t="shared" si="53"/>
        <v>OK</v>
      </c>
    </row>
    <row r="1110" spans="1:9" hidden="1" x14ac:dyDescent="0.3">
      <c r="A1110" s="2">
        <v>45804</v>
      </c>
      <c r="B1110" t="str">
        <f t="shared" si="51"/>
        <v xml:space="preserve">mei </v>
      </c>
      <c r="C1110">
        <v>-7.26</v>
      </c>
      <c r="D1110" t="s">
        <v>3</v>
      </c>
      <c r="F1110" t="str">
        <f>VLOOKUP(Tabel1[[#This Row],[categorie]],Lijst!A:C,3,FALSE)</f>
        <v>Uitgave</v>
      </c>
      <c r="G1110">
        <f t="shared" si="52"/>
        <v>-7.26</v>
      </c>
      <c r="H1110" t="str">
        <f>VLOOKUP(Tabel1[[#This Row],[categorie]],Lijst!A:B,2,FALSE)</f>
        <v>Vast</v>
      </c>
      <c r="I1110" t="str">
        <f t="shared" si="53"/>
        <v>OK</v>
      </c>
    </row>
    <row r="1111" spans="1:9" hidden="1" x14ac:dyDescent="0.3">
      <c r="A1111" s="2">
        <v>45804</v>
      </c>
      <c r="B1111" t="str">
        <f t="shared" si="51"/>
        <v xml:space="preserve">mei </v>
      </c>
      <c r="C1111">
        <v>-3.3</v>
      </c>
      <c r="D1111" t="s">
        <v>25</v>
      </c>
      <c r="F1111" t="str">
        <f>VLOOKUP(Tabel1[[#This Row],[categorie]],Lijst!A:C,3,FALSE)</f>
        <v>Uitgave</v>
      </c>
      <c r="G1111">
        <f t="shared" si="52"/>
        <v>-3.3</v>
      </c>
      <c r="H1111" t="str">
        <f>VLOOKUP(Tabel1[[#This Row],[categorie]],Lijst!A:B,2,FALSE)</f>
        <v>Variabel</v>
      </c>
      <c r="I1111" t="str">
        <f t="shared" si="53"/>
        <v>OK</v>
      </c>
    </row>
    <row r="1112" spans="1:9" hidden="1" x14ac:dyDescent="0.3">
      <c r="A1112" s="2">
        <v>45804</v>
      </c>
      <c r="B1112" t="str">
        <f t="shared" si="51"/>
        <v xml:space="preserve">mei </v>
      </c>
      <c r="C1112">
        <v>-1.5</v>
      </c>
      <c r="D1112" t="s">
        <v>26</v>
      </c>
      <c r="F1112" t="str">
        <f>VLOOKUP(Tabel1[[#This Row],[categorie]],Lijst!A:C,3,FALSE)</f>
        <v>Uitgave</v>
      </c>
      <c r="G1112">
        <f t="shared" si="52"/>
        <v>-1.5</v>
      </c>
      <c r="H1112" t="str">
        <f>VLOOKUP(Tabel1[[#This Row],[categorie]],Lijst!A:B,2,FALSE)</f>
        <v>Variabel</v>
      </c>
      <c r="I1112" t="str">
        <f t="shared" si="53"/>
        <v>OK</v>
      </c>
    </row>
    <row r="1113" spans="1:9" hidden="1" x14ac:dyDescent="0.3">
      <c r="A1113" s="2">
        <v>45804</v>
      </c>
      <c r="B1113" t="str">
        <f t="shared" si="51"/>
        <v xml:space="preserve">mei </v>
      </c>
      <c r="C1113">
        <v>-0.9</v>
      </c>
      <c r="D1113" t="s">
        <v>26</v>
      </c>
      <c r="F1113" t="str">
        <f>VLOOKUP(Tabel1[[#This Row],[categorie]],Lijst!A:C,3,FALSE)</f>
        <v>Uitgave</v>
      </c>
      <c r="G1113">
        <f t="shared" si="52"/>
        <v>-0.9</v>
      </c>
      <c r="H1113" t="str">
        <f>VLOOKUP(Tabel1[[#This Row],[categorie]],Lijst!A:B,2,FALSE)</f>
        <v>Variabel</v>
      </c>
      <c r="I1113" t="str">
        <f t="shared" si="53"/>
        <v>OK</v>
      </c>
    </row>
    <row r="1114" spans="1:9" hidden="1" x14ac:dyDescent="0.3">
      <c r="A1114" s="2">
        <v>45804</v>
      </c>
      <c r="B1114" t="str">
        <f t="shared" si="51"/>
        <v xml:space="preserve">mei </v>
      </c>
      <c r="C1114">
        <v>-1.5</v>
      </c>
      <c r="D1114" t="s">
        <v>26</v>
      </c>
      <c r="F1114" t="str">
        <f>VLOOKUP(Tabel1[[#This Row],[categorie]],Lijst!A:C,3,FALSE)</f>
        <v>Uitgave</v>
      </c>
      <c r="G1114">
        <f t="shared" si="52"/>
        <v>-1.5</v>
      </c>
      <c r="H1114" t="str">
        <f>VLOOKUP(Tabel1[[#This Row],[categorie]],Lijst!A:B,2,FALSE)</f>
        <v>Variabel</v>
      </c>
      <c r="I1114" t="str">
        <f t="shared" si="53"/>
        <v>OK</v>
      </c>
    </row>
    <row r="1115" spans="1:9" hidden="1" x14ac:dyDescent="0.3">
      <c r="A1115" s="2">
        <v>45804</v>
      </c>
      <c r="B1115" t="str">
        <f t="shared" si="51"/>
        <v xml:space="preserve">mei </v>
      </c>
      <c r="C1115">
        <v>-1.5</v>
      </c>
      <c r="D1115" t="s">
        <v>26</v>
      </c>
      <c r="F1115" t="str">
        <f>VLOOKUP(Tabel1[[#This Row],[categorie]],Lijst!A:C,3,FALSE)</f>
        <v>Uitgave</v>
      </c>
      <c r="G1115">
        <f t="shared" si="52"/>
        <v>-1.5</v>
      </c>
      <c r="H1115" t="str">
        <f>VLOOKUP(Tabel1[[#This Row],[categorie]],Lijst!A:B,2,FALSE)</f>
        <v>Variabel</v>
      </c>
      <c r="I1115" t="str">
        <f t="shared" si="53"/>
        <v>OK</v>
      </c>
    </row>
    <row r="1116" spans="1:9" hidden="1" x14ac:dyDescent="0.3">
      <c r="A1116" s="2">
        <v>45804</v>
      </c>
      <c r="B1116" t="str">
        <f t="shared" si="51"/>
        <v xml:space="preserve">mei </v>
      </c>
      <c r="C1116">
        <v>-1.8</v>
      </c>
      <c r="D1116" t="s">
        <v>26</v>
      </c>
      <c r="F1116" t="str">
        <f>VLOOKUP(Tabel1[[#This Row],[categorie]],Lijst!A:C,3,FALSE)</f>
        <v>Uitgave</v>
      </c>
      <c r="G1116">
        <f t="shared" si="52"/>
        <v>-1.8</v>
      </c>
      <c r="H1116" t="str">
        <f>VLOOKUP(Tabel1[[#This Row],[categorie]],Lijst!A:B,2,FALSE)</f>
        <v>Variabel</v>
      </c>
      <c r="I1116" t="str">
        <f t="shared" si="53"/>
        <v>OK</v>
      </c>
    </row>
    <row r="1117" spans="1:9" hidden="1" x14ac:dyDescent="0.3">
      <c r="A1117" s="2">
        <v>45804</v>
      </c>
      <c r="B1117" t="str">
        <f t="shared" si="51"/>
        <v xml:space="preserve">mei </v>
      </c>
      <c r="C1117">
        <v>-11.35</v>
      </c>
      <c r="D1117" t="s">
        <v>3</v>
      </c>
      <c r="F1117" t="str">
        <f>VLOOKUP(Tabel1[[#This Row],[categorie]],Lijst!A:C,3,FALSE)</f>
        <v>Uitgave</v>
      </c>
      <c r="G1117">
        <f t="shared" si="52"/>
        <v>-11.35</v>
      </c>
      <c r="H1117" t="str">
        <f>VLOOKUP(Tabel1[[#This Row],[categorie]],Lijst!A:B,2,FALSE)</f>
        <v>Vast</v>
      </c>
      <c r="I1117" t="str">
        <f t="shared" si="53"/>
        <v>OK</v>
      </c>
    </row>
    <row r="1118" spans="1:9" hidden="1" x14ac:dyDescent="0.3">
      <c r="A1118" s="2">
        <v>45805</v>
      </c>
      <c r="B1118" t="str">
        <f t="shared" si="51"/>
        <v xml:space="preserve">mei </v>
      </c>
      <c r="C1118">
        <v>-9.7200000000000006</v>
      </c>
      <c r="D1118" t="s">
        <v>82</v>
      </c>
      <c r="F1118" t="s">
        <v>18</v>
      </c>
      <c r="G1118">
        <f t="shared" si="52"/>
        <v>-9.7200000000000006</v>
      </c>
      <c r="H1118" t="str">
        <f>VLOOKUP(Tabel1[[#This Row],[categorie]],Lijst!A:B,2,FALSE)</f>
        <v>Vast</v>
      </c>
      <c r="I1118" t="str">
        <f t="shared" si="53"/>
        <v>OK</v>
      </c>
    </row>
    <row r="1119" spans="1:9" hidden="1" x14ac:dyDescent="0.3">
      <c r="A1119" s="2">
        <v>45805</v>
      </c>
      <c r="B1119" t="str">
        <f t="shared" si="51"/>
        <v xml:space="preserve">mei </v>
      </c>
      <c r="C1119">
        <v>-24.99</v>
      </c>
      <c r="D1119" t="s">
        <v>55</v>
      </c>
      <c r="F1119" t="str">
        <f>VLOOKUP(Tabel1[[#This Row],[categorie]],Lijst!A:C,3,FALSE)</f>
        <v>Uitgave</v>
      </c>
      <c r="G1119">
        <f t="shared" si="52"/>
        <v>-24.99</v>
      </c>
      <c r="H1119" t="str">
        <f>VLOOKUP(Tabel1[[#This Row],[categorie]],Lijst!A:B,2,FALSE)</f>
        <v>Variabel</v>
      </c>
      <c r="I1119" t="str">
        <f t="shared" si="53"/>
        <v>OK</v>
      </c>
    </row>
    <row r="1120" spans="1:9" hidden="1" x14ac:dyDescent="0.3">
      <c r="A1120" s="2">
        <v>45805</v>
      </c>
      <c r="B1120" t="str">
        <f t="shared" si="51"/>
        <v xml:space="preserve">mei </v>
      </c>
      <c r="C1120">
        <v>-41.11</v>
      </c>
      <c r="D1120" t="s">
        <v>3</v>
      </c>
      <c r="F1120" t="str">
        <f>VLOOKUP(Tabel1[[#This Row],[categorie]],Lijst!A:C,3,FALSE)</f>
        <v>Uitgave</v>
      </c>
      <c r="G1120">
        <f t="shared" si="52"/>
        <v>-41.11</v>
      </c>
      <c r="H1120" t="str">
        <f>VLOOKUP(Tabel1[[#This Row],[categorie]],Lijst!A:B,2,FALSE)</f>
        <v>Vast</v>
      </c>
      <c r="I1120" t="str">
        <f t="shared" si="53"/>
        <v>OK</v>
      </c>
    </row>
    <row r="1121" spans="1:9" hidden="1" x14ac:dyDescent="0.3">
      <c r="A1121" s="2">
        <v>45805</v>
      </c>
      <c r="B1121" t="str">
        <f t="shared" si="51"/>
        <v xml:space="preserve">mei </v>
      </c>
      <c r="C1121">
        <v>-8.52</v>
      </c>
      <c r="D1121" t="s">
        <v>3</v>
      </c>
      <c r="F1121" t="str">
        <f>VLOOKUP(Tabel1[[#This Row],[categorie]],Lijst!A:C,3,FALSE)</f>
        <v>Uitgave</v>
      </c>
      <c r="G1121">
        <f t="shared" si="52"/>
        <v>-8.52</v>
      </c>
      <c r="H1121" t="str">
        <f>VLOOKUP(Tabel1[[#This Row],[categorie]],Lijst!A:B,2,FALSE)</f>
        <v>Vast</v>
      </c>
      <c r="I1121" t="str">
        <f t="shared" si="53"/>
        <v>OK</v>
      </c>
    </row>
    <row r="1122" spans="1:9" hidden="1" x14ac:dyDescent="0.3">
      <c r="A1122" s="2">
        <v>45805</v>
      </c>
      <c r="B1122" t="str">
        <f t="shared" si="51"/>
        <v xml:space="preserve">mei </v>
      </c>
      <c r="C1122">
        <v>-1.99</v>
      </c>
      <c r="D1122" t="s">
        <v>35</v>
      </c>
      <c r="F1122" t="str">
        <f>VLOOKUP(Tabel1[[#This Row],[categorie]],Lijst!A:C,3,FALSE)</f>
        <v>Uitgave</v>
      </c>
      <c r="G1122">
        <f t="shared" si="52"/>
        <v>-1.99</v>
      </c>
      <c r="H1122" t="str">
        <f>VLOOKUP(Tabel1[[#This Row],[categorie]],Lijst!A:B,2,FALSE)</f>
        <v>Variabel</v>
      </c>
      <c r="I1122" t="str">
        <f t="shared" si="53"/>
        <v>OK</v>
      </c>
    </row>
    <row r="1123" spans="1:9" hidden="1" x14ac:dyDescent="0.3">
      <c r="A1123" s="2">
        <v>45805</v>
      </c>
      <c r="B1123" t="str">
        <f t="shared" ref="B1123:B1186" si="54">TEXT(A1123,"mmmm ")</f>
        <v xml:space="preserve">mei </v>
      </c>
      <c r="C1123">
        <v>-1.5</v>
      </c>
      <c r="D1123" t="s">
        <v>19</v>
      </c>
      <c r="F1123" t="str">
        <f>VLOOKUP(Tabel1[[#This Row],[categorie]],Lijst!A:C,3,FALSE)</f>
        <v>Uitgave</v>
      </c>
      <c r="G1123">
        <f t="shared" ref="G1123:G1186" si="55">IF(F1123="Uitgave", -ABS(C1123), ABS(C1123))</f>
        <v>-1.5</v>
      </c>
      <c r="H1123" t="str">
        <f>VLOOKUP(Tabel1[[#This Row],[categorie]],Lijst!A:B,2,FALSE)</f>
        <v>Vast</v>
      </c>
      <c r="I1123" t="str">
        <f t="shared" ref="I1123:I1186" si="56">IF(OR(AND(F1123="Uitgave", C1123&lt;0), AND(F1123="Inkomst", C1123&gt;0)), "OK", "FOUT")</f>
        <v>OK</v>
      </c>
    </row>
    <row r="1124" spans="1:9" hidden="1" x14ac:dyDescent="0.3">
      <c r="A1124" s="2">
        <v>45805</v>
      </c>
      <c r="B1124" t="str">
        <f t="shared" si="54"/>
        <v xml:space="preserve">mei </v>
      </c>
      <c r="C1124">
        <v>-14</v>
      </c>
      <c r="D1124" t="s">
        <v>75</v>
      </c>
      <c r="F1124" t="s">
        <v>18</v>
      </c>
      <c r="G1124">
        <f t="shared" si="55"/>
        <v>-14</v>
      </c>
      <c r="H1124" t="str">
        <f>VLOOKUP(Tabel1[[#This Row],[categorie]],Lijst!A:B,2,FALSE)</f>
        <v>Variabel</v>
      </c>
      <c r="I1124" t="str">
        <f t="shared" si="56"/>
        <v>OK</v>
      </c>
    </row>
    <row r="1125" spans="1:9" hidden="1" x14ac:dyDescent="0.3">
      <c r="A1125" s="2">
        <v>45806</v>
      </c>
      <c r="B1125" t="str">
        <f t="shared" si="54"/>
        <v xml:space="preserve">mei </v>
      </c>
      <c r="C1125">
        <v>-5.57</v>
      </c>
      <c r="D1125" t="s">
        <v>3</v>
      </c>
      <c r="F1125" t="str">
        <f>VLOOKUP(Tabel1[[#This Row],[categorie]],Lijst!A:C,3,FALSE)</f>
        <v>Uitgave</v>
      </c>
      <c r="G1125">
        <f t="shared" si="55"/>
        <v>-5.57</v>
      </c>
      <c r="H1125" t="str">
        <f>VLOOKUP(Tabel1[[#This Row],[categorie]],Lijst!A:B,2,FALSE)</f>
        <v>Vast</v>
      </c>
      <c r="I1125" t="str">
        <f t="shared" si="56"/>
        <v>OK</v>
      </c>
    </row>
    <row r="1126" spans="1:9" hidden="1" x14ac:dyDescent="0.3">
      <c r="A1126" s="2">
        <v>45806</v>
      </c>
      <c r="B1126" t="str">
        <f t="shared" si="54"/>
        <v xml:space="preserve">mei </v>
      </c>
      <c r="C1126">
        <v>-24.71</v>
      </c>
      <c r="D1126" t="s">
        <v>3</v>
      </c>
      <c r="F1126" t="str">
        <f>VLOOKUP(Tabel1[[#This Row],[categorie]],Lijst!A:C,3,FALSE)</f>
        <v>Uitgave</v>
      </c>
      <c r="G1126">
        <f t="shared" si="55"/>
        <v>-24.71</v>
      </c>
      <c r="H1126" t="str">
        <f>VLOOKUP(Tabel1[[#This Row],[categorie]],Lijst!A:B,2,FALSE)</f>
        <v>Vast</v>
      </c>
      <c r="I1126" t="str">
        <f t="shared" si="56"/>
        <v>OK</v>
      </c>
    </row>
    <row r="1127" spans="1:9" hidden="1" x14ac:dyDescent="0.3">
      <c r="A1127" s="2">
        <v>45806</v>
      </c>
      <c r="B1127" t="str">
        <f t="shared" si="54"/>
        <v xml:space="preserve">mei </v>
      </c>
      <c r="C1127">
        <v>-91</v>
      </c>
      <c r="D1127" t="s">
        <v>45</v>
      </c>
      <c r="F1127" t="str">
        <f>VLOOKUP(Tabel1[[#This Row],[categorie]],Lijst!A:C,3,FALSE)</f>
        <v>Uitgave</v>
      </c>
      <c r="G1127">
        <f t="shared" si="55"/>
        <v>-91</v>
      </c>
      <c r="H1127" t="str">
        <f>VLOOKUP(Tabel1[[#This Row],[categorie]],Lijst!A:B,2,FALSE)</f>
        <v>Variabel</v>
      </c>
      <c r="I1127" t="str">
        <f t="shared" si="56"/>
        <v>OK</v>
      </c>
    </row>
    <row r="1128" spans="1:9" hidden="1" x14ac:dyDescent="0.3">
      <c r="A1128" s="2">
        <v>45806</v>
      </c>
      <c r="B1128" t="str">
        <f t="shared" si="54"/>
        <v xml:space="preserve">mei </v>
      </c>
      <c r="C1128">
        <v>-16</v>
      </c>
      <c r="D1128" t="s">
        <v>3</v>
      </c>
      <c r="F1128" t="str">
        <f>VLOOKUP(Tabel1[[#This Row],[categorie]],Lijst!A:C,3,FALSE)</f>
        <v>Uitgave</v>
      </c>
      <c r="G1128">
        <f t="shared" si="55"/>
        <v>-16</v>
      </c>
      <c r="H1128" t="str">
        <f>VLOOKUP(Tabel1[[#This Row],[categorie]],Lijst!A:B,2,FALSE)</f>
        <v>Vast</v>
      </c>
      <c r="I1128" t="str">
        <f t="shared" si="56"/>
        <v>OK</v>
      </c>
    </row>
    <row r="1129" spans="1:9" hidden="1" x14ac:dyDescent="0.3">
      <c r="A1129" s="2">
        <v>45807</v>
      </c>
      <c r="B1129" t="str">
        <f t="shared" si="54"/>
        <v xml:space="preserve">mei </v>
      </c>
      <c r="C1129">
        <v>-586.12</v>
      </c>
      <c r="D1129" t="s">
        <v>73</v>
      </c>
      <c r="F1129" t="str">
        <f>VLOOKUP(Tabel1[[#This Row],[categorie]],Lijst!A:C,3,FALSE)</f>
        <v>Uitgave</v>
      </c>
      <c r="G1129">
        <f t="shared" si="55"/>
        <v>-586.12</v>
      </c>
      <c r="H1129" t="str">
        <f>VLOOKUP(Tabel1[[#This Row],[categorie]],Lijst!A:B,2,FALSE)</f>
        <v>Vast</v>
      </c>
      <c r="I1129" t="str">
        <f t="shared" si="56"/>
        <v>OK</v>
      </c>
    </row>
    <row r="1130" spans="1:9" hidden="1" x14ac:dyDescent="0.3">
      <c r="A1130" s="2">
        <v>45807</v>
      </c>
      <c r="B1130" t="str">
        <f t="shared" si="54"/>
        <v xml:space="preserve">mei </v>
      </c>
      <c r="C1130">
        <v>-9.57</v>
      </c>
      <c r="D1130" t="s">
        <v>3</v>
      </c>
      <c r="F1130" t="str">
        <f>VLOOKUP(Tabel1[[#This Row],[categorie]],Lijst!A:C,3,FALSE)</f>
        <v>Uitgave</v>
      </c>
      <c r="G1130">
        <f t="shared" si="55"/>
        <v>-9.57</v>
      </c>
      <c r="H1130" t="str">
        <f>VLOOKUP(Tabel1[[#This Row],[categorie]],Lijst!A:B,2,FALSE)</f>
        <v>Vast</v>
      </c>
      <c r="I1130" t="str">
        <f t="shared" si="56"/>
        <v>OK</v>
      </c>
    </row>
    <row r="1131" spans="1:9" hidden="1" x14ac:dyDescent="0.3">
      <c r="A1131" s="2">
        <v>45807</v>
      </c>
      <c r="B1131" t="str">
        <f t="shared" si="54"/>
        <v xml:space="preserve">mei </v>
      </c>
      <c r="C1131">
        <v>-45</v>
      </c>
      <c r="D1131" t="s">
        <v>77</v>
      </c>
      <c r="F1131" t="str">
        <f>VLOOKUP(Tabel1[[#This Row],[categorie]],Lijst!A:C,3,FALSE)</f>
        <v>Uitgave</v>
      </c>
      <c r="G1131">
        <f t="shared" si="55"/>
        <v>-45</v>
      </c>
      <c r="H1131" t="str">
        <f>VLOOKUP(Tabel1[[#This Row],[categorie]],Lijst!A:B,2,FALSE)</f>
        <v>Variabel</v>
      </c>
      <c r="I1131" t="str">
        <f t="shared" si="56"/>
        <v>OK</v>
      </c>
    </row>
    <row r="1132" spans="1:9" hidden="1" x14ac:dyDescent="0.3">
      <c r="A1132" s="2">
        <v>45807</v>
      </c>
      <c r="B1132" t="str">
        <f t="shared" si="54"/>
        <v xml:space="preserve">mei </v>
      </c>
      <c r="C1132">
        <v>-9.9499999999999993</v>
      </c>
      <c r="D1132" t="s">
        <v>14</v>
      </c>
      <c r="F1132" t="str">
        <f>VLOOKUP(Tabel1[[#This Row],[categorie]],Lijst!A:C,3,FALSE)</f>
        <v>Uitgave</v>
      </c>
      <c r="G1132">
        <f t="shared" si="55"/>
        <v>-9.9499999999999993</v>
      </c>
      <c r="H1132" t="str">
        <f>VLOOKUP(Tabel1[[#This Row],[categorie]],Lijst!A:B,2,FALSE)</f>
        <v>Variabel</v>
      </c>
      <c r="I1132" t="str">
        <f t="shared" si="56"/>
        <v>OK</v>
      </c>
    </row>
    <row r="1133" spans="1:9" hidden="1" x14ac:dyDescent="0.3">
      <c r="A1133" s="2">
        <v>45807</v>
      </c>
      <c r="B1133" t="str">
        <f t="shared" si="54"/>
        <v xml:space="preserve">mei </v>
      </c>
      <c r="C1133">
        <v>-47.4</v>
      </c>
      <c r="D1133" t="s">
        <v>58</v>
      </c>
      <c r="F1133" t="str">
        <f>VLOOKUP(Tabel1[[#This Row],[categorie]],Lijst!A:C,3,FALSE)</f>
        <v>Uitgave</v>
      </c>
      <c r="G1133">
        <f t="shared" si="55"/>
        <v>-47.4</v>
      </c>
      <c r="H1133" t="str">
        <f>VLOOKUP(Tabel1[[#This Row],[categorie]],Lijst!A:B,2,FALSE)</f>
        <v>Variabel</v>
      </c>
      <c r="I1133" t="str">
        <f t="shared" si="56"/>
        <v>OK</v>
      </c>
    </row>
    <row r="1134" spans="1:9" hidden="1" x14ac:dyDescent="0.3">
      <c r="A1134" s="2">
        <v>45807</v>
      </c>
      <c r="B1134" t="str">
        <f t="shared" si="54"/>
        <v xml:space="preserve">mei </v>
      </c>
      <c r="C1134">
        <v>-11.99</v>
      </c>
      <c r="D1134" t="s">
        <v>58</v>
      </c>
      <c r="F1134" t="str">
        <f>VLOOKUP(Tabel1[[#This Row],[categorie]],Lijst!A:C,3,FALSE)</f>
        <v>Uitgave</v>
      </c>
      <c r="G1134">
        <f t="shared" si="55"/>
        <v>-11.99</v>
      </c>
      <c r="H1134" t="str">
        <f>VLOOKUP(Tabel1[[#This Row],[categorie]],Lijst!A:B,2,FALSE)</f>
        <v>Variabel</v>
      </c>
      <c r="I1134" t="str">
        <f t="shared" si="56"/>
        <v>OK</v>
      </c>
    </row>
    <row r="1135" spans="1:9" hidden="1" x14ac:dyDescent="0.3">
      <c r="A1135" s="2">
        <v>45807</v>
      </c>
      <c r="B1135" t="str">
        <f t="shared" si="54"/>
        <v xml:space="preserve">mei </v>
      </c>
      <c r="C1135">
        <v>-0.01</v>
      </c>
      <c r="D1135" t="s">
        <v>58</v>
      </c>
      <c r="F1135" t="str">
        <f>VLOOKUP(Tabel1[[#This Row],[categorie]],Lijst!A:C,3,FALSE)</f>
        <v>Uitgave</v>
      </c>
      <c r="G1135">
        <f t="shared" si="55"/>
        <v>-0.01</v>
      </c>
      <c r="H1135" t="str">
        <f>VLOOKUP(Tabel1[[#This Row],[categorie]],Lijst!A:B,2,FALSE)</f>
        <v>Variabel</v>
      </c>
      <c r="I1135" t="str">
        <f t="shared" si="56"/>
        <v>OK</v>
      </c>
    </row>
    <row r="1136" spans="1:9" hidden="1" x14ac:dyDescent="0.3">
      <c r="A1136" s="2">
        <v>45807</v>
      </c>
      <c r="B1136" t="str">
        <f t="shared" si="54"/>
        <v xml:space="preserve">mei </v>
      </c>
      <c r="C1136">
        <v>-0.01</v>
      </c>
      <c r="D1136" t="s">
        <v>58</v>
      </c>
      <c r="F1136" t="str">
        <f>VLOOKUP(Tabel1[[#This Row],[categorie]],Lijst!A:C,3,FALSE)</f>
        <v>Uitgave</v>
      </c>
      <c r="G1136">
        <f t="shared" si="55"/>
        <v>-0.01</v>
      </c>
      <c r="H1136" t="str">
        <f>VLOOKUP(Tabel1[[#This Row],[categorie]],Lijst!A:B,2,FALSE)</f>
        <v>Variabel</v>
      </c>
      <c r="I1136" t="str">
        <f t="shared" si="56"/>
        <v>OK</v>
      </c>
    </row>
    <row r="1137" spans="1:9" hidden="1" x14ac:dyDescent="0.3">
      <c r="A1137" s="2">
        <v>45807</v>
      </c>
      <c r="B1137" t="str">
        <f t="shared" si="54"/>
        <v xml:space="preserve">mei </v>
      </c>
      <c r="C1137">
        <v>-16</v>
      </c>
      <c r="D1137" t="s">
        <v>54</v>
      </c>
      <c r="F1137" t="str">
        <f>VLOOKUP(Tabel1[[#This Row],[categorie]],Lijst!A:C,3,FALSE)</f>
        <v>Uitgave</v>
      </c>
      <c r="G1137">
        <f t="shared" si="55"/>
        <v>-16</v>
      </c>
      <c r="H1137" t="str">
        <f>VLOOKUP(Tabel1[[#This Row],[categorie]],Lijst!A:B,2,FALSE)</f>
        <v>Variabel</v>
      </c>
      <c r="I1137" t="str">
        <f t="shared" si="56"/>
        <v>OK</v>
      </c>
    </row>
    <row r="1138" spans="1:9" hidden="1" x14ac:dyDescent="0.3">
      <c r="A1138" s="2">
        <v>45807</v>
      </c>
      <c r="B1138" t="str">
        <f t="shared" si="54"/>
        <v xml:space="preserve">mei </v>
      </c>
      <c r="C1138">
        <v>-69.650000000000006</v>
      </c>
      <c r="D1138" t="s">
        <v>23</v>
      </c>
      <c r="F1138" t="str">
        <f>VLOOKUP(Tabel1[[#This Row],[categorie]],Lijst!A:C,3,FALSE)</f>
        <v>Uitgave</v>
      </c>
      <c r="G1138">
        <f t="shared" si="55"/>
        <v>-69.650000000000006</v>
      </c>
      <c r="H1138" t="str">
        <f>VLOOKUP(Tabel1[[#This Row],[categorie]],Lijst!A:B,2,FALSE)</f>
        <v>Vast</v>
      </c>
      <c r="I1138" t="str">
        <f t="shared" si="56"/>
        <v>OK</v>
      </c>
    </row>
    <row r="1139" spans="1:9" hidden="1" x14ac:dyDescent="0.3">
      <c r="A1139" s="2">
        <v>45809</v>
      </c>
      <c r="B1139" t="str">
        <f t="shared" si="54"/>
        <v xml:space="preserve">juni </v>
      </c>
      <c r="C1139">
        <v>4520.3999999999996</v>
      </c>
      <c r="D1139" t="s">
        <v>83</v>
      </c>
      <c r="F1139" t="s">
        <v>65</v>
      </c>
      <c r="G1139">
        <f t="shared" si="55"/>
        <v>4520.3999999999996</v>
      </c>
      <c r="H1139" t="str">
        <f>VLOOKUP(Tabel1[[#This Row],[categorie]],Lijst!A:B,2,FALSE)</f>
        <v>Inkomsten</v>
      </c>
      <c r="I1139" t="str">
        <f t="shared" si="56"/>
        <v>OK</v>
      </c>
    </row>
    <row r="1140" spans="1:9" hidden="1" x14ac:dyDescent="0.3">
      <c r="A1140" s="2">
        <v>45809</v>
      </c>
      <c r="B1140" t="str">
        <f t="shared" si="54"/>
        <v xml:space="preserve">juni </v>
      </c>
      <c r="C1140">
        <v>2376.23</v>
      </c>
      <c r="D1140" t="s">
        <v>83</v>
      </c>
      <c r="F1140" t="s">
        <v>65</v>
      </c>
      <c r="G1140">
        <f t="shared" si="55"/>
        <v>2376.23</v>
      </c>
      <c r="H1140" t="str">
        <f>VLOOKUP(Tabel1[[#This Row],[categorie]],Lijst!A:B,2,FALSE)</f>
        <v>Inkomsten</v>
      </c>
      <c r="I1140" t="str">
        <f t="shared" si="56"/>
        <v>OK</v>
      </c>
    </row>
    <row r="1141" spans="1:9" hidden="1" x14ac:dyDescent="0.3">
      <c r="A1141" s="2">
        <v>45809</v>
      </c>
      <c r="B1141" t="str">
        <f t="shared" si="54"/>
        <v xml:space="preserve">juni </v>
      </c>
      <c r="C1141">
        <v>-5.0599999999999996</v>
      </c>
      <c r="D1141" t="s">
        <v>3</v>
      </c>
      <c r="F1141" t="s">
        <v>18</v>
      </c>
      <c r="G1141">
        <f t="shared" si="55"/>
        <v>-5.0599999999999996</v>
      </c>
      <c r="H1141" t="str">
        <f>VLOOKUP(Tabel1[[#This Row],[categorie]],Lijst!A:B,2,FALSE)</f>
        <v>Vast</v>
      </c>
      <c r="I1141" t="str">
        <f t="shared" si="56"/>
        <v>OK</v>
      </c>
    </row>
    <row r="1142" spans="1:9" hidden="1" x14ac:dyDescent="0.3">
      <c r="A1142" s="2">
        <v>45809</v>
      </c>
      <c r="B1142" t="str">
        <f t="shared" si="54"/>
        <v xml:space="preserve">juni </v>
      </c>
      <c r="C1142">
        <v>-110.86</v>
      </c>
      <c r="D1142" t="s">
        <v>40</v>
      </c>
      <c r="F1142" t="s">
        <v>18</v>
      </c>
      <c r="G1142">
        <f t="shared" si="55"/>
        <v>-110.86</v>
      </c>
      <c r="H1142" t="str">
        <f>VLOOKUP(Tabel1[[#This Row],[categorie]],Lijst!A:B,2,FALSE)</f>
        <v>Variabel</v>
      </c>
      <c r="I1142" t="str">
        <f t="shared" si="56"/>
        <v>OK</v>
      </c>
    </row>
    <row r="1143" spans="1:9" hidden="1" x14ac:dyDescent="0.3">
      <c r="A1143" s="2">
        <v>45810</v>
      </c>
      <c r="B1143" t="str">
        <f t="shared" si="54"/>
        <v xml:space="preserve">juni </v>
      </c>
      <c r="C1143">
        <v>-1.64</v>
      </c>
      <c r="D1143" t="s">
        <v>3</v>
      </c>
      <c r="F1143" t="s">
        <v>18</v>
      </c>
      <c r="G1143">
        <f t="shared" si="55"/>
        <v>-1.64</v>
      </c>
      <c r="H1143" t="str">
        <f>VLOOKUP(Tabel1[[#This Row],[categorie]],Lijst!A:B,2,FALSE)</f>
        <v>Vast</v>
      </c>
      <c r="I1143" t="str">
        <f t="shared" si="56"/>
        <v>OK</v>
      </c>
    </row>
    <row r="1144" spans="1:9" hidden="1" x14ac:dyDescent="0.3">
      <c r="A1144" s="2">
        <v>45810</v>
      </c>
      <c r="B1144" t="str">
        <f t="shared" si="54"/>
        <v xml:space="preserve">juni </v>
      </c>
      <c r="C1144">
        <v>-5</v>
      </c>
      <c r="D1144" t="s">
        <v>13</v>
      </c>
      <c r="F1144" t="s">
        <v>18</v>
      </c>
      <c r="G1144">
        <f t="shared" si="55"/>
        <v>-5</v>
      </c>
      <c r="H1144" t="str">
        <f>VLOOKUP(Tabel1[[#This Row],[categorie]],Lijst!A:B,2,FALSE)</f>
        <v>Vast</v>
      </c>
      <c r="I1144" t="str">
        <f t="shared" si="56"/>
        <v>OK</v>
      </c>
    </row>
    <row r="1145" spans="1:9" hidden="1" x14ac:dyDescent="0.3">
      <c r="A1145" s="2">
        <v>45810</v>
      </c>
      <c r="B1145" t="str">
        <f t="shared" si="54"/>
        <v xml:space="preserve">juni </v>
      </c>
      <c r="C1145">
        <v>-2.5</v>
      </c>
      <c r="D1145" t="s">
        <v>25</v>
      </c>
      <c r="F1145" t="s">
        <v>18</v>
      </c>
      <c r="G1145">
        <f t="shared" si="55"/>
        <v>-2.5</v>
      </c>
      <c r="H1145" t="str">
        <f>VLOOKUP(Tabel1[[#This Row],[categorie]],Lijst!A:B,2,FALSE)</f>
        <v>Variabel</v>
      </c>
      <c r="I1145" t="str">
        <f t="shared" si="56"/>
        <v>OK</v>
      </c>
    </row>
    <row r="1146" spans="1:9" hidden="1" x14ac:dyDescent="0.3">
      <c r="A1146" s="2">
        <v>45810</v>
      </c>
      <c r="B1146" t="str">
        <f t="shared" si="54"/>
        <v xml:space="preserve">juni </v>
      </c>
      <c r="C1146">
        <v>0.01</v>
      </c>
      <c r="D1146" t="s">
        <v>75</v>
      </c>
      <c r="F1146" t="s">
        <v>17</v>
      </c>
      <c r="G1146">
        <f t="shared" si="55"/>
        <v>0.01</v>
      </c>
      <c r="H1146" t="str">
        <f>VLOOKUP(Tabel1[[#This Row],[categorie]],Lijst!A:B,2,FALSE)</f>
        <v>Variabel</v>
      </c>
      <c r="I1146" t="str">
        <f t="shared" si="56"/>
        <v>OK</v>
      </c>
    </row>
    <row r="1147" spans="1:9" hidden="1" x14ac:dyDescent="0.3">
      <c r="A1147" s="2">
        <v>45810</v>
      </c>
      <c r="B1147" t="str">
        <f t="shared" si="54"/>
        <v xml:space="preserve">juni </v>
      </c>
      <c r="C1147">
        <v>0.01</v>
      </c>
      <c r="D1147" t="s">
        <v>75</v>
      </c>
      <c r="F1147" t="s">
        <v>17</v>
      </c>
      <c r="G1147">
        <f t="shared" si="55"/>
        <v>0.01</v>
      </c>
      <c r="H1147" t="str">
        <f>VLOOKUP(Tabel1[[#This Row],[categorie]],Lijst!A:B,2,FALSE)</f>
        <v>Variabel</v>
      </c>
      <c r="I1147" t="str">
        <f t="shared" si="56"/>
        <v>OK</v>
      </c>
    </row>
    <row r="1148" spans="1:9" hidden="1" x14ac:dyDescent="0.3">
      <c r="A1148" s="2">
        <v>45810</v>
      </c>
      <c r="B1148" t="str">
        <f t="shared" si="54"/>
        <v xml:space="preserve">juni </v>
      </c>
      <c r="C1148">
        <v>-5.2</v>
      </c>
      <c r="D1148" t="s">
        <v>3</v>
      </c>
      <c r="F1148" t="s">
        <v>18</v>
      </c>
      <c r="G1148">
        <f t="shared" si="55"/>
        <v>-5.2</v>
      </c>
      <c r="H1148" t="str">
        <f>VLOOKUP(Tabel1[[#This Row],[categorie]],Lijst!A:B,2,FALSE)</f>
        <v>Vast</v>
      </c>
      <c r="I1148" t="str">
        <f t="shared" si="56"/>
        <v>OK</v>
      </c>
    </row>
    <row r="1149" spans="1:9" hidden="1" x14ac:dyDescent="0.3">
      <c r="A1149" s="2">
        <v>45810</v>
      </c>
      <c r="B1149" t="str">
        <f t="shared" si="54"/>
        <v xml:space="preserve">juni </v>
      </c>
      <c r="C1149">
        <v>-1.7</v>
      </c>
      <c r="D1149" t="s">
        <v>13</v>
      </c>
      <c r="F1149" t="s">
        <v>18</v>
      </c>
      <c r="G1149">
        <f t="shared" si="55"/>
        <v>-1.7</v>
      </c>
      <c r="H1149" t="str">
        <f>VLOOKUP(Tabel1[[#This Row],[categorie]],Lijst!A:B,2,FALSE)</f>
        <v>Vast</v>
      </c>
      <c r="I1149" t="str">
        <f t="shared" si="56"/>
        <v>OK</v>
      </c>
    </row>
    <row r="1150" spans="1:9" hidden="1" x14ac:dyDescent="0.3">
      <c r="A1150" s="2">
        <v>45810</v>
      </c>
      <c r="B1150" t="str">
        <f t="shared" si="54"/>
        <v xml:space="preserve">juni </v>
      </c>
      <c r="C1150">
        <v>-45.25</v>
      </c>
      <c r="D1150" t="s">
        <v>209</v>
      </c>
      <c r="F1150" t="s">
        <v>18</v>
      </c>
      <c r="G1150">
        <f t="shared" si="55"/>
        <v>-45.25</v>
      </c>
      <c r="H1150" t="str">
        <f>VLOOKUP(Tabel1[[#This Row],[categorie]],Lijst!A:B,2,FALSE)</f>
        <v>Vast</v>
      </c>
      <c r="I1150" t="str">
        <f t="shared" si="56"/>
        <v>OK</v>
      </c>
    </row>
    <row r="1151" spans="1:9" hidden="1" x14ac:dyDescent="0.3">
      <c r="A1151" s="2">
        <v>45810</v>
      </c>
      <c r="B1151" t="str">
        <f t="shared" si="54"/>
        <v xml:space="preserve">juni </v>
      </c>
      <c r="C1151">
        <v>-44.64</v>
      </c>
      <c r="D1151" t="str" cm="1">
        <f t="array" ref="D1151">IFERROR(
  _xlfn.XLOOKUP(TRUE, ISNUMBER(FIND(Trefwoorden!$A$2:$A$99, E1151)), Trefwoorden!$B$2:$B$99),
  "Onbekend"
)</f>
        <v>Hospitalisatie</v>
      </c>
      <c r="E1151" t="s">
        <v>133</v>
      </c>
      <c r="F1151" t="s">
        <v>18</v>
      </c>
      <c r="G1151">
        <f t="shared" si="55"/>
        <v>-44.64</v>
      </c>
      <c r="H1151" t="str">
        <f>VLOOKUP(Tabel1[[#This Row],[categorie]],Lijst!A:B,2,FALSE)</f>
        <v>Vast</v>
      </c>
      <c r="I1151" t="str">
        <f t="shared" si="56"/>
        <v>OK</v>
      </c>
    </row>
    <row r="1152" spans="1:9" hidden="1" x14ac:dyDescent="0.3">
      <c r="A1152" s="2">
        <v>45811</v>
      </c>
      <c r="B1152" t="str">
        <f t="shared" si="54"/>
        <v xml:space="preserve">juni </v>
      </c>
      <c r="C1152">
        <v>-8.77</v>
      </c>
      <c r="D1152" t="s">
        <v>3</v>
      </c>
      <c r="F1152" t="s">
        <v>18</v>
      </c>
      <c r="G1152">
        <f t="shared" si="55"/>
        <v>-8.77</v>
      </c>
      <c r="H1152" t="str">
        <f>VLOOKUP(Tabel1[[#This Row],[categorie]],Lijst!A:B,2,FALSE)</f>
        <v>Vast</v>
      </c>
      <c r="I1152" t="str">
        <f t="shared" si="56"/>
        <v>OK</v>
      </c>
    </row>
    <row r="1153" spans="1:9" hidden="1" x14ac:dyDescent="0.3">
      <c r="A1153" s="2">
        <v>45811</v>
      </c>
      <c r="B1153" t="str">
        <f t="shared" si="54"/>
        <v xml:space="preserve">juni </v>
      </c>
      <c r="C1153">
        <v>-35</v>
      </c>
      <c r="D1153" t="s">
        <v>32</v>
      </c>
      <c r="F1153" t="s">
        <v>18</v>
      </c>
      <c r="G1153">
        <f t="shared" si="55"/>
        <v>-35</v>
      </c>
      <c r="H1153" t="str">
        <f>VLOOKUP(Tabel1[[#This Row],[categorie]],Lijst!A:B,2,FALSE)</f>
        <v>Variabel</v>
      </c>
      <c r="I1153" t="str">
        <f t="shared" si="56"/>
        <v>OK</v>
      </c>
    </row>
    <row r="1154" spans="1:9" hidden="1" x14ac:dyDescent="0.3">
      <c r="A1154" s="2">
        <v>45811</v>
      </c>
      <c r="B1154" t="str">
        <f t="shared" si="54"/>
        <v xml:space="preserve">juni </v>
      </c>
      <c r="C1154">
        <v>-12</v>
      </c>
      <c r="D1154" t="s">
        <v>39</v>
      </c>
      <c r="F1154" t="s">
        <v>18</v>
      </c>
      <c r="G1154">
        <f t="shared" si="55"/>
        <v>-12</v>
      </c>
      <c r="H1154" t="str">
        <f>VLOOKUP(Tabel1[[#This Row],[categorie]],Lijst!A:B,2,FALSE)</f>
        <v>Vast</v>
      </c>
      <c r="I1154" t="str">
        <f t="shared" si="56"/>
        <v>OK</v>
      </c>
    </row>
    <row r="1155" spans="1:9" hidden="1" x14ac:dyDescent="0.3">
      <c r="A1155" s="2">
        <v>45812</v>
      </c>
      <c r="B1155" t="str">
        <f t="shared" si="54"/>
        <v xml:space="preserve">juni </v>
      </c>
      <c r="C1155">
        <v>-20.399999999999999</v>
      </c>
      <c r="D1155" t="s">
        <v>56</v>
      </c>
      <c r="F1155" t="s">
        <v>18</v>
      </c>
      <c r="G1155">
        <f t="shared" si="55"/>
        <v>-20.399999999999999</v>
      </c>
      <c r="H1155" t="str">
        <f>VLOOKUP(Tabel1[[#This Row],[categorie]],Lijst!A:B,2,FALSE)</f>
        <v>Variabel</v>
      </c>
      <c r="I1155" t="str">
        <f t="shared" si="56"/>
        <v>OK</v>
      </c>
    </row>
    <row r="1156" spans="1:9" hidden="1" x14ac:dyDescent="0.3">
      <c r="A1156" s="2">
        <v>45812</v>
      </c>
      <c r="B1156" t="str">
        <f t="shared" si="54"/>
        <v xml:space="preserve">juni </v>
      </c>
      <c r="C1156">
        <v>-29.99</v>
      </c>
      <c r="D1156" t="s">
        <v>45</v>
      </c>
      <c r="F1156" t="s">
        <v>18</v>
      </c>
      <c r="G1156">
        <f t="shared" si="55"/>
        <v>-29.99</v>
      </c>
      <c r="H1156" t="str">
        <f>VLOOKUP(Tabel1[[#This Row],[categorie]],Lijst!A:B,2,FALSE)</f>
        <v>Variabel</v>
      </c>
      <c r="I1156" t="str">
        <f t="shared" si="56"/>
        <v>OK</v>
      </c>
    </row>
    <row r="1157" spans="1:9" hidden="1" x14ac:dyDescent="0.3">
      <c r="A1157" s="2">
        <v>45812</v>
      </c>
      <c r="B1157" t="str">
        <f t="shared" si="54"/>
        <v xml:space="preserve">juni </v>
      </c>
      <c r="C1157">
        <v>-10.38</v>
      </c>
      <c r="D1157" t="s">
        <v>3</v>
      </c>
      <c r="E1157" t="s">
        <v>37</v>
      </c>
      <c r="F1157" t="s">
        <v>18</v>
      </c>
      <c r="G1157">
        <f t="shared" si="55"/>
        <v>-10.38</v>
      </c>
      <c r="H1157" t="str">
        <f>VLOOKUP(Tabel1[[#This Row],[categorie]],Lijst!A:B,2,FALSE)</f>
        <v>Vast</v>
      </c>
      <c r="I1157" t="str">
        <f t="shared" si="56"/>
        <v>OK</v>
      </c>
    </row>
    <row r="1158" spans="1:9" hidden="1" x14ac:dyDescent="0.3">
      <c r="A1158" s="2">
        <v>45812</v>
      </c>
      <c r="B1158" t="str">
        <f t="shared" si="54"/>
        <v xml:space="preserve">juni </v>
      </c>
      <c r="C1158">
        <v>-2.5</v>
      </c>
      <c r="D1158" t="s">
        <v>25</v>
      </c>
      <c r="F1158" t="s">
        <v>18</v>
      </c>
      <c r="G1158">
        <f t="shared" si="55"/>
        <v>-2.5</v>
      </c>
      <c r="H1158" t="str">
        <f>VLOOKUP(Tabel1[[#This Row],[categorie]],Lijst!A:B,2,FALSE)</f>
        <v>Variabel</v>
      </c>
      <c r="I1158" t="str">
        <f t="shared" si="56"/>
        <v>OK</v>
      </c>
    </row>
    <row r="1159" spans="1:9" hidden="1" x14ac:dyDescent="0.3">
      <c r="A1159" s="2">
        <v>45812</v>
      </c>
      <c r="B1159" t="str">
        <f t="shared" si="54"/>
        <v xml:space="preserve">juni </v>
      </c>
      <c r="C1159">
        <v>-11.07</v>
      </c>
      <c r="D1159" t="s">
        <v>13</v>
      </c>
      <c r="F1159" t="s">
        <v>18</v>
      </c>
      <c r="G1159">
        <f t="shared" si="55"/>
        <v>-11.07</v>
      </c>
      <c r="H1159" t="str">
        <f>VLOOKUP(Tabel1[[#This Row],[categorie]],Lijst!A:B,2,FALSE)</f>
        <v>Vast</v>
      </c>
      <c r="I1159" t="str">
        <f t="shared" si="56"/>
        <v>OK</v>
      </c>
    </row>
    <row r="1160" spans="1:9" hidden="1" x14ac:dyDescent="0.3">
      <c r="A1160" s="2">
        <v>45812</v>
      </c>
      <c r="B1160" t="str">
        <f t="shared" si="54"/>
        <v xml:space="preserve">juni </v>
      </c>
      <c r="C1160">
        <v>-5</v>
      </c>
      <c r="D1160" t="s">
        <v>13</v>
      </c>
      <c r="F1160" t="s">
        <v>18</v>
      </c>
      <c r="G1160">
        <f t="shared" si="55"/>
        <v>-5</v>
      </c>
      <c r="H1160" t="str">
        <f>VLOOKUP(Tabel1[[#This Row],[categorie]],Lijst!A:B,2,FALSE)</f>
        <v>Vast</v>
      </c>
      <c r="I1160" t="str">
        <f t="shared" si="56"/>
        <v>OK</v>
      </c>
    </row>
    <row r="1161" spans="1:9" hidden="1" x14ac:dyDescent="0.3">
      <c r="A1161" s="2">
        <v>45812</v>
      </c>
      <c r="B1161" t="str">
        <f t="shared" si="54"/>
        <v xml:space="preserve">juni </v>
      </c>
      <c r="C1161">
        <v>-20.71</v>
      </c>
      <c r="D1161" t="s">
        <v>38</v>
      </c>
      <c r="F1161" t="s">
        <v>18</v>
      </c>
      <c r="G1161">
        <f t="shared" si="55"/>
        <v>-20.71</v>
      </c>
      <c r="H1161" t="str">
        <f>VLOOKUP(Tabel1[[#This Row],[categorie]],Lijst!A:B,2,FALSE)</f>
        <v>Vast</v>
      </c>
      <c r="I1161" t="str">
        <f t="shared" si="56"/>
        <v>OK</v>
      </c>
    </row>
    <row r="1162" spans="1:9" hidden="1" x14ac:dyDescent="0.3">
      <c r="A1162" s="2">
        <v>45812</v>
      </c>
      <c r="B1162" t="str">
        <f t="shared" si="54"/>
        <v xml:space="preserve">juni </v>
      </c>
      <c r="C1162">
        <v>-21.41</v>
      </c>
      <c r="D1162" t="s">
        <v>13</v>
      </c>
      <c r="F1162" t="s">
        <v>18</v>
      </c>
      <c r="G1162">
        <f t="shared" si="55"/>
        <v>-21.41</v>
      </c>
      <c r="H1162" t="str">
        <f>VLOOKUP(Tabel1[[#This Row],[categorie]],Lijst!A:B,2,FALSE)</f>
        <v>Vast</v>
      </c>
      <c r="I1162" t="str">
        <f t="shared" si="56"/>
        <v>OK</v>
      </c>
    </row>
    <row r="1163" spans="1:9" hidden="1" x14ac:dyDescent="0.3">
      <c r="A1163" s="2">
        <v>45813</v>
      </c>
      <c r="B1163" t="str">
        <f t="shared" si="54"/>
        <v xml:space="preserve">juni </v>
      </c>
      <c r="C1163">
        <v>-3.69</v>
      </c>
      <c r="D1163" t="s">
        <v>3</v>
      </c>
      <c r="F1163" t="s">
        <v>18</v>
      </c>
      <c r="G1163">
        <f t="shared" si="55"/>
        <v>-3.69</v>
      </c>
      <c r="H1163" t="str">
        <f>VLOOKUP(Tabel1[[#This Row],[categorie]],Lijst!A:B,2,FALSE)</f>
        <v>Vast</v>
      </c>
      <c r="I1163" t="str">
        <f t="shared" si="56"/>
        <v>OK</v>
      </c>
    </row>
    <row r="1164" spans="1:9" hidden="1" x14ac:dyDescent="0.3">
      <c r="A1164" s="2">
        <v>45813</v>
      </c>
      <c r="B1164" t="str">
        <f t="shared" si="54"/>
        <v xml:space="preserve">juni </v>
      </c>
      <c r="C1164">
        <v>-30</v>
      </c>
      <c r="D1164" t="s">
        <v>82</v>
      </c>
      <c r="F1164" t="s">
        <v>18</v>
      </c>
      <c r="G1164">
        <f t="shared" si="55"/>
        <v>-30</v>
      </c>
      <c r="H1164" t="str">
        <f>VLOOKUP(Tabel1[[#This Row],[categorie]],Lijst!A:B,2,FALSE)</f>
        <v>Vast</v>
      </c>
      <c r="I1164" t="str">
        <f t="shared" si="56"/>
        <v>OK</v>
      </c>
    </row>
    <row r="1165" spans="1:9" hidden="1" x14ac:dyDescent="0.3">
      <c r="A1165" s="2">
        <v>45813</v>
      </c>
      <c r="B1165" t="str">
        <f t="shared" si="54"/>
        <v xml:space="preserve">juni </v>
      </c>
      <c r="C1165">
        <v>-24.21</v>
      </c>
      <c r="D1165" t="s">
        <v>3</v>
      </c>
      <c r="F1165" t="s">
        <v>18</v>
      </c>
      <c r="G1165">
        <f t="shared" si="55"/>
        <v>-24.21</v>
      </c>
      <c r="H1165" t="str">
        <f>VLOOKUP(Tabel1[[#This Row],[categorie]],Lijst!A:B,2,FALSE)</f>
        <v>Vast</v>
      </c>
      <c r="I1165" t="str">
        <f t="shared" si="56"/>
        <v>OK</v>
      </c>
    </row>
    <row r="1166" spans="1:9" hidden="1" x14ac:dyDescent="0.3">
      <c r="A1166" s="2">
        <v>45813</v>
      </c>
      <c r="B1166" t="str">
        <f t="shared" si="54"/>
        <v xml:space="preserve">juni </v>
      </c>
      <c r="C1166">
        <v>-43.46</v>
      </c>
      <c r="D1166" t="s">
        <v>35</v>
      </c>
      <c r="F1166" t="s">
        <v>18</v>
      </c>
      <c r="G1166">
        <f t="shared" si="55"/>
        <v>-43.46</v>
      </c>
      <c r="H1166" t="str">
        <f>VLOOKUP(Tabel1[[#This Row],[categorie]],Lijst!A:B,2,FALSE)</f>
        <v>Variabel</v>
      </c>
      <c r="I1166" t="str">
        <f t="shared" si="56"/>
        <v>OK</v>
      </c>
    </row>
    <row r="1167" spans="1:9" hidden="1" x14ac:dyDescent="0.3">
      <c r="A1167" s="2">
        <v>45813</v>
      </c>
      <c r="B1167" t="str">
        <f t="shared" si="54"/>
        <v xml:space="preserve">juni </v>
      </c>
      <c r="C1167">
        <v>-5.59</v>
      </c>
      <c r="D1167" t="s">
        <v>3</v>
      </c>
      <c r="F1167" t="s">
        <v>18</v>
      </c>
      <c r="G1167">
        <f t="shared" si="55"/>
        <v>-5.59</v>
      </c>
      <c r="H1167" t="str">
        <f>VLOOKUP(Tabel1[[#This Row],[categorie]],Lijst!A:B,2,FALSE)</f>
        <v>Vast</v>
      </c>
      <c r="I1167" t="str">
        <f t="shared" si="56"/>
        <v>OK</v>
      </c>
    </row>
    <row r="1168" spans="1:9" hidden="1" x14ac:dyDescent="0.3">
      <c r="A1168" s="2">
        <v>45814</v>
      </c>
      <c r="B1168" t="str">
        <f t="shared" si="54"/>
        <v xml:space="preserve">juni </v>
      </c>
      <c r="C1168">
        <v>-27.84</v>
      </c>
      <c r="D1168" t="s">
        <v>3</v>
      </c>
      <c r="F1168" t="s">
        <v>18</v>
      </c>
      <c r="G1168">
        <f t="shared" si="55"/>
        <v>-27.84</v>
      </c>
      <c r="H1168" t="str">
        <f>VLOOKUP(Tabel1[[#This Row],[categorie]],Lijst!A:B,2,FALSE)</f>
        <v>Vast</v>
      </c>
      <c r="I1168" t="str">
        <f t="shared" si="56"/>
        <v>OK</v>
      </c>
    </row>
    <row r="1169" spans="1:9" hidden="1" x14ac:dyDescent="0.3">
      <c r="A1169" s="2">
        <v>45814</v>
      </c>
      <c r="B1169" t="str">
        <f t="shared" si="54"/>
        <v xml:space="preserve">juni </v>
      </c>
      <c r="C1169">
        <v>-14.48</v>
      </c>
      <c r="D1169" t="s">
        <v>3</v>
      </c>
      <c r="F1169" t="s">
        <v>18</v>
      </c>
      <c r="G1169">
        <f t="shared" si="55"/>
        <v>-14.48</v>
      </c>
      <c r="H1169" t="str">
        <f>VLOOKUP(Tabel1[[#This Row],[categorie]],Lijst!A:B,2,FALSE)</f>
        <v>Vast</v>
      </c>
      <c r="I1169" t="str">
        <f t="shared" si="56"/>
        <v>OK</v>
      </c>
    </row>
    <row r="1170" spans="1:9" hidden="1" x14ac:dyDescent="0.3">
      <c r="A1170" s="2">
        <v>45814</v>
      </c>
      <c r="B1170" t="str">
        <f t="shared" si="54"/>
        <v xml:space="preserve">juni </v>
      </c>
      <c r="C1170">
        <v>-15.78</v>
      </c>
      <c r="D1170" t="s">
        <v>3</v>
      </c>
      <c r="F1170" t="s">
        <v>18</v>
      </c>
      <c r="G1170">
        <f t="shared" si="55"/>
        <v>-15.78</v>
      </c>
      <c r="H1170" t="str">
        <f>VLOOKUP(Tabel1[[#This Row],[categorie]],Lijst!A:B,2,FALSE)</f>
        <v>Vast</v>
      </c>
      <c r="I1170" t="str">
        <f t="shared" si="56"/>
        <v>OK</v>
      </c>
    </row>
    <row r="1171" spans="1:9" hidden="1" x14ac:dyDescent="0.3">
      <c r="A1171" s="2">
        <v>45814</v>
      </c>
      <c r="B1171" t="str">
        <f t="shared" si="54"/>
        <v xml:space="preserve">juni </v>
      </c>
      <c r="C1171">
        <v>-62</v>
      </c>
      <c r="D1171" t="s">
        <v>14</v>
      </c>
      <c r="F1171" t="s">
        <v>18</v>
      </c>
      <c r="G1171">
        <f t="shared" si="55"/>
        <v>-62</v>
      </c>
      <c r="H1171" t="str">
        <f>VLOOKUP(Tabel1[[#This Row],[categorie]],Lijst!A:B,2,FALSE)</f>
        <v>Variabel</v>
      </c>
      <c r="I1171" t="str">
        <f t="shared" si="56"/>
        <v>OK</v>
      </c>
    </row>
    <row r="1172" spans="1:9" hidden="1" x14ac:dyDescent="0.3">
      <c r="A1172" s="2">
        <v>45814</v>
      </c>
      <c r="B1172" t="str">
        <f t="shared" si="54"/>
        <v xml:space="preserve">juni </v>
      </c>
      <c r="C1172">
        <v>-810.65</v>
      </c>
      <c r="D1172" t="s">
        <v>10</v>
      </c>
      <c r="F1172" t="s">
        <v>18</v>
      </c>
      <c r="G1172">
        <f t="shared" si="55"/>
        <v>-810.65</v>
      </c>
      <c r="H1172" t="str">
        <f>VLOOKUP(Tabel1[[#This Row],[categorie]],Lijst!A:B,2,FALSE)</f>
        <v>Vast</v>
      </c>
      <c r="I1172" t="str">
        <f t="shared" si="56"/>
        <v>OK</v>
      </c>
    </row>
    <row r="1173" spans="1:9" hidden="1" x14ac:dyDescent="0.3">
      <c r="A1173" s="2">
        <v>45814</v>
      </c>
      <c r="B1173" t="str">
        <f t="shared" si="54"/>
        <v xml:space="preserve">juni </v>
      </c>
      <c r="C1173">
        <v>-22.58</v>
      </c>
      <c r="D1173" t="s">
        <v>13</v>
      </c>
      <c r="F1173" t="s">
        <v>18</v>
      </c>
      <c r="G1173">
        <f t="shared" si="55"/>
        <v>-22.58</v>
      </c>
      <c r="H1173" t="str">
        <f>VLOOKUP(Tabel1[[#This Row],[categorie]],Lijst!A:B,2,FALSE)</f>
        <v>Vast</v>
      </c>
      <c r="I1173" t="str">
        <f t="shared" si="56"/>
        <v>OK</v>
      </c>
    </row>
    <row r="1174" spans="1:9" hidden="1" x14ac:dyDescent="0.3">
      <c r="A1174" s="2">
        <v>45814</v>
      </c>
      <c r="B1174" t="str">
        <f t="shared" si="54"/>
        <v xml:space="preserve">juni </v>
      </c>
      <c r="C1174">
        <v>-125.81</v>
      </c>
      <c r="D1174" t="s">
        <v>24</v>
      </c>
      <c r="F1174" t="s">
        <v>18</v>
      </c>
      <c r="G1174">
        <f t="shared" si="55"/>
        <v>-125.81</v>
      </c>
      <c r="H1174" t="str">
        <f>VLOOKUP(Tabel1[[#This Row],[categorie]],Lijst!A:B,2,FALSE)</f>
        <v>Vast</v>
      </c>
      <c r="I1174" t="str">
        <f t="shared" si="56"/>
        <v>OK</v>
      </c>
    </row>
    <row r="1175" spans="1:9" hidden="1" x14ac:dyDescent="0.3">
      <c r="A1175" s="2">
        <v>45815</v>
      </c>
      <c r="B1175" t="str">
        <f t="shared" si="54"/>
        <v xml:space="preserve">juni </v>
      </c>
      <c r="C1175">
        <v>-7.04</v>
      </c>
      <c r="D1175" t="s">
        <v>3</v>
      </c>
      <c r="F1175" t="s">
        <v>18</v>
      </c>
      <c r="G1175">
        <f t="shared" si="55"/>
        <v>-7.04</v>
      </c>
      <c r="H1175" t="str">
        <f>VLOOKUP(Tabel1[[#This Row],[categorie]],Lijst!A:B,2,FALSE)</f>
        <v>Vast</v>
      </c>
      <c r="I1175" t="str">
        <f t="shared" si="56"/>
        <v>OK</v>
      </c>
    </row>
    <row r="1176" spans="1:9" hidden="1" x14ac:dyDescent="0.3">
      <c r="A1176" s="2">
        <v>45815</v>
      </c>
      <c r="B1176" t="str">
        <f t="shared" si="54"/>
        <v xml:space="preserve">juni </v>
      </c>
      <c r="C1176">
        <v>-14.51</v>
      </c>
      <c r="D1176" t="s">
        <v>3</v>
      </c>
      <c r="F1176" t="s">
        <v>18</v>
      </c>
      <c r="G1176">
        <f t="shared" si="55"/>
        <v>-14.51</v>
      </c>
      <c r="H1176" t="str">
        <f>VLOOKUP(Tabel1[[#This Row],[categorie]],Lijst!A:B,2,FALSE)</f>
        <v>Vast</v>
      </c>
      <c r="I1176" t="str">
        <f t="shared" si="56"/>
        <v>OK</v>
      </c>
    </row>
    <row r="1177" spans="1:9" hidden="1" x14ac:dyDescent="0.3">
      <c r="A1177" s="2">
        <v>45815</v>
      </c>
      <c r="B1177" t="str">
        <f t="shared" si="54"/>
        <v xml:space="preserve">juni </v>
      </c>
      <c r="C1177">
        <v>-9.02</v>
      </c>
      <c r="D1177" t="s">
        <v>3</v>
      </c>
      <c r="F1177" t="s">
        <v>18</v>
      </c>
      <c r="G1177">
        <f t="shared" si="55"/>
        <v>-9.02</v>
      </c>
      <c r="H1177" t="str">
        <f>VLOOKUP(Tabel1[[#This Row],[categorie]],Lijst!A:B,2,FALSE)</f>
        <v>Vast</v>
      </c>
      <c r="I1177" t="str">
        <f t="shared" si="56"/>
        <v>OK</v>
      </c>
    </row>
    <row r="1178" spans="1:9" hidden="1" x14ac:dyDescent="0.3">
      <c r="A1178" s="2">
        <v>45815</v>
      </c>
      <c r="B1178" t="str">
        <f t="shared" si="54"/>
        <v xml:space="preserve">juni </v>
      </c>
      <c r="C1178">
        <v>-30</v>
      </c>
      <c r="D1178" t="s">
        <v>25</v>
      </c>
      <c r="F1178" t="s">
        <v>18</v>
      </c>
      <c r="G1178">
        <f t="shared" si="55"/>
        <v>-30</v>
      </c>
      <c r="H1178" t="str">
        <f>VLOOKUP(Tabel1[[#This Row],[categorie]],Lijst!A:B,2,FALSE)</f>
        <v>Variabel</v>
      </c>
      <c r="I1178" t="str">
        <f t="shared" si="56"/>
        <v>OK</v>
      </c>
    </row>
    <row r="1179" spans="1:9" hidden="1" x14ac:dyDescent="0.3">
      <c r="A1179" s="2">
        <v>45815</v>
      </c>
      <c r="B1179" t="str">
        <f t="shared" si="54"/>
        <v xml:space="preserve">juni </v>
      </c>
      <c r="C1179">
        <v>-4</v>
      </c>
      <c r="D1179" t="s">
        <v>35</v>
      </c>
      <c r="F1179" t="s">
        <v>18</v>
      </c>
      <c r="G1179">
        <f t="shared" si="55"/>
        <v>-4</v>
      </c>
      <c r="H1179" t="str">
        <f>VLOOKUP(Tabel1[[#This Row],[categorie]],Lijst!A:B,2,FALSE)</f>
        <v>Variabel</v>
      </c>
      <c r="I1179" t="str">
        <f t="shared" si="56"/>
        <v>OK</v>
      </c>
    </row>
    <row r="1180" spans="1:9" hidden="1" x14ac:dyDescent="0.3">
      <c r="A1180" s="2">
        <v>45815</v>
      </c>
      <c r="B1180" t="str">
        <f t="shared" si="54"/>
        <v xml:space="preserve">juni </v>
      </c>
      <c r="C1180">
        <v>-33.44</v>
      </c>
      <c r="D1180" t="s">
        <v>59</v>
      </c>
      <c r="F1180" t="s">
        <v>18</v>
      </c>
      <c r="G1180">
        <f t="shared" si="55"/>
        <v>-33.44</v>
      </c>
      <c r="H1180" t="str">
        <f>VLOOKUP(Tabel1[[#This Row],[categorie]],Lijst!A:B,2,FALSE)</f>
        <v>Variabel</v>
      </c>
      <c r="I1180" t="str">
        <f t="shared" si="56"/>
        <v>OK</v>
      </c>
    </row>
    <row r="1181" spans="1:9" hidden="1" x14ac:dyDescent="0.3">
      <c r="A1181" s="2">
        <v>45816</v>
      </c>
      <c r="B1181" t="str">
        <f t="shared" si="54"/>
        <v xml:space="preserve">juni </v>
      </c>
      <c r="C1181">
        <v>45</v>
      </c>
      <c r="D1181" t="s">
        <v>75</v>
      </c>
      <c r="F1181" t="s">
        <v>17</v>
      </c>
      <c r="G1181">
        <f t="shared" si="55"/>
        <v>45</v>
      </c>
      <c r="H1181" t="str">
        <f>VLOOKUP(Tabel1[[#This Row],[categorie]],Lijst!A:B,2,FALSE)</f>
        <v>Variabel</v>
      </c>
      <c r="I1181" t="str">
        <f t="shared" si="56"/>
        <v>OK</v>
      </c>
    </row>
    <row r="1182" spans="1:9" hidden="1" x14ac:dyDescent="0.3">
      <c r="A1182" s="2">
        <v>45816</v>
      </c>
      <c r="B1182" t="str">
        <f t="shared" si="54"/>
        <v xml:space="preserve">juni </v>
      </c>
      <c r="C1182">
        <v>-45</v>
      </c>
      <c r="D1182" t="s">
        <v>75</v>
      </c>
      <c r="F1182" t="s">
        <v>18</v>
      </c>
      <c r="G1182">
        <f t="shared" si="55"/>
        <v>-45</v>
      </c>
      <c r="H1182" t="str">
        <f>VLOOKUP(Tabel1[[#This Row],[categorie]],Lijst!A:B,2,FALSE)</f>
        <v>Variabel</v>
      </c>
      <c r="I1182" t="str">
        <f t="shared" si="56"/>
        <v>OK</v>
      </c>
    </row>
    <row r="1183" spans="1:9" hidden="1" x14ac:dyDescent="0.3">
      <c r="A1183" s="2">
        <v>45816</v>
      </c>
      <c r="B1183" t="str">
        <f t="shared" si="54"/>
        <v xml:space="preserve">juni </v>
      </c>
      <c r="C1183">
        <v>-67.5</v>
      </c>
      <c r="D1183" t="s">
        <v>21</v>
      </c>
      <c r="F1183" t="s">
        <v>18</v>
      </c>
      <c r="G1183">
        <f t="shared" si="55"/>
        <v>-67.5</v>
      </c>
      <c r="H1183" t="str">
        <f>VLOOKUP(Tabel1[[#This Row],[categorie]],Lijst!A:B,2,FALSE)</f>
        <v>Variabel</v>
      </c>
      <c r="I1183" t="str">
        <f t="shared" si="56"/>
        <v>OK</v>
      </c>
    </row>
    <row r="1184" spans="1:9" hidden="1" x14ac:dyDescent="0.3">
      <c r="A1184" s="2">
        <v>45817</v>
      </c>
      <c r="B1184" t="str">
        <f t="shared" si="54"/>
        <v xml:space="preserve">juni </v>
      </c>
      <c r="C1184">
        <v>-21.57</v>
      </c>
      <c r="D1184" t="s">
        <v>3</v>
      </c>
      <c r="F1184" t="s">
        <v>18</v>
      </c>
      <c r="G1184">
        <f t="shared" si="55"/>
        <v>-21.57</v>
      </c>
      <c r="H1184" t="str">
        <f>VLOOKUP(Tabel1[[#This Row],[categorie]],Lijst!A:B,2,FALSE)</f>
        <v>Vast</v>
      </c>
      <c r="I1184" t="str">
        <f t="shared" si="56"/>
        <v>OK</v>
      </c>
    </row>
    <row r="1185" spans="1:9" hidden="1" x14ac:dyDescent="0.3">
      <c r="A1185" s="2">
        <v>45817</v>
      </c>
      <c r="B1185" t="str">
        <f t="shared" si="54"/>
        <v xml:space="preserve">juni </v>
      </c>
      <c r="C1185">
        <v>-12.01</v>
      </c>
      <c r="D1185" t="s">
        <v>8</v>
      </c>
      <c r="F1185" t="s">
        <v>18</v>
      </c>
      <c r="G1185">
        <f t="shared" si="55"/>
        <v>-12.01</v>
      </c>
      <c r="H1185" t="str">
        <f>VLOOKUP(Tabel1[[#This Row],[categorie]],Lijst!A:B,2,FALSE)</f>
        <v>Vast</v>
      </c>
      <c r="I1185" t="str">
        <f t="shared" si="56"/>
        <v>OK</v>
      </c>
    </row>
    <row r="1186" spans="1:9" hidden="1" x14ac:dyDescent="0.3">
      <c r="A1186" s="2">
        <v>45818</v>
      </c>
      <c r="B1186" t="str">
        <f t="shared" si="54"/>
        <v xml:space="preserve">juni </v>
      </c>
      <c r="C1186">
        <v>-26.57</v>
      </c>
      <c r="D1186" t="s">
        <v>3</v>
      </c>
      <c r="F1186" t="s">
        <v>18</v>
      </c>
      <c r="G1186">
        <f t="shared" si="55"/>
        <v>-26.57</v>
      </c>
      <c r="H1186" t="str">
        <f>VLOOKUP(Tabel1[[#This Row],[categorie]],Lijst!A:B,2,FALSE)</f>
        <v>Vast</v>
      </c>
      <c r="I1186" t="str">
        <f t="shared" si="56"/>
        <v>OK</v>
      </c>
    </row>
    <row r="1187" spans="1:9" hidden="1" x14ac:dyDescent="0.3">
      <c r="A1187" s="2">
        <v>45818</v>
      </c>
      <c r="B1187" t="str">
        <f t="shared" ref="B1187:B1250" si="57">TEXT(A1187,"mmmm ")</f>
        <v xml:space="preserve">juni </v>
      </c>
      <c r="C1187">
        <v>-2.74</v>
      </c>
      <c r="D1187" t="s">
        <v>3</v>
      </c>
      <c r="F1187" t="s">
        <v>18</v>
      </c>
      <c r="G1187">
        <f t="shared" ref="G1187:G1250" si="58">IF(F1187="Uitgave", -ABS(C1187), ABS(C1187))</f>
        <v>-2.74</v>
      </c>
      <c r="H1187" t="str">
        <f>VLOOKUP(Tabel1[[#This Row],[categorie]],Lijst!A:B,2,FALSE)</f>
        <v>Vast</v>
      </c>
      <c r="I1187" t="str">
        <f t="shared" ref="I1187:I1250" si="59">IF(OR(AND(F1187="Uitgave", C1187&lt;0), AND(F1187="Inkomst", C1187&gt;0)), "OK", "FOUT")</f>
        <v>OK</v>
      </c>
    </row>
    <row r="1188" spans="1:9" hidden="1" x14ac:dyDescent="0.3">
      <c r="A1188" s="2">
        <v>45818</v>
      </c>
      <c r="B1188" t="str">
        <f t="shared" si="57"/>
        <v xml:space="preserve">juni </v>
      </c>
      <c r="C1188">
        <v>-11.15</v>
      </c>
      <c r="D1188" t="s">
        <v>62</v>
      </c>
      <c r="F1188" t="s">
        <v>18</v>
      </c>
      <c r="G1188">
        <f t="shared" si="58"/>
        <v>-11.15</v>
      </c>
      <c r="H1188" t="str">
        <f>VLOOKUP(Tabel1[[#This Row],[categorie]],Lijst!A:B,2,FALSE)</f>
        <v>Variabel</v>
      </c>
      <c r="I1188" t="str">
        <f t="shared" si="59"/>
        <v>OK</v>
      </c>
    </row>
    <row r="1189" spans="1:9" hidden="1" x14ac:dyDescent="0.3">
      <c r="A1189" s="2">
        <v>45818</v>
      </c>
      <c r="B1189" t="str">
        <f t="shared" si="57"/>
        <v xml:space="preserve">juni </v>
      </c>
      <c r="C1189">
        <v>-49.3</v>
      </c>
      <c r="D1189" t="s">
        <v>75</v>
      </c>
      <c r="F1189" t="s">
        <v>18</v>
      </c>
      <c r="G1189">
        <f t="shared" si="58"/>
        <v>-49.3</v>
      </c>
      <c r="H1189" t="str">
        <f>VLOOKUP(Tabel1[[#This Row],[categorie]],Lijst!A:B,2,FALSE)</f>
        <v>Variabel</v>
      </c>
      <c r="I1189" t="str">
        <f t="shared" si="59"/>
        <v>OK</v>
      </c>
    </row>
    <row r="1190" spans="1:9" hidden="1" x14ac:dyDescent="0.3">
      <c r="A1190" s="2">
        <v>45818</v>
      </c>
      <c r="B1190" t="str">
        <f t="shared" si="57"/>
        <v xml:space="preserve">juni </v>
      </c>
      <c r="C1190">
        <v>-0.9</v>
      </c>
      <c r="D1190" t="s">
        <v>26</v>
      </c>
      <c r="F1190" t="s">
        <v>18</v>
      </c>
      <c r="G1190">
        <f t="shared" si="58"/>
        <v>-0.9</v>
      </c>
      <c r="H1190" t="str">
        <f>VLOOKUP(Tabel1[[#This Row],[categorie]],Lijst!A:B,2,FALSE)</f>
        <v>Variabel</v>
      </c>
      <c r="I1190" t="str">
        <f t="shared" si="59"/>
        <v>OK</v>
      </c>
    </row>
    <row r="1191" spans="1:9" hidden="1" x14ac:dyDescent="0.3">
      <c r="A1191" s="2">
        <v>45819</v>
      </c>
      <c r="B1191" t="str">
        <f t="shared" si="57"/>
        <v xml:space="preserve">juni </v>
      </c>
      <c r="C1191">
        <v>-11.46</v>
      </c>
      <c r="D1191" t="s">
        <v>3</v>
      </c>
      <c r="F1191" t="s">
        <v>18</v>
      </c>
      <c r="G1191">
        <f t="shared" si="58"/>
        <v>-11.46</v>
      </c>
      <c r="H1191" t="str">
        <f>VLOOKUP(Tabel1[[#This Row],[categorie]],Lijst!A:B,2,FALSE)</f>
        <v>Vast</v>
      </c>
      <c r="I1191" t="str">
        <f t="shared" si="59"/>
        <v>OK</v>
      </c>
    </row>
    <row r="1192" spans="1:9" hidden="1" x14ac:dyDescent="0.3">
      <c r="A1192" s="2">
        <v>45819</v>
      </c>
      <c r="B1192" t="str">
        <f t="shared" si="57"/>
        <v xml:space="preserve">juni </v>
      </c>
      <c r="C1192">
        <v>-10.83</v>
      </c>
      <c r="D1192" t="s">
        <v>3</v>
      </c>
      <c r="F1192" t="s">
        <v>18</v>
      </c>
      <c r="G1192">
        <f t="shared" si="58"/>
        <v>-10.83</v>
      </c>
      <c r="H1192" t="str">
        <f>VLOOKUP(Tabel1[[#This Row],[categorie]],Lijst!A:B,2,FALSE)</f>
        <v>Vast</v>
      </c>
      <c r="I1192" t="str">
        <f t="shared" si="59"/>
        <v>OK</v>
      </c>
    </row>
    <row r="1193" spans="1:9" hidden="1" x14ac:dyDescent="0.3">
      <c r="A1193" s="2">
        <v>45819</v>
      </c>
      <c r="B1193" t="str">
        <f t="shared" si="57"/>
        <v xml:space="preserve">juni </v>
      </c>
      <c r="C1193">
        <v>-2.88</v>
      </c>
      <c r="D1193" t="s">
        <v>3</v>
      </c>
      <c r="F1193" t="s">
        <v>18</v>
      </c>
      <c r="G1193">
        <f t="shared" si="58"/>
        <v>-2.88</v>
      </c>
      <c r="H1193" t="str">
        <f>VLOOKUP(Tabel1[[#This Row],[categorie]],Lijst!A:B,2,FALSE)</f>
        <v>Vast</v>
      </c>
      <c r="I1193" t="str">
        <f t="shared" si="59"/>
        <v>OK</v>
      </c>
    </row>
    <row r="1194" spans="1:9" hidden="1" x14ac:dyDescent="0.3">
      <c r="A1194" s="2">
        <v>45819</v>
      </c>
      <c r="B1194" t="str">
        <f t="shared" si="57"/>
        <v xml:space="preserve">juni </v>
      </c>
      <c r="C1194">
        <v>-130</v>
      </c>
      <c r="D1194" t="s">
        <v>45</v>
      </c>
      <c r="F1194" t="s">
        <v>18</v>
      </c>
      <c r="G1194">
        <f t="shared" si="58"/>
        <v>-130</v>
      </c>
      <c r="H1194" t="str">
        <f>VLOOKUP(Tabel1[[#This Row],[categorie]],Lijst!A:B,2,FALSE)</f>
        <v>Variabel</v>
      </c>
      <c r="I1194" t="str">
        <f t="shared" si="59"/>
        <v>OK</v>
      </c>
    </row>
    <row r="1195" spans="1:9" hidden="1" x14ac:dyDescent="0.3">
      <c r="A1195" s="2">
        <v>45819</v>
      </c>
      <c r="B1195" t="str">
        <f t="shared" si="57"/>
        <v xml:space="preserve">juni </v>
      </c>
      <c r="C1195">
        <v>-1.8</v>
      </c>
      <c r="D1195" t="s">
        <v>26</v>
      </c>
      <c r="F1195" t="s">
        <v>18</v>
      </c>
      <c r="G1195">
        <f t="shared" si="58"/>
        <v>-1.8</v>
      </c>
      <c r="H1195" t="str">
        <f>VLOOKUP(Tabel1[[#This Row],[categorie]],Lijst!A:B,2,FALSE)</f>
        <v>Variabel</v>
      </c>
      <c r="I1195" t="str">
        <f t="shared" si="59"/>
        <v>OK</v>
      </c>
    </row>
    <row r="1196" spans="1:9" hidden="1" x14ac:dyDescent="0.3">
      <c r="A1196" s="2">
        <v>45819</v>
      </c>
      <c r="B1196" t="str">
        <f t="shared" si="57"/>
        <v xml:space="preserve">juni </v>
      </c>
      <c r="C1196">
        <v>-4.78</v>
      </c>
      <c r="D1196" t="s">
        <v>3</v>
      </c>
      <c r="F1196" t="s">
        <v>18</v>
      </c>
      <c r="G1196">
        <f t="shared" si="58"/>
        <v>-4.78</v>
      </c>
      <c r="H1196" t="str">
        <f>VLOOKUP(Tabel1[[#This Row],[categorie]],Lijst!A:B,2,FALSE)</f>
        <v>Vast</v>
      </c>
      <c r="I1196" t="str">
        <f t="shared" si="59"/>
        <v>OK</v>
      </c>
    </row>
    <row r="1197" spans="1:9" hidden="1" x14ac:dyDescent="0.3">
      <c r="A1197" s="2">
        <v>45820</v>
      </c>
      <c r="B1197" t="str">
        <f t="shared" si="57"/>
        <v xml:space="preserve">juni </v>
      </c>
      <c r="C1197">
        <v>-4.7300000000000004</v>
      </c>
      <c r="D1197" t="s">
        <v>3</v>
      </c>
      <c r="F1197" t="s">
        <v>18</v>
      </c>
      <c r="G1197">
        <f t="shared" si="58"/>
        <v>-4.7300000000000004</v>
      </c>
      <c r="H1197" t="str">
        <f>VLOOKUP(Tabel1[[#This Row],[categorie]],Lijst!A:B,2,FALSE)</f>
        <v>Vast</v>
      </c>
      <c r="I1197" t="str">
        <f t="shared" si="59"/>
        <v>OK</v>
      </c>
    </row>
    <row r="1198" spans="1:9" hidden="1" x14ac:dyDescent="0.3">
      <c r="A1198" s="2">
        <v>45820</v>
      </c>
      <c r="B1198" t="str">
        <f t="shared" si="57"/>
        <v xml:space="preserve">juni </v>
      </c>
      <c r="C1198">
        <v>-10.89</v>
      </c>
      <c r="D1198" t="s">
        <v>3</v>
      </c>
      <c r="F1198" t="s">
        <v>18</v>
      </c>
      <c r="G1198">
        <f t="shared" si="58"/>
        <v>-10.89</v>
      </c>
      <c r="H1198" t="str">
        <f>VLOOKUP(Tabel1[[#This Row],[categorie]],Lijst!A:B,2,FALSE)</f>
        <v>Vast</v>
      </c>
      <c r="I1198" t="str">
        <f t="shared" si="59"/>
        <v>OK</v>
      </c>
    </row>
    <row r="1199" spans="1:9" hidden="1" x14ac:dyDescent="0.3">
      <c r="A1199" s="2">
        <v>45820</v>
      </c>
      <c r="B1199" t="str">
        <f t="shared" si="57"/>
        <v xml:space="preserve">juni </v>
      </c>
      <c r="C1199">
        <v>-10.050000000000001</v>
      </c>
      <c r="D1199" t="s">
        <v>3</v>
      </c>
      <c r="F1199" t="s">
        <v>18</v>
      </c>
      <c r="G1199">
        <f t="shared" si="58"/>
        <v>-10.050000000000001</v>
      </c>
      <c r="H1199" t="str">
        <f>VLOOKUP(Tabel1[[#This Row],[categorie]],Lijst!A:B,2,FALSE)</f>
        <v>Vast</v>
      </c>
      <c r="I1199" t="str">
        <f t="shared" si="59"/>
        <v>OK</v>
      </c>
    </row>
    <row r="1200" spans="1:9" hidden="1" x14ac:dyDescent="0.3">
      <c r="A1200" s="2">
        <v>45820</v>
      </c>
      <c r="B1200" t="str">
        <f t="shared" si="57"/>
        <v xml:space="preserve">juni </v>
      </c>
      <c r="C1200">
        <v>-18</v>
      </c>
      <c r="D1200" t="s">
        <v>32</v>
      </c>
      <c r="F1200" t="s">
        <v>18</v>
      </c>
      <c r="G1200">
        <f t="shared" si="58"/>
        <v>-18</v>
      </c>
      <c r="H1200" t="str">
        <f>VLOOKUP(Tabel1[[#This Row],[categorie]],Lijst!A:B,2,FALSE)</f>
        <v>Variabel</v>
      </c>
      <c r="I1200" t="str">
        <f t="shared" si="59"/>
        <v>OK</v>
      </c>
    </row>
    <row r="1201" spans="1:9" hidden="1" x14ac:dyDescent="0.3">
      <c r="A1201" s="2">
        <v>45820</v>
      </c>
      <c r="B1201" t="str">
        <f t="shared" si="57"/>
        <v xml:space="preserve">juni </v>
      </c>
      <c r="C1201">
        <v>-15.19</v>
      </c>
      <c r="D1201" t="s">
        <v>3</v>
      </c>
      <c r="F1201" t="s">
        <v>18</v>
      </c>
      <c r="G1201">
        <f t="shared" si="58"/>
        <v>-15.19</v>
      </c>
      <c r="H1201" t="str">
        <f>VLOOKUP(Tabel1[[#This Row],[categorie]],Lijst!A:B,2,FALSE)</f>
        <v>Vast</v>
      </c>
      <c r="I1201" t="str">
        <f t="shared" si="59"/>
        <v>OK</v>
      </c>
    </row>
    <row r="1202" spans="1:9" hidden="1" x14ac:dyDescent="0.3">
      <c r="A1202" s="2">
        <v>45820</v>
      </c>
      <c r="B1202" t="str">
        <f t="shared" si="57"/>
        <v xml:space="preserve">juni </v>
      </c>
      <c r="C1202">
        <v>-67.5</v>
      </c>
      <c r="D1202" t="s">
        <v>21</v>
      </c>
      <c r="F1202" t="s">
        <v>18</v>
      </c>
      <c r="G1202">
        <f t="shared" si="58"/>
        <v>-67.5</v>
      </c>
      <c r="H1202" t="str">
        <f>VLOOKUP(Tabel1[[#This Row],[categorie]],Lijst!A:B,2,FALSE)</f>
        <v>Variabel</v>
      </c>
      <c r="I1202" t="str">
        <f t="shared" si="59"/>
        <v>OK</v>
      </c>
    </row>
    <row r="1203" spans="1:9" hidden="1" x14ac:dyDescent="0.3">
      <c r="A1203" s="2">
        <v>45820</v>
      </c>
      <c r="B1203" t="str">
        <f t="shared" si="57"/>
        <v xml:space="preserve">juni </v>
      </c>
      <c r="C1203">
        <v>50</v>
      </c>
      <c r="D1203" t="s">
        <v>75</v>
      </c>
      <c r="F1203" t="s">
        <v>17</v>
      </c>
      <c r="G1203">
        <f t="shared" si="58"/>
        <v>50</v>
      </c>
      <c r="H1203" t="str">
        <f>VLOOKUP(Tabel1[[#This Row],[categorie]],Lijst!A:B,2,FALSE)</f>
        <v>Variabel</v>
      </c>
      <c r="I1203" t="str">
        <f t="shared" si="59"/>
        <v>OK</v>
      </c>
    </row>
    <row r="1204" spans="1:9" hidden="1" x14ac:dyDescent="0.3">
      <c r="A1204" s="2">
        <v>45820</v>
      </c>
      <c r="B1204" t="str">
        <f t="shared" si="57"/>
        <v xml:space="preserve">juni </v>
      </c>
      <c r="C1204">
        <v>-0.9</v>
      </c>
      <c r="D1204" t="s">
        <v>26</v>
      </c>
      <c r="F1204" t="s">
        <v>18</v>
      </c>
      <c r="G1204">
        <f t="shared" si="58"/>
        <v>-0.9</v>
      </c>
      <c r="H1204" t="str">
        <f>VLOOKUP(Tabel1[[#This Row],[categorie]],Lijst!A:B,2,FALSE)</f>
        <v>Variabel</v>
      </c>
      <c r="I1204" t="str">
        <f t="shared" si="59"/>
        <v>OK</v>
      </c>
    </row>
    <row r="1205" spans="1:9" hidden="1" x14ac:dyDescent="0.3">
      <c r="A1205" s="2">
        <v>45820</v>
      </c>
      <c r="B1205" t="str">
        <f t="shared" si="57"/>
        <v xml:space="preserve">juni </v>
      </c>
      <c r="C1205">
        <v>-1.5</v>
      </c>
      <c r="D1205" t="s">
        <v>26</v>
      </c>
      <c r="F1205" t="s">
        <v>18</v>
      </c>
      <c r="G1205">
        <f t="shared" si="58"/>
        <v>-1.5</v>
      </c>
      <c r="H1205" t="str">
        <f>VLOOKUP(Tabel1[[#This Row],[categorie]],Lijst!A:B,2,FALSE)</f>
        <v>Variabel</v>
      </c>
      <c r="I1205" t="str">
        <f t="shared" si="59"/>
        <v>OK</v>
      </c>
    </row>
    <row r="1206" spans="1:9" hidden="1" x14ac:dyDescent="0.3">
      <c r="A1206" s="2">
        <v>45820</v>
      </c>
      <c r="B1206" t="str">
        <f t="shared" si="57"/>
        <v xml:space="preserve">juni </v>
      </c>
      <c r="C1206">
        <v>-38</v>
      </c>
      <c r="D1206" t="s">
        <v>82</v>
      </c>
      <c r="F1206" t="s">
        <v>18</v>
      </c>
      <c r="G1206">
        <f t="shared" si="58"/>
        <v>-38</v>
      </c>
      <c r="H1206" t="str">
        <f>VLOOKUP(Tabel1[[#This Row],[categorie]],Lijst!A:B,2,FALSE)</f>
        <v>Vast</v>
      </c>
      <c r="I1206" t="str">
        <f t="shared" si="59"/>
        <v>OK</v>
      </c>
    </row>
    <row r="1207" spans="1:9" hidden="1" x14ac:dyDescent="0.3">
      <c r="A1207" s="2">
        <v>45820</v>
      </c>
      <c r="B1207" t="str">
        <f t="shared" si="57"/>
        <v xml:space="preserve">juni </v>
      </c>
      <c r="C1207">
        <v>-8</v>
      </c>
      <c r="D1207" t="s">
        <v>13</v>
      </c>
      <c r="F1207" t="s">
        <v>18</v>
      </c>
      <c r="G1207">
        <f t="shared" si="58"/>
        <v>-8</v>
      </c>
      <c r="H1207" t="str">
        <f>VLOOKUP(Tabel1[[#This Row],[categorie]],Lijst!A:B,2,FALSE)</f>
        <v>Vast</v>
      </c>
      <c r="I1207" t="str">
        <f t="shared" si="59"/>
        <v>OK</v>
      </c>
    </row>
    <row r="1208" spans="1:9" hidden="1" x14ac:dyDescent="0.3">
      <c r="A1208" s="2">
        <v>45820</v>
      </c>
      <c r="B1208" t="str">
        <f t="shared" si="57"/>
        <v xml:space="preserve">juni </v>
      </c>
      <c r="C1208">
        <v>-18.61</v>
      </c>
      <c r="D1208" t="s">
        <v>59</v>
      </c>
      <c r="F1208" t="s">
        <v>18</v>
      </c>
      <c r="G1208">
        <f t="shared" si="58"/>
        <v>-18.61</v>
      </c>
      <c r="H1208" t="str">
        <f>VLOOKUP(Tabel1[[#This Row],[categorie]],Lijst!A:B,2,FALSE)</f>
        <v>Variabel</v>
      </c>
      <c r="I1208" t="str">
        <f t="shared" si="59"/>
        <v>OK</v>
      </c>
    </row>
    <row r="1209" spans="1:9" hidden="1" x14ac:dyDescent="0.3">
      <c r="A1209" s="2">
        <v>45821</v>
      </c>
      <c r="B1209" t="str">
        <f t="shared" si="57"/>
        <v xml:space="preserve">juni </v>
      </c>
      <c r="C1209">
        <v>-3.99</v>
      </c>
      <c r="D1209" t="s">
        <v>3</v>
      </c>
      <c r="F1209" t="s">
        <v>18</v>
      </c>
      <c r="G1209">
        <f t="shared" si="58"/>
        <v>-3.99</v>
      </c>
      <c r="H1209" t="str">
        <f>VLOOKUP(Tabel1[[#This Row],[categorie]],Lijst!A:B,2,FALSE)</f>
        <v>Vast</v>
      </c>
      <c r="I1209" t="str">
        <f t="shared" si="59"/>
        <v>OK</v>
      </c>
    </row>
    <row r="1210" spans="1:9" hidden="1" x14ac:dyDescent="0.3">
      <c r="A1210" s="2">
        <v>45821</v>
      </c>
      <c r="B1210" t="str">
        <f t="shared" si="57"/>
        <v xml:space="preserve">juni </v>
      </c>
      <c r="C1210">
        <v>-22.37</v>
      </c>
      <c r="D1210" t="s">
        <v>3</v>
      </c>
      <c r="F1210" t="s">
        <v>18</v>
      </c>
      <c r="G1210">
        <f t="shared" si="58"/>
        <v>-22.37</v>
      </c>
      <c r="H1210" t="str">
        <f>VLOOKUP(Tabel1[[#This Row],[categorie]],Lijst!A:B,2,FALSE)</f>
        <v>Vast</v>
      </c>
      <c r="I1210" t="str">
        <f t="shared" si="59"/>
        <v>OK</v>
      </c>
    </row>
    <row r="1211" spans="1:9" hidden="1" x14ac:dyDescent="0.3">
      <c r="A1211" s="2">
        <v>45821</v>
      </c>
      <c r="B1211" t="str">
        <f t="shared" si="57"/>
        <v xml:space="preserve">juni </v>
      </c>
      <c r="C1211">
        <v>-1.99</v>
      </c>
      <c r="D1211" t="s">
        <v>3</v>
      </c>
      <c r="F1211" t="s">
        <v>18</v>
      </c>
      <c r="G1211">
        <f t="shared" si="58"/>
        <v>-1.99</v>
      </c>
      <c r="H1211" t="str">
        <f>VLOOKUP(Tabel1[[#This Row],[categorie]],Lijst!A:B,2,FALSE)</f>
        <v>Vast</v>
      </c>
      <c r="I1211" t="str">
        <f t="shared" si="59"/>
        <v>OK</v>
      </c>
    </row>
    <row r="1212" spans="1:9" hidden="1" x14ac:dyDescent="0.3">
      <c r="A1212" s="2">
        <v>45821</v>
      </c>
      <c r="B1212" t="str">
        <f t="shared" si="57"/>
        <v xml:space="preserve">juni </v>
      </c>
      <c r="C1212">
        <v>-45.98</v>
      </c>
      <c r="D1212" t="s">
        <v>32</v>
      </c>
      <c r="F1212" t="s">
        <v>18</v>
      </c>
      <c r="G1212">
        <f t="shared" si="58"/>
        <v>-45.98</v>
      </c>
      <c r="H1212" t="str">
        <f>VLOOKUP(Tabel1[[#This Row],[categorie]],Lijst!A:B,2,FALSE)</f>
        <v>Variabel</v>
      </c>
      <c r="I1212" t="str">
        <f t="shared" si="59"/>
        <v>OK</v>
      </c>
    </row>
    <row r="1213" spans="1:9" hidden="1" x14ac:dyDescent="0.3">
      <c r="A1213" s="2">
        <v>45821</v>
      </c>
      <c r="B1213" t="str">
        <f t="shared" si="57"/>
        <v xml:space="preserve">juni </v>
      </c>
      <c r="C1213">
        <v>4.5999999999999996</v>
      </c>
      <c r="D1213" t="s">
        <v>3</v>
      </c>
      <c r="F1213" t="s">
        <v>17</v>
      </c>
      <c r="G1213">
        <f t="shared" si="58"/>
        <v>4.5999999999999996</v>
      </c>
      <c r="H1213" t="str">
        <f>VLOOKUP(Tabel1[[#This Row],[categorie]],Lijst!A:B,2,FALSE)</f>
        <v>Vast</v>
      </c>
      <c r="I1213" t="str">
        <f t="shared" si="59"/>
        <v>OK</v>
      </c>
    </row>
    <row r="1214" spans="1:9" hidden="1" x14ac:dyDescent="0.3">
      <c r="A1214" s="2">
        <v>45821</v>
      </c>
      <c r="B1214" t="str">
        <f t="shared" si="57"/>
        <v xml:space="preserve">juni </v>
      </c>
      <c r="C1214">
        <v>4.5999999999999996</v>
      </c>
      <c r="D1214" t="s">
        <v>3</v>
      </c>
      <c r="F1214" t="s">
        <v>17</v>
      </c>
      <c r="G1214">
        <f t="shared" si="58"/>
        <v>4.5999999999999996</v>
      </c>
      <c r="H1214" t="str">
        <f>VLOOKUP(Tabel1[[#This Row],[categorie]],Lijst!A:B,2,FALSE)</f>
        <v>Vast</v>
      </c>
      <c r="I1214" t="str">
        <f t="shared" si="59"/>
        <v>OK</v>
      </c>
    </row>
    <row r="1215" spans="1:9" hidden="1" x14ac:dyDescent="0.3">
      <c r="A1215" s="2">
        <v>45821</v>
      </c>
      <c r="B1215" t="str">
        <f t="shared" si="57"/>
        <v xml:space="preserve">juni </v>
      </c>
      <c r="C1215">
        <v>-108.31</v>
      </c>
      <c r="D1215" t="s">
        <v>11</v>
      </c>
      <c r="F1215" t="s">
        <v>18</v>
      </c>
      <c r="G1215">
        <f t="shared" si="58"/>
        <v>-108.31</v>
      </c>
      <c r="H1215" t="str">
        <f>VLOOKUP(Tabel1[[#This Row],[categorie]],Lijst!A:B,2,FALSE)</f>
        <v>Vast</v>
      </c>
      <c r="I1215" t="str">
        <f t="shared" si="59"/>
        <v>OK</v>
      </c>
    </row>
    <row r="1216" spans="1:9" hidden="1" x14ac:dyDescent="0.3">
      <c r="A1216" s="2">
        <v>45822</v>
      </c>
      <c r="B1216" t="str">
        <f t="shared" si="57"/>
        <v xml:space="preserve">juni </v>
      </c>
      <c r="C1216">
        <v>-44.63</v>
      </c>
      <c r="D1216" t="s">
        <v>3</v>
      </c>
      <c r="F1216" t="s">
        <v>18</v>
      </c>
      <c r="G1216">
        <f t="shared" si="58"/>
        <v>-44.63</v>
      </c>
      <c r="H1216" t="str">
        <f>VLOOKUP(Tabel1[[#This Row],[categorie]],Lijst!A:B,2,FALSE)</f>
        <v>Vast</v>
      </c>
      <c r="I1216" t="str">
        <f t="shared" si="59"/>
        <v>OK</v>
      </c>
    </row>
    <row r="1217" spans="1:9" hidden="1" x14ac:dyDescent="0.3">
      <c r="A1217" s="2">
        <v>45823</v>
      </c>
      <c r="B1217" t="str">
        <f t="shared" si="57"/>
        <v xml:space="preserve">juni </v>
      </c>
      <c r="C1217">
        <v>-43.53</v>
      </c>
      <c r="D1217" t="s">
        <v>3</v>
      </c>
      <c r="F1217" t="s">
        <v>18</v>
      </c>
      <c r="G1217">
        <f t="shared" si="58"/>
        <v>-43.53</v>
      </c>
      <c r="H1217" t="str">
        <f>VLOOKUP(Tabel1[[#This Row],[categorie]],Lijst!A:B,2,FALSE)</f>
        <v>Vast</v>
      </c>
      <c r="I1217" t="str">
        <f t="shared" si="59"/>
        <v>OK</v>
      </c>
    </row>
    <row r="1218" spans="1:9" hidden="1" x14ac:dyDescent="0.3">
      <c r="A1218" s="2">
        <v>45823</v>
      </c>
      <c r="B1218" t="str">
        <f t="shared" si="57"/>
        <v xml:space="preserve">juni </v>
      </c>
      <c r="C1218">
        <v>-4.5</v>
      </c>
      <c r="D1218" t="s">
        <v>56</v>
      </c>
      <c r="F1218" t="s">
        <v>18</v>
      </c>
      <c r="G1218">
        <f t="shared" si="58"/>
        <v>-4.5</v>
      </c>
      <c r="H1218" t="str">
        <f>VLOOKUP(Tabel1[[#This Row],[categorie]],Lijst!A:B,2,FALSE)</f>
        <v>Variabel</v>
      </c>
      <c r="I1218" t="str">
        <f t="shared" si="59"/>
        <v>OK</v>
      </c>
    </row>
    <row r="1219" spans="1:9" hidden="1" x14ac:dyDescent="0.3">
      <c r="A1219" s="2">
        <v>45823</v>
      </c>
      <c r="B1219" t="str">
        <f t="shared" si="57"/>
        <v xml:space="preserve">juni </v>
      </c>
      <c r="C1219">
        <v>-3.69</v>
      </c>
      <c r="D1219" t="s">
        <v>3</v>
      </c>
      <c r="F1219" t="s">
        <v>18</v>
      </c>
      <c r="G1219">
        <f t="shared" si="58"/>
        <v>-3.69</v>
      </c>
      <c r="H1219" t="str">
        <f>VLOOKUP(Tabel1[[#This Row],[categorie]],Lijst!A:B,2,FALSE)</f>
        <v>Vast</v>
      </c>
      <c r="I1219" t="str">
        <f t="shared" si="59"/>
        <v>OK</v>
      </c>
    </row>
    <row r="1220" spans="1:9" hidden="1" x14ac:dyDescent="0.3">
      <c r="A1220" s="2">
        <v>45823</v>
      </c>
      <c r="B1220" t="str">
        <f t="shared" si="57"/>
        <v xml:space="preserve">juni </v>
      </c>
      <c r="C1220">
        <v>-12.87</v>
      </c>
      <c r="D1220" t="s">
        <v>3</v>
      </c>
      <c r="F1220" t="s">
        <v>18</v>
      </c>
      <c r="G1220">
        <f t="shared" si="58"/>
        <v>-12.87</v>
      </c>
      <c r="H1220" t="str">
        <f>VLOOKUP(Tabel1[[#This Row],[categorie]],Lijst!A:B,2,FALSE)</f>
        <v>Vast</v>
      </c>
      <c r="I1220" t="str">
        <f t="shared" si="59"/>
        <v>OK</v>
      </c>
    </row>
    <row r="1221" spans="1:9" hidden="1" x14ac:dyDescent="0.3">
      <c r="A1221" s="2">
        <v>45824</v>
      </c>
      <c r="B1221" t="str">
        <f t="shared" si="57"/>
        <v xml:space="preserve">juni </v>
      </c>
      <c r="C1221">
        <v>-12.1</v>
      </c>
      <c r="D1221" t="s">
        <v>9</v>
      </c>
      <c r="F1221" t="s">
        <v>18</v>
      </c>
      <c r="G1221">
        <f t="shared" si="58"/>
        <v>-12.1</v>
      </c>
      <c r="H1221" t="str">
        <f>VLOOKUP(Tabel1[[#This Row],[categorie]],Lijst!A:B,2,FALSE)</f>
        <v>Variabel</v>
      </c>
      <c r="I1221" t="str">
        <f t="shared" si="59"/>
        <v>OK</v>
      </c>
    </row>
    <row r="1222" spans="1:9" hidden="1" x14ac:dyDescent="0.3">
      <c r="A1222" s="2">
        <v>45824</v>
      </c>
      <c r="B1222" t="str">
        <f t="shared" si="57"/>
        <v xml:space="preserve">juni </v>
      </c>
      <c r="C1222">
        <v>-13.22</v>
      </c>
      <c r="D1222" t="s">
        <v>3</v>
      </c>
      <c r="F1222" t="s">
        <v>18</v>
      </c>
      <c r="G1222">
        <f t="shared" si="58"/>
        <v>-13.22</v>
      </c>
      <c r="H1222" t="str">
        <f>VLOOKUP(Tabel1[[#This Row],[categorie]],Lijst!A:B,2,FALSE)</f>
        <v>Vast</v>
      </c>
      <c r="I1222" t="str">
        <f t="shared" si="59"/>
        <v>OK</v>
      </c>
    </row>
    <row r="1223" spans="1:9" hidden="1" x14ac:dyDescent="0.3">
      <c r="A1223" s="2">
        <v>45824</v>
      </c>
      <c r="B1223" t="str">
        <f t="shared" si="57"/>
        <v xml:space="preserve">juni </v>
      </c>
      <c r="C1223">
        <v>-10.07</v>
      </c>
      <c r="D1223" t="s">
        <v>3</v>
      </c>
      <c r="F1223" t="s">
        <v>18</v>
      </c>
      <c r="G1223">
        <f t="shared" si="58"/>
        <v>-10.07</v>
      </c>
      <c r="H1223" t="str">
        <f>VLOOKUP(Tabel1[[#This Row],[categorie]],Lijst!A:B,2,FALSE)</f>
        <v>Vast</v>
      </c>
      <c r="I1223" t="str">
        <f t="shared" si="59"/>
        <v>OK</v>
      </c>
    </row>
    <row r="1224" spans="1:9" hidden="1" x14ac:dyDescent="0.3">
      <c r="A1224" s="2">
        <v>45824</v>
      </c>
      <c r="B1224" t="str">
        <f t="shared" si="57"/>
        <v xml:space="preserve">juni </v>
      </c>
      <c r="C1224">
        <v>-24.3</v>
      </c>
      <c r="D1224" t="s">
        <v>3</v>
      </c>
      <c r="F1224" t="s">
        <v>18</v>
      </c>
      <c r="G1224">
        <f t="shared" si="58"/>
        <v>-24.3</v>
      </c>
      <c r="H1224" t="str">
        <f>VLOOKUP(Tabel1[[#This Row],[categorie]],Lijst!A:B,2,FALSE)</f>
        <v>Vast</v>
      </c>
      <c r="I1224" t="str">
        <f t="shared" si="59"/>
        <v>OK</v>
      </c>
    </row>
    <row r="1225" spans="1:9" hidden="1" x14ac:dyDescent="0.3">
      <c r="A1225" s="2">
        <v>45824</v>
      </c>
      <c r="B1225" t="str">
        <f t="shared" si="57"/>
        <v xml:space="preserve">juni </v>
      </c>
      <c r="C1225">
        <v>-5</v>
      </c>
      <c r="D1225" t="s">
        <v>3</v>
      </c>
      <c r="F1225" t="s">
        <v>18</v>
      </c>
      <c r="G1225">
        <f t="shared" si="58"/>
        <v>-5</v>
      </c>
      <c r="H1225" t="str">
        <f>VLOOKUP(Tabel1[[#This Row],[categorie]],Lijst!A:B,2,FALSE)</f>
        <v>Vast</v>
      </c>
      <c r="I1225" t="str">
        <f t="shared" si="59"/>
        <v>OK</v>
      </c>
    </row>
    <row r="1226" spans="1:9" hidden="1" x14ac:dyDescent="0.3">
      <c r="A1226" s="2">
        <v>45824</v>
      </c>
      <c r="B1226" t="str">
        <f t="shared" si="57"/>
        <v xml:space="preserve">juni </v>
      </c>
      <c r="C1226">
        <v>-12.5</v>
      </c>
      <c r="D1226" t="s">
        <v>3</v>
      </c>
      <c r="F1226" t="s">
        <v>18</v>
      </c>
      <c r="G1226">
        <f t="shared" si="58"/>
        <v>-12.5</v>
      </c>
      <c r="H1226" t="str">
        <f>VLOOKUP(Tabel1[[#This Row],[categorie]],Lijst!A:B,2,FALSE)</f>
        <v>Vast</v>
      </c>
      <c r="I1226" t="str">
        <f t="shared" si="59"/>
        <v>OK</v>
      </c>
    </row>
    <row r="1227" spans="1:9" hidden="1" x14ac:dyDescent="0.3">
      <c r="A1227" s="2">
        <v>45824</v>
      </c>
      <c r="B1227" t="str">
        <f t="shared" si="57"/>
        <v xml:space="preserve">juni </v>
      </c>
      <c r="C1227">
        <v>-0.9</v>
      </c>
      <c r="D1227" t="s">
        <v>26</v>
      </c>
      <c r="F1227" t="s">
        <v>18</v>
      </c>
      <c r="G1227">
        <f t="shared" si="58"/>
        <v>-0.9</v>
      </c>
      <c r="H1227" t="str">
        <f>VLOOKUP(Tabel1[[#This Row],[categorie]],Lijst!A:B,2,FALSE)</f>
        <v>Variabel</v>
      </c>
      <c r="I1227" t="str">
        <f t="shared" si="59"/>
        <v>OK</v>
      </c>
    </row>
    <row r="1228" spans="1:9" hidden="1" x14ac:dyDescent="0.3">
      <c r="A1228" s="2">
        <v>45824</v>
      </c>
      <c r="B1228" t="str">
        <f t="shared" si="57"/>
        <v xml:space="preserve">juni </v>
      </c>
      <c r="C1228">
        <v>-35</v>
      </c>
      <c r="D1228" t="s">
        <v>32</v>
      </c>
      <c r="F1228" t="s">
        <v>18</v>
      </c>
      <c r="G1228">
        <f t="shared" si="58"/>
        <v>-35</v>
      </c>
      <c r="H1228" t="str">
        <f>VLOOKUP(Tabel1[[#This Row],[categorie]],Lijst!A:B,2,FALSE)</f>
        <v>Variabel</v>
      </c>
      <c r="I1228" t="str">
        <f t="shared" si="59"/>
        <v>OK</v>
      </c>
    </row>
    <row r="1229" spans="1:9" hidden="1" x14ac:dyDescent="0.3">
      <c r="A1229" s="2">
        <v>45824</v>
      </c>
      <c r="B1229" t="str">
        <f t="shared" si="57"/>
        <v xml:space="preserve">juni </v>
      </c>
      <c r="C1229">
        <v>3.3</v>
      </c>
      <c r="D1229" t="s">
        <v>75</v>
      </c>
      <c r="F1229" t="s">
        <v>17</v>
      </c>
      <c r="G1229">
        <f t="shared" si="58"/>
        <v>3.3</v>
      </c>
      <c r="H1229" t="str">
        <f>VLOOKUP(Tabel1[[#This Row],[categorie]],Lijst!A:B,2,FALSE)</f>
        <v>Variabel</v>
      </c>
      <c r="I1229" t="str">
        <f t="shared" si="59"/>
        <v>OK</v>
      </c>
    </row>
    <row r="1230" spans="1:9" hidden="1" x14ac:dyDescent="0.3">
      <c r="A1230" s="2">
        <v>45824</v>
      </c>
      <c r="B1230" t="str">
        <f t="shared" si="57"/>
        <v xml:space="preserve">juni </v>
      </c>
      <c r="C1230">
        <v>-81.66</v>
      </c>
      <c r="D1230" t="s">
        <v>33</v>
      </c>
      <c r="F1230" t="s">
        <v>18</v>
      </c>
      <c r="G1230">
        <f t="shared" si="58"/>
        <v>-81.66</v>
      </c>
      <c r="H1230" t="str">
        <f>VLOOKUP(Tabel1[[#This Row],[categorie]],Lijst!A:B,2,FALSE)</f>
        <v>Vast</v>
      </c>
      <c r="I1230" t="str">
        <f t="shared" si="59"/>
        <v>OK</v>
      </c>
    </row>
    <row r="1231" spans="1:9" hidden="1" x14ac:dyDescent="0.3">
      <c r="A1231" s="2">
        <v>45824</v>
      </c>
      <c r="B1231" t="str">
        <f t="shared" si="57"/>
        <v xml:space="preserve">juni </v>
      </c>
      <c r="C1231">
        <v>-33.549999999999997</v>
      </c>
      <c r="D1231" t="s">
        <v>8</v>
      </c>
      <c r="F1231" t="s">
        <v>18</v>
      </c>
      <c r="G1231">
        <f t="shared" si="58"/>
        <v>-33.549999999999997</v>
      </c>
      <c r="H1231" t="str">
        <f>VLOOKUP(Tabel1[[#This Row],[categorie]],Lijst!A:B,2,FALSE)</f>
        <v>Vast</v>
      </c>
      <c r="I1231" t="str">
        <f t="shared" si="59"/>
        <v>OK</v>
      </c>
    </row>
    <row r="1232" spans="1:9" hidden="1" x14ac:dyDescent="0.3">
      <c r="A1232" s="2">
        <v>45824</v>
      </c>
      <c r="B1232" t="str">
        <f t="shared" si="57"/>
        <v xml:space="preserve">juni </v>
      </c>
      <c r="C1232">
        <v>-85</v>
      </c>
      <c r="D1232" t="s">
        <v>33</v>
      </c>
      <c r="F1232" t="s">
        <v>18</v>
      </c>
      <c r="G1232">
        <f t="shared" si="58"/>
        <v>-85</v>
      </c>
      <c r="H1232" t="str">
        <f>VLOOKUP(Tabel1[[#This Row],[categorie]],Lijst!A:B,2,FALSE)</f>
        <v>Vast</v>
      </c>
      <c r="I1232" t="str">
        <f t="shared" si="59"/>
        <v>OK</v>
      </c>
    </row>
    <row r="1233" spans="1:9" hidden="1" x14ac:dyDescent="0.3">
      <c r="A1233" s="2">
        <v>45825</v>
      </c>
      <c r="B1233" t="str">
        <f t="shared" si="57"/>
        <v xml:space="preserve">juni </v>
      </c>
      <c r="C1233">
        <v>-4</v>
      </c>
      <c r="D1233" t="s">
        <v>82</v>
      </c>
      <c r="F1233" t="s">
        <v>18</v>
      </c>
      <c r="G1233">
        <f t="shared" si="58"/>
        <v>-4</v>
      </c>
      <c r="H1233" t="str">
        <f>VLOOKUP(Tabel1[[#This Row],[categorie]],Lijst!A:B,2,FALSE)</f>
        <v>Vast</v>
      </c>
      <c r="I1233" t="str">
        <f t="shared" si="59"/>
        <v>OK</v>
      </c>
    </row>
    <row r="1234" spans="1:9" hidden="1" x14ac:dyDescent="0.3">
      <c r="A1234" s="2">
        <v>45825</v>
      </c>
      <c r="B1234" t="str">
        <f t="shared" si="57"/>
        <v xml:space="preserve">juni </v>
      </c>
      <c r="C1234">
        <v>-25.81</v>
      </c>
      <c r="D1234" t="s">
        <v>82</v>
      </c>
      <c r="F1234" t="s">
        <v>18</v>
      </c>
      <c r="G1234">
        <f t="shared" si="58"/>
        <v>-25.81</v>
      </c>
      <c r="H1234" t="str">
        <f>VLOOKUP(Tabel1[[#This Row],[categorie]],Lijst!A:B,2,FALSE)</f>
        <v>Vast</v>
      </c>
      <c r="I1234" t="str">
        <f t="shared" si="59"/>
        <v>OK</v>
      </c>
    </row>
    <row r="1235" spans="1:9" hidden="1" x14ac:dyDescent="0.3">
      <c r="A1235" s="2">
        <v>45825</v>
      </c>
      <c r="B1235" t="str">
        <f t="shared" si="57"/>
        <v xml:space="preserve">juni </v>
      </c>
      <c r="C1235">
        <v>-8.7100000000000009</v>
      </c>
      <c r="D1235" t="s">
        <v>3</v>
      </c>
      <c r="F1235" t="s">
        <v>18</v>
      </c>
      <c r="G1235">
        <f t="shared" si="58"/>
        <v>-8.7100000000000009</v>
      </c>
      <c r="H1235" t="str">
        <f>VLOOKUP(Tabel1[[#This Row],[categorie]],Lijst!A:B,2,FALSE)</f>
        <v>Vast</v>
      </c>
      <c r="I1235" t="str">
        <f t="shared" si="59"/>
        <v>OK</v>
      </c>
    </row>
    <row r="1236" spans="1:9" hidden="1" x14ac:dyDescent="0.3">
      <c r="A1236" s="2">
        <v>45825</v>
      </c>
      <c r="B1236" t="str">
        <f t="shared" si="57"/>
        <v xml:space="preserve">juni </v>
      </c>
      <c r="C1236">
        <v>-0.69</v>
      </c>
      <c r="D1236" t="s">
        <v>3</v>
      </c>
      <c r="F1236" t="s">
        <v>18</v>
      </c>
      <c r="G1236">
        <f t="shared" si="58"/>
        <v>-0.69</v>
      </c>
      <c r="H1236" t="str">
        <f>VLOOKUP(Tabel1[[#This Row],[categorie]],Lijst!A:B,2,FALSE)</f>
        <v>Vast</v>
      </c>
      <c r="I1236" t="str">
        <f t="shared" si="59"/>
        <v>OK</v>
      </c>
    </row>
    <row r="1237" spans="1:9" hidden="1" x14ac:dyDescent="0.3">
      <c r="A1237" s="2">
        <v>45825</v>
      </c>
      <c r="B1237" t="str">
        <f t="shared" si="57"/>
        <v xml:space="preserve">juni </v>
      </c>
      <c r="C1237">
        <v>-24</v>
      </c>
      <c r="D1237" t="s">
        <v>75</v>
      </c>
      <c r="F1237" t="s">
        <v>18</v>
      </c>
      <c r="G1237">
        <f t="shared" si="58"/>
        <v>-24</v>
      </c>
      <c r="H1237" t="str">
        <f>VLOOKUP(Tabel1[[#This Row],[categorie]],Lijst!A:B,2,FALSE)</f>
        <v>Variabel</v>
      </c>
      <c r="I1237" t="str">
        <f t="shared" si="59"/>
        <v>OK</v>
      </c>
    </row>
    <row r="1238" spans="1:9" hidden="1" x14ac:dyDescent="0.3">
      <c r="A1238" s="2">
        <v>45825</v>
      </c>
      <c r="B1238" t="str">
        <f t="shared" si="57"/>
        <v xml:space="preserve">juni </v>
      </c>
      <c r="C1238">
        <v>-44.95</v>
      </c>
      <c r="D1238" t="s">
        <v>52</v>
      </c>
      <c r="F1238" t="s">
        <v>18</v>
      </c>
      <c r="G1238">
        <f t="shared" si="58"/>
        <v>-44.95</v>
      </c>
      <c r="H1238" t="str">
        <f>VLOOKUP(Tabel1[[#This Row],[categorie]],Lijst!A:B,2,FALSE)</f>
        <v>Variabel</v>
      </c>
      <c r="I1238" t="str">
        <f t="shared" si="59"/>
        <v>OK</v>
      </c>
    </row>
    <row r="1239" spans="1:9" hidden="1" x14ac:dyDescent="0.3">
      <c r="A1239" s="2">
        <v>45826</v>
      </c>
      <c r="B1239" t="str">
        <f t="shared" si="57"/>
        <v xml:space="preserve">juni </v>
      </c>
      <c r="C1239">
        <v>-10.95</v>
      </c>
      <c r="D1239" t="s">
        <v>82</v>
      </c>
      <c r="F1239" t="s">
        <v>18</v>
      </c>
      <c r="G1239">
        <f t="shared" si="58"/>
        <v>-10.95</v>
      </c>
      <c r="H1239" t="str">
        <f>VLOOKUP(Tabel1[[#This Row],[categorie]],Lijst!A:B,2,FALSE)</f>
        <v>Vast</v>
      </c>
      <c r="I1239" t="str">
        <f t="shared" si="59"/>
        <v>OK</v>
      </c>
    </row>
    <row r="1240" spans="1:9" hidden="1" x14ac:dyDescent="0.3">
      <c r="A1240" s="2">
        <v>45826</v>
      </c>
      <c r="B1240" t="str">
        <f t="shared" si="57"/>
        <v xml:space="preserve">juni </v>
      </c>
      <c r="C1240">
        <v>-21.19</v>
      </c>
      <c r="D1240" t="s">
        <v>9</v>
      </c>
      <c r="F1240" t="s">
        <v>18</v>
      </c>
      <c r="G1240">
        <f t="shared" si="58"/>
        <v>-21.19</v>
      </c>
      <c r="H1240" t="str">
        <f>VLOOKUP(Tabel1[[#This Row],[categorie]],Lijst!A:B,2,FALSE)</f>
        <v>Variabel</v>
      </c>
      <c r="I1240" t="str">
        <f t="shared" si="59"/>
        <v>OK</v>
      </c>
    </row>
    <row r="1241" spans="1:9" hidden="1" x14ac:dyDescent="0.3">
      <c r="A1241" s="2">
        <v>45826</v>
      </c>
      <c r="B1241" t="str">
        <f t="shared" si="57"/>
        <v xml:space="preserve">juni </v>
      </c>
      <c r="C1241">
        <v>-1.55</v>
      </c>
      <c r="D1241" t="s">
        <v>3</v>
      </c>
      <c r="F1241" t="s">
        <v>18</v>
      </c>
      <c r="G1241">
        <f t="shared" si="58"/>
        <v>-1.55</v>
      </c>
      <c r="H1241" t="str">
        <f>VLOOKUP(Tabel1[[#This Row],[categorie]],Lijst!A:B,2,FALSE)</f>
        <v>Vast</v>
      </c>
      <c r="I1241" t="str">
        <f t="shared" si="59"/>
        <v>OK</v>
      </c>
    </row>
    <row r="1242" spans="1:9" hidden="1" x14ac:dyDescent="0.3">
      <c r="A1242" s="2">
        <v>45826</v>
      </c>
      <c r="B1242" t="str">
        <f t="shared" si="57"/>
        <v xml:space="preserve">juni </v>
      </c>
      <c r="C1242">
        <v>-6.52</v>
      </c>
      <c r="D1242" t="s">
        <v>30</v>
      </c>
      <c r="F1242" t="s">
        <v>18</v>
      </c>
      <c r="G1242">
        <f t="shared" si="58"/>
        <v>-6.52</v>
      </c>
      <c r="H1242" t="str">
        <f>VLOOKUP(Tabel1[[#This Row],[categorie]],Lijst!A:B,2,FALSE)</f>
        <v>Vast</v>
      </c>
      <c r="I1242" t="str">
        <f t="shared" si="59"/>
        <v>OK</v>
      </c>
    </row>
    <row r="1243" spans="1:9" hidden="1" x14ac:dyDescent="0.3">
      <c r="A1243" s="2">
        <v>45826</v>
      </c>
      <c r="B1243" t="str">
        <f t="shared" si="57"/>
        <v xml:space="preserve">juni </v>
      </c>
      <c r="C1243">
        <v>-7.23</v>
      </c>
      <c r="D1243" t="s">
        <v>3</v>
      </c>
      <c r="F1243" t="s">
        <v>18</v>
      </c>
      <c r="G1243">
        <f t="shared" si="58"/>
        <v>-7.23</v>
      </c>
      <c r="H1243" t="str">
        <f>VLOOKUP(Tabel1[[#This Row],[categorie]],Lijst!A:B,2,FALSE)</f>
        <v>Vast</v>
      </c>
      <c r="I1243" t="str">
        <f t="shared" si="59"/>
        <v>OK</v>
      </c>
    </row>
    <row r="1244" spans="1:9" hidden="1" x14ac:dyDescent="0.3">
      <c r="A1244" s="2">
        <v>45826</v>
      </c>
      <c r="B1244" t="str">
        <f t="shared" si="57"/>
        <v xml:space="preserve">juni </v>
      </c>
      <c r="C1244">
        <v>-7.58</v>
      </c>
      <c r="D1244" t="s">
        <v>31</v>
      </c>
      <c r="F1244" t="s">
        <v>18</v>
      </c>
      <c r="G1244">
        <f t="shared" si="58"/>
        <v>-7.58</v>
      </c>
      <c r="H1244" t="str">
        <f>VLOOKUP(Tabel1[[#This Row],[categorie]],Lijst!A:B,2,FALSE)</f>
        <v>Vast</v>
      </c>
      <c r="I1244" t="str">
        <f t="shared" si="59"/>
        <v>OK</v>
      </c>
    </row>
    <row r="1245" spans="1:9" hidden="1" x14ac:dyDescent="0.3">
      <c r="A1245" s="2">
        <v>45827</v>
      </c>
      <c r="B1245" t="str">
        <f t="shared" si="57"/>
        <v xml:space="preserve">juni </v>
      </c>
      <c r="C1245">
        <v>-8.6</v>
      </c>
      <c r="D1245" t="s">
        <v>9</v>
      </c>
      <c r="F1245" t="s">
        <v>18</v>
      </c>
      <c r="G1245">
        <f t="shared" si="58"/>
        <v>-8.6</v>
      </c>
      <c r="H1245" t="str">
        <f>VLOOKUP(Tabel1[[#This Row],[categorie]],Lijst!A:B,2,FALSE)</f>
        <v>Variabel</v>
      </c>
      <c r="I1245" t="str">
        <f t="shared" si="59"/>
        <v>OK</v>
      </c>
    </row>
    <row r="1246" spans="1:9" hidden="1" x14ac:dyDescent="0.3">
      <c r="A1246" s="2">
        <v>45827</v>
      </c>
      <c r="B1246" t="str">
        <f t="shared" si="57"/>
        <v xml:space="preserve">juni </v>
      </c>
      <c r="C1246">
        <v>-9.73</v>
      </c>
      <c r="D1246" t="s">
        <v>3</v>
      </c>
      <c r="F1246" t="s">
        <v>18</v>
      </c>
      <c r="G1246">
        <f t="shared" si="58"/>
        <v>-9.73</v>
      </c>
      <c r="H1246" t="str">
        <f>VLOOKUP(Tabel1[[#This Row],[categorie]],Lijst!A:B,2,FALSE)</f>
        <v>Vast</v>
      </c>
      <c r="I1246" t="str">
        <f t="shared" si="59"/>
        <v>OK</v>
      </c>
    </row>
    <row r="1247" spans="1:9" hidden="1" x14ac:dyDescent="0.3">
      <c r="A1247" s="2">
        <v>45827</v>
      </c>
      <c r="B1247" t="str">
        <f t="shared" si="57"/>
        <v xml:space="preserve">juni </v>
      </c>
      <c r="C1247">
        <v>-3.95</v>
      </c>
      <c r="D1247" t="s">
        <v>56</v>
      </c>
      <c r="F1247" t="s">
        <v>18</v>
      </c>
      <c r="G1247">
        <f t="shared" si="58"/>
        <v>-3.95</v>
      </c>
      <c r="H1247" t="str">
        <f>VLOOKUP(Tabel1[[#This Row],[categorie]],Lijst!A:B,2,FALSE)</f>
        <v>Variabel</v>
      </c>
      <c r="I1247" t="str">
        <f t="shared" si="59"/>
        <v>OK</v>
      </c>
    </row>
    <row r="1248" spans="1:9" hidden="1" x14ac:dyDescent="0.3">
      <c r="A1248" s="2">
        <v>45827</v>
      </c>
      <c r="B1248" t="str">
        <f t="shared" si="57"/>
        <v xml:space="preserve">juni </v>
      </c>
      <c r="C1248">
        <v>-3.1</v>
      </c>
      <c r="D1248" t="s">
        <v>63</v>
      </c>
      <c r="F1248" t="s">
        <v>18</v>
      </c>
      <c r="G1248">
        <f t="shared" si="58"/>
        <v>-3.1</v>
      </c>
      <c r="H1248" t="str">
        <f>VLOOKUP(Tabel1[[#This Row],[categorie]],Lijst!A:B,2,FALSE)</f>
        <v>Variabel</v>
      </c>
      <c r="I1248" t="str">
        <f t="shared" si="59"/>
        <v>OK</v>
      </c>
    </row>
    <row r="1249" spans="1:9" hidden="1" x14ac:dyDescent="0.3">
      <c r="A1249" s="2">
        <v>45827</v>
      </c>
      <c r="B1249" t="str">
        <f t="shared" si="57"/>
        <v xml:space="preserve">juni </v>
      </c>
      <c r="C1249">
        <v>-10.73</v>
      </c>
      <c r="D1249" t="s">
        <v>3</v>
      </c>
      <c r="F1249" t="s">
        <v>18</v>
      </c>
      <c r="G1249">
        <f t="shared" si="58"/>
        <v>-10.73</v>
      </c>
      <c r="H1249" t="str">
        <f>VLOOKUP(Tabel1[[#This Row],[categorie]],Lijst!A:B,2,FALSE)</f>
        <v>Vast</v>
      </c>
      <c r="I1249" t="str">
        <f t="shared" si="59"/>
        <v>OK</v>
      </c>
    </row>
    <row r="1250" spans="1:9" hidden="1" x14ac:dyDescent="0.3">
      <c r="A1250" s="2">
        <v>45827</v>
      </c>
      <c r="B1250" t="str">
        <f t="shared" si="57"/>
        <v xml:space="preserve">juni </v>
      </c>
      <c r="C1250">
        <v>-32.99</v>
      </c>
      <c r="D1250" t="s">
        <v>45</v>
      </c>
      <c r="F1250" t="s">
        <v>18</v>
      </c>
      <c r="G1250">
        <f t="shared" si="58"/>
        <v>-32.99</v>
      </c>
      <c r="H1250" t="str">
        <f>VLOOKUP(Tabel1[[#This Row],[categorie]],Lijst!A:B,2,FALSE)</f>
        <v>Variabel</v>
      </c>
      <c r="I1250" t="str">
        <f t="shared" si="59"/>
        <v>OK</v>
      </c>
    </row>
    <row r="1251" spans="1:9" hidden="1" x14ac:dyDescent="0.3">
      <c r="A1251" s="2">
        <v>45827</v>
      </c>
      <c r="B1251" t="str">
        <f t="shared" ref="B1251:B1314" si="60">TEXT(A1251,"mmmm ")</f>
        <v xml:space="preserve">juni </v>
      </c>
      <c r="C1251">
        <v>-9</v>
      </c>
      <c r="D1251" t="s">
        <v>22</v>
      </c>
      <c r="F1251" t="s">
        <v>18</v>
      </c>
      <c r="G1251">
        <f t="shared" ref="G1251:G1314" si="61">IF(F1251="Uitgave", -ABS(C1251), ABS(C1251))</f>
        <v>-9</v>
      </c>
      <c r="H1251" t="str">
        <f>VLOOKUP(Tabel1[[#This Row],[categorie]],Lijst!A:B,2,FALSE)</f>
        <v>Variabel</v>
      </c>
      <c r="I1251" t="str">
        <f t="shared" ref="I1251:I1314" si="62">IF(OR(AND(F1251="Uitgave", C1251&lt;0), AND(F1251="Inkomst", C1251&gt;0)), "OK", "FOUT")</f>
        <v>OK</v>
      </c>
    </row>
    <row r="1252" spans="1:9" hidden="1" x14ac:dyDescent="0.3">
      <c r="A1252" s="2">
        <v>45828</v>
      </c>
      <c r="B1252" t="str">
        <f t="shared" si="60"/>
        <v xml:space="preserve">juni </v>
      </c>
      <c r="C1252">
        <v>-24.96</v>
      </c>
      <c r="D1252" t="s">
        <v>3</v>
      </c>
      <c r="F1252" t="s">
        <v>18</v>
      </c>
      <c r="G1252">
        <f t="shared" si="61"/>
        <v>-24.96</v>
      </c>
      <c r="H1252" t="str">
        <f>VLOOKUP(Tabel1[[#This Row],[categorie]],Lijst!A:B,2,FALSE)</f>
        <v>Vast</v>
      </c>
      <c r="I1252" t="str">
        <f t="shared" si="62"/>
        <v>OK</v>
      </c>
    </row>
    <row r="1253" spans="1:9" hidden="1" x14ac:dyDescent="0.3">
      <c r="A1253" s="2">
        <v>45828</v>
      </c>
      <c r="B1253" t="str">
        <f t="shared" si="60"/>
        <v xml:space="preserve">juni </v>
      </c>
      <c r="C1253">
        <v>-8.98</v>
      </c>
      <c r="D1253" t="s">
        <v>3</v>
      </c>
      <c r="F1253" t="s">
        <v>18</v>
      </c>
      <c r="G1253">
        <f t="shared" si="61"/>
        <v>-8.98</v>
      </c>
      <c r="H1253" t="str">
        <f>VLOOKUP(Tabel1[[#This Row],[categorie]],Lijst!A:B,2,FALSE)</f>
        <v>Vast</v>
      </c>
      <c r="I1253" t="str">
        <f t="shared" si="62"/>
        <v>OK</v>
      </c>
    </row>
    <row r="1254" spans="1:9" hidden="1" x14ac:dyDescent="0.3">
      <c r="A1254" s="2">
        <v>45828</v>
      </c>
      <c r="B1254" t="str">
        <f t="shared" si="60"/>
        <v xml:space="preserve">juni </v>
      </c>
      <c r="C1254">
        <v>-32.950000000000003</v>
      </c>
      <c r="D1254" t="s">
        <v>3</v>
      </c>
      <c r="F1254" t="s">
        <v>18</v>
      </c>
      <c r="G1254">
        <f t="shared" si="61"/>
        <v>-32.950000000000003</v>
      </c>
      <c r="H1254" t="str">
        <f>VLOOKUP(Tabel1[[#This Row],[categorie]],Lijst!A:B,2,FALSE)</f>
        <v>Vast</v>
      </c>
      <c r="I1254" t="str">
        <f t="shared" si="62"/>
        <v>OK</v>
      </c>
    </row>
    <row r="1255" spans="1:9" hidden="1" x14ac:dyDescent="0.3">
      <c r="A1255" s="2">
        <v>45828</v>
      </c>
      <c r="B1255" t="str">
        <f t="shared" si="60"/>
        <v xml:space="preserve">juni </v>
      </c>
      <c r="C1255">
        <v>-13.79</v>
      </c>
      <c r="D1255" t="s">
        <v>3</v>
      </c>
      <c r="F1255" t="s">
        <v>18</v>
      </c>
      <c r="G1255">
        <f t="shared" si="61"/>
        <v>-13.79</v>
      </c>
      <c r="H1255" t="str">
        <f>VLOOKUP(Tabel1[[#This Row],[categorie]],Lijst!A:B,2,FALSE)</f>
        <v>Vast</v>
      </c>
      <c r="I1255" t="str">
        <f t="shared" si="62"/>
        <v>OK</v>
      </c>
    </row>
    <row r="1256" spans="1:9" hidden="1" x14ac:dyDescent="0.3">
      <c r="A1256" s="2">
        <v>45828</v>
      </c>
      <c r="B1256" t="str">
        <f t="shared" si="60"/>
        <v xml:space="preserve">juni </v>
      </c>
      <c r="C1256">
        <v>-53.29</v>
      </c>
      <c r="D1256" t="s">
        <v>28</v>
      </c>
      <c r="F1256" t="s">
        <v>18</v>
      </c>
      <c r="G1256">
        <f t="shared" si="61"/>
        <v>-53.29</v>
      </c>
      <c r="H1256" t="str">
        <f>VLOOKUP(Tabel1[[#This Row],[categorie]],Lijst!A:B,2,FALSE)</f>
        <v>Vast</v>
      </c>
      <c r="I1256" t="str">
        <f t="shared" si="62"/>
        <v>OK</v>
      </c>
    </row>
    <row r="1257" spans="1:9" hidden="1" x14ac:dyDescent="0.3">
      <c r="A1257" s="2">
        <v>45828</v>
      </c>
      <c r="B1257" t="str">
        <f t="shared" si="60"/>
        <v xml:space="preserve">juni </v>
      </c>
      <c r="C1257">
        <v>-46.7</v>
      </c>
      <c r="D1257" t="s">
        <v>30</v>
      </c>
      <c r="F1257" t="s">
        <v>18</v>
      </c>
      <c r="G1257">
        <f t="shared" si="61"/>
        <v>-46.7</v>
      </c>
      <c r="H1257" t="str">
        <f>VLOOKUP(Tabel1[[#This Row],[categorie]],Lijst!A:B,2,FALSE)</f>
        <v>Vast</v>
      </c>
      <c r="I1257" t="str">
        <f t="shared" si="62"/>
        <v>OK</v>
      </c>
    </row>
    <row r="1258" spans="1:9" hidden="1" x14ac:dyDescent="0.3">
      <c r="A1258" s="2">
        <v>45828</v>
      </c>
      <c r="B1258" t="str">
        <f t="shared" si="60"/>
        <v xml:space="preserve">juni </v>
      </c>
      <c r="C1258">
        <v>-232.8</v>
      </c>
      <c r="D1258" t="s">
        <v>82</v>
      </c>
      <c r="F1258" t="s">
        <v>18</v>
      </c>
      <c r="G1258">
        <f t="shared" si="61"/>
        <v>-232.8</v>
      </c>
      <c r="H1258" t="str">
        <f>VLOOKUP(Tabel1[[#This Row],[categorie]],Lijst!A:B,2,FALSE)</f>
        <v>Vast</v>
      </c>
      <c r="I1258" t="str">
        <f t="shared" si="62"/>
        <v>OK</v>
      </c>
    </row>
    <row r="1259" spans="1:9" hidden="1" x14ac:dyDescent="0.3">
      <c r="A1259" s="2">
        <v>45829</v>
      </c>
      <c r="B1259" t="str">
        <f t="shared" si="60"/>
        <v xml:space="preserve">juni </v>
      </c>
      <c r="C1259">
        <v>-5.38</v>
      </c>
      <c r="D1259" t="s">
        <v>3</v>
      </c>
      <c r="F1259" t="s">
        <v>18</v>
      </c>
      <c r="G1259">
        <f t="shared" si="61"/>
        <v>-5.38</v>
      </c>
      <c r="H1259" t="str">
        <f>VLOOKUP(Tabel1[[#This Row],[categorie]],Lijst!A:B,2,FALSE)</f>
        <v>Vast</v>
      </c>
      <c r="I1259" t="str">
        <f t="shared" si="62"/>
        <v>OK</v>
      </c>
    </row>
    <row r="1260" spans="1:9" hidden="1" x14ac:dyDescent="0.3">
      <c r="A1260" s="2">
        <v>45829</v>
      </c>
      <c r="B1260" t="str">
        <f t="shared" si="60"/>
        <v xml:space="preserve">juni </v>
      </c>
      <c r="C1260">
        <v>-27.78</v>
      </c>
      <c r="D1260" t="s">
        <v>3</v>
      </c>
      <c r="F1260" t="s">
        <v>18</v>
      </c>
      <c r="G1260">
        <f t="shared" si="61"/>
        <v>-27.78</v>
      </c>
      <c r="H1260" t="str">
        <f>VLOOKUP(Tabel1[[#This Row],[categorie]],Lijst!A:B,2,FALSE)</f>
        <v>Vast</v>
      </c>
      <c r="I1260" t="str">
        <f t="shared" si="62"/>
        <v>OK</v>
      </c>
    </row>
    <row r="1261" spans="1:9" hidden="1" x14ac:dyDescent="0.3">
      <c r="A1261" s="2">
        <v>45829</v>
      </c>
      <c r="B1261" t="str">
        <f t="shared" si="60"/>
        <v xml:space="preserve">juni </v>
      </c>
      <c r="C1261">
        <v>-16.79</v>
      </c>
      <c r="D1261" t="s">
        <v>3</v>
      </c>
      <c r="F1261" t="s">
        <v>18</v>
      </c>
      <c r="G1261">
        <f t="shared" si="61"/>
        <v>-16.79</v>
      </c>
      <c r="H1261" t="str">
        <f>VLOOKUP(Tabel1[[#This Row],[categorie]],Lijst!A:B,2,FALSE)</f>
        <v>Vast</v>
      </c>
      <c r="I1261" t="str">
        <f t="shared" si="62"/>
        <v>OK</v>
      </c>
    </row>
    <row r="1262" spans="1:9" hidden="1" x14ac:dyDescent="0.3">
      <c r="A1262" s="2">
        <v>45829</v>
      </c>
      <c r="B1262" t="str">
        <f t="shared" si="60"/>
        <v xml:space="preserve">juni </v>
      </c>
      <c r="C1262">
        <v>-57.5</v>
      </c>
      <c r="D1262" t="s">
        <v>3</v>
      </c>
      <c r="F1262" t="s">
        <v>18</v>
      </c>
      <c r="G1262">
        <f t="shared" si="61"/>
        <v>-57.5</v>
      </c>
      <c r="H1262" t="str">
        <f>VLOOKUP(Tabel1[[#This Row],[categorie]],Lijst!A:B,2,FALSE)</f>
        <v>Vast</v>
      </c>
      <c r="I1262" t="str">
        <f t="shared" si="62"/>
        <v>OK</v>
      </c>
    </row>
    <row r="1263" spans="1:9" hidden="1" x14ac:dyDescent="0.3">
      <c r="A1263" s="2">
        <v>45829</v>
      </c>
      <c r="B1263" t="str">
        <f t="shared" si="60"/>
        <v xml:space="preserve">juni </v>
      </c>
      <c r="C1263">
        <v>-17.22</v>
      </c>
      <c r="D1263" t="s">
        <v>3</v>
      </c>
      <c r="F1263" t="s">
        <v>18</v>
      </c>
      <c r="G1263">
        <f t="shared" si="61"/>
        <v>-17.22</v>
      </c>
      <c r="H1263" t="str">
        <f>VLOOKUP(Tabel1[[#This Row],[categorie]],Lijst!A:B,2,FALSE)</f>
        <v>Vast</v>
      </c>
      <c r="I1263" t="str">
        <f t="shared" si="62"/>
        <v>OK</v>
      </c>
    </row>
    <row r="1264" spans="1:9" hidden="1" x14ac:dyDescent="0.3">
      <c r="A1264" s="2">
        <v>45829</v>
      </c>
      <c r="B1264" t="str">
        <f t="shared" si="60"/>
        <v xml:space="preserve">juni </v>
      </c>
      <c r="C1264">
        <v>-42.15</v>
      </c>
      <c r="D1264" t="s">
        <v>56</v>
      </c>
      <c r="F1264" t="s">
        <v>18</v>
      </c>
      <c r="G1264">
        <f t="shared" si="61"/>
        <v>-42.15</v>
      </c>
      <c r="H1264" t="str">
        <f>VLOOKUP(Tabel1[[#This Row],[categorie]],Lijst!A:B,2,FALSE)</f>
        <v>Variabel</v>
      </c>
      <c r="I1264" t="str">
        <f t="shared" si="62"/>
        <v>OK</v>
      </c>
    </row>
    <row r="1265" spans="1:9" hidden="1" x14ac:dyDescent="0.3">
      <c r="A1265" s="2">
        <v>45829</v>
      </c>
      <c r="B1265" t="str">
        <f t="shared" si="60"/>
        <v xml:space="preserve">juni </v>
      </c>
      <c r="C1265">
        <v>-16.579999999999998</v>
      </c>
      <c r="D1265" t="s">
        <v>53</v>
      </c>
      <c r="F1265" t="s">
        <v>18</v>
      </c>
      <c r="G1265">
        <f t="shared" si="61"/>
        <v>-16.579999999999998</v>
      </c>
      <c r="H1265" t="str">
        <f>VLOOKUP(Tabel1[[#This Row],[categorie]],Lijst!A:B,2,FALSE)</f>
        <v>Variabel</v>
      </c>
      <c r="I1265" t="str">
        <f t="shared" si="62"/>
        <v>OK</v>
      </c>
    </row>
    <row r="1266" spans="1:9" hidden="1" x14ac:dyDescent="0.3">
      <c r="A1266" s="2">
        <v>45829</v>
      </c>
      <c r="B1266" t="str">
        <f t="shared" si="60"/>
        <v xml:space="preserve">juni </v>
      </c>
      <c r="C1266">
        <v>-2.19</v>
      </c>
      <c r="D1266" t="s">
        <v>3</v>
      </c>
      <c r="F1266" t="s">
        <v>18</v>
      </c>
      <c r="G1266">
        <f t="shared" si="61"/>
        <v>-2.19</v>
      </c>
      <c r="H1266" t="str">
        <f>VLOOKUP(Tabel1[[#This Row],[categorie]],Lijst!A:B,2,FALSE)</f>
        <v>Vast</v>
      </c>
      <c r="I1266" t="str">
        <f t="shared" si="62"/>
        <v>OK</v>
      </c>
    </row>
    <row r="1267" spans="1:9" hidden="1" x14ac:dyDescent="0.3">
      <c r="A1267" s="2">
        <v>45829</v>
      </c>
      <c r="B1267" t="str">
        <f t="shared" si="60"/>
        <v xml:space="preserve">juni </v>
      </c>
      <c r="C1267">
        <v>-32.81</v>
      </c>
      <c r="D1267" t="s">
        <v>62</v>
      </c>
      <c r="F1267" t="s">
        <v>18</v>
      </c>
      <c r="G1267">
        <f t="shared" si="61"/>
        <v>-32.81</v>
      </c>
      <c r="H1267" t="str">
        <f>VLOOKUP(Tabel1[[#This Row],[categorie]],Lijst!A:B,2,FALSE)</f>
        <v>Variabel</v>
      </c>
      <c r="I1267" t="str">
        <f t="shared" si="62"/>
        <v>OK</v>
      </c>
    </row>
    <row r="1268" spans="1:9" hidden="1" x14ac:dyDescent="0.3">
      <c r="A1268" s="2">
        <v>45829</v>
      </c>
      <c r="B1268" t="str">
        <f t="shared" si="60"/>
        <v xml:space="preserve">juni </v>
      </c>
      <c r="C1268">
        <v>-48.99</v>
      </c>
      <c r="D1268" t="s">
        <v>45</v>
      </c>
      <c r="F1268" t="s">
        <v>18</v>
      </c>
      <c r="G1268">
        <f t="shared" si="61"/>
        <v>-48.99</v>
      </c>
      <c r="H1268" t="str">
        <f>VLOOKUP(Tabel1[[#This Row],[categorie]],Lijst!A:B,2,FALSE)</f>
        <v>Variabel</v>
      </c>
      <c r="I1268" t="str">
        <f t="shared" si="62"/>
        <v>OK</v>
      </c>
    </row>
    <row r="1269" spans="1:9" hidden="1" x14ac:dyDescent="0.3">
      <c r="A1269" s="2">
        <v>45830</v>
      </c>
      <c r="B1269" t="str">
        <f t="shared" si="60"/>
        <v xml:space="preserve">juni </v>
      </c>
      <c r="C1269">
        <v>-9.6300000000000008</v>
      </c>
      <c r="D1269" t="s">
        <v>3</v>
      </c>
      <c r="F1269" t="s">
        <v>18</v>
      </c>
      <c r="G1269">
        <f t="shared" si="61"/>
        <v>-9.6300000000000008</v>
      </c>
      <c r="H1269" t="str">
        <f>VLOOKUP(Tabel1[[#This Row],[categorie]],Lijst!A:B,2,FALSE)</f>
        <v>Vast</v>
      </c>
      <c r="I1269" t="str">
        <f t="shared" si="62"/>
        <v>OK</v>
      </c>
    </row>
    <row r="1270" spans="1:9" hidden="1" x14ac:dyDescent="0.3">
      <c r="A1270" s="2">
        <v>45830</v>
      </c>
      <c r="B1270" t="str">
        <f t="shared" si="60"/>
        <v xml:space="preserve">juni </v>
      </c>
      <c r="C1270">
        <v>-12.53</v>
      </c>
      <c r="D1270" t="s">
        <v>3</v>
      </c>
      <c r="F1270" t="s">
        <v>18</v>
      </c>
      <c r="G1270">
        <f t="shared" si="61"/>
        <v>-12.53</v>
      </c>
      <c r="H1270" t="str">
        <f>VLOOKUP(Tabel1[[#This Row],[categorie]],Lijst!A:B,2,FALSE)</f>
        <v>Vast</v>
      </c>
      <c r="I1270" t="str">
        <f t="shared" si="62"/>
        <v>OK</v>
      </c>
    </row>
    <row r="1271" spans="1:9" hidden="1" x14ac:dyDescent="0.3">
      <c r="A1271" s="2">
        <v>45830</v>
      </c>
      <c r="B1271" t="str">
        <f t="shared" si="60"/>
        <v xml:space="preserve">juni </v>
      </c>
      <c r="C1271">
        <v>-310.06</v>
      </c>
      <c r="D1271" t="s">
        <v>29</v>
      </c>
      <c r="F1271" t="s">
        <v>18</v>
      </c>
      <c r="G1271">
        <f t="shared" si="61"/>
        <v>-310.06</v>
      </c>
      <c r="H1271" t="str">
        <f>VLOOKUP(Tabel1[[#This Row],[categorie]],Lijst!A:B,2,FALSE)</f>
        <v>Vast</v>
      </c>
      <c r="I1271" t="str">
        <f t="shared" si="62"/>
        <v>OK</v>
      </c>
    </row>
    <row r="1272" spans="1:9" hidden="1" x14ac:dyDescent="0.3">
      <c r="A1272" s="2">
        <v>45830</v>
      </c>
      <c r="B1272" t="str">
        <f t="shared" si="60"/>
        <v xml:space="preserve">juni </v>
      </c>
      <c r="C1272">
        <v>-3.9</v>
      </c>
      <c r="D1272" t="s">
        <v>3</v>
      </c>
      <c r="F1272" t="s">
        <v>18</v>
      </c>
      <c r="G1272">
        <f t="shared" si="61"/>
        <v>-3.9</v>
      </c>
      <c r="H1272" t="str">
        <f>VLOOKUP(Tabel1[[#This Row],[categorie]],Lijst!A:B,2,FALSE)</f>
        <v>Vast</v>
      </c>
      <c r="I1272" t="str">
        <f t="shared" si="62"/>
        <v>OK</v>
      </c>
    </row>
    <row r="1273" spans="1:9" hidden="1" x14ac:dyDescent="0.3">
      <c r="A1273" s="2">
        <v>45831</v>
      </c>
      <c r="B1273" t="str">
        <f t="shared" si="60"/>
        <v xml:space="preserve">juni </v>
      </c>
      <c r="C1273">
        <v>209.75</v>
      </c>
      <c r="D1273" t="s">
        <v>82</v>
      </c>
      <c r="F1273" t="s">
        <v>17</v>
      </c>
      <c r="G1273">
        <f t="shared" si="61"/>
        <v>209.75</v>
      </c>
      <c r="H1273" t="str">
        <f>VLOOKUP(Tabel1[[#This Row],[categorie]],Lijst!A:B,2,FALSE)</f>
        <v>Vast</v>
      </c>
      <c r="I1273" t="str">
        <f t="shared" si="62"/>
        <v>OK</v>
      </c>
    </row>
    <row r="1274" spans="1:9" hidden="1" x14ac:dyDescent="0.3">
      <c r="A1274" s="2">
        <v>45831</v>
      </c>
      <c r="B1274" t="str">
        <f t="shared" si="60"/>
        <v xml:space="preserve">juni </v>
      </c>
      <c r="C1274">
        <v>-4</v>
      </c>
      <c r="D1274" t="s">
        <v>82</v>
      </c>
      <c r="F1274" t="s">
        <v>18</v>
      </c>
      <c r="G1274">
        <f t="shared" si="61"/>
        <v>-4</v>
      </c>
      <c r="H1274" t="str">
        <f>VLOOKUP(Tabel1[[#This Row],[categorie]],Lijst!A:B,2,FALSE)</f>
        <v>Vast</v>
      </c>
      <c r="I1274" t="str">
        <f t="shared" si="62"/>
        <v>OK</v>
      </c>
    </row>
    <row r="1275" spans="1:9" hidden="1" x14ac:dyDescent="0.3">
      <c r="A1275" s="2">
        <v>45831</v>
      </c>
      <c r="B1275" t="str">
        <f t="shared" si="60"/>
        <v xml:space="preserve">juni </v>
      </c>
      <c r="C1275">
        <v>-9.6999999999999993</v>
      </c>
      <c r="D1275" t="s">
        <v>3</v>
      </c>
      <c r="F1275" t="s">
        <v>18</v>
      </c>
      <c r="G1275">
        <f t="shared" si="61"/>
        <v>-9.6999999999999993</v>
      </c>
      <c r="H1275" t="str">
        <f>VLOOKUP(Tabel1[[#This Row],[categorie]],Lijst!A:B,2,FALSE)</f>
        <v>Vast</v>
      </c>
      <c r="I1275" t="str">
        <f t="shared" si="62"/>
        <v>OK</v>
      </c>
    </row>
    <row r="1276" spans="1:9" hidden="1" x14ac:dyDescent="0.3">
      <c r="A1276" s="2">
        <v>45831</v>
      </c>
      <c r="B1276" t="str">
        <f t="shared" si="60"/>
        <v xml:space="preserve">juni </v>
      </c>
      <c r="C1276">
        <v>-12.3</v>
      </c>
      <c r="D1276" t="s">
        <v>3</v>
      </c>
      <c r="F1276" t="s">
        <v>18</v>
      </c>
      <c r="G1276">
        <f t="shared" si="61"/>
        <v>-12.3</v>
      </c>
      <c r="H1276" t="str">
        <f>VLOOKUP(Tabel1[[#This Row],[categorie]],Lijst!A:B,2,FALSE)</f>
        <v>Vast</v>
      </c>
      <c r="I1276" t="str">
        <f t="shared" si="62"/>
        <v>OK</v>
      </c>
    </row>
    <row r="1277" spans="1:9" hidden="1" x14ac:dyDescent="0.3">
      <c r="A1277" s="2">
        <v>45831</v>
      </c>
      <c r="B1277" t="str">
        <f t="shared" si="60"/>
        <v xml:space="preserve">juni </v>
      </c>
      <c r="C1277">
        <v>-2.12</v>
      </c>
      <c r="D1277" t="s">
        <v>3</v>
      </c>
      <c r="F1277" t="s">
        <v>18</v>
      </c>
      <c r="G1277">
        <f t="shared" si="61"/>
        <v>-2.12</v>
      </c>
      <c r="H1277" t="str">
        <f>VLOOKUP(Tabel1[[#This Row],[categorie]],Lijst!A:B,2,FALSE)</f>
        <v>Vast</v>
      </c>
      <c r="I1277" t="str">
        <f t="shared" si="62"/>
        <v>OK</v>
      </c>
    </row>
    <row r="1278" spans="1:9" hidden="1" x14ac:dyDescent="0.3">
      <c r="A1278" s="2">
        <v>45832</v>
      </c>
      <c r="B1278" t="str">
        <f t="shared" si="60"/>
        <v xml:space="preserve">juni </v>
      </c>
      <c r="C1278">
        <v>-6.58</v>
      </c>
      <c r="D1278" t="s">
        <v>3</v>
      </c>
      <c r="F1278" t="s">
        <v>18</v>
      </c>
      <c r="G1278">
        <f t="shared" si="61"/>
        <v>-6.58</v>
      </c>
      <c r="H1278" t="str">
        <f>VLOOKUP(Tabel1[[#This Row],[categorie]],Lijst!A:B,2,FALSE)</f>
        <v>Vast</v>
      </c>
      <c r="I1278" t="str">
        <f t="shared" si="62"/>
        <v>OK</v>
      </c>
    </row>
    <row r="1279" spans="1:9" hidden="1" x14ac:dyDescent="0.3">
      <c r="A1279" s="2">
        <v>45832</v>
      </c>
      <c r="B1279" t="str">
        <f t="shared" si="60"/>
        <v xml:space="preserve">juni </v>
      </c>
      <c r="C1279">
        <v>-4.58</v>
      </c>
      <c r="D1279" t="s">
        <v>3</v>
      </c>
      <c r="F1279" t="s">
        <v>18</v>
      </c>
      <c r="G1279">
        <f t="shared" si="61"/>
        <v>-4.58</v>
      </c>
      <c r="H1279" t="str">
        <f>VLOOKUP(Tabel1[[#This Row],[categorie]],Lijst!A:B,2,FALSE)</f>
        <v>Vast</v>
      </c>
      <c r="I1279" t="str">
        <f t="shared" si="62"/>
        <v>OK</v>
      </c>
    </row>
    <row r="1280" spans="1:9" hidden="1" x14ac:dyDescent="0.3">
      <c r="A1280" s="2">
        <v>45832</v>
      </c>
      <c r="B1280" t="str">
        <f t="shared" si="60"/>
        <v xml:space="preserve">juni </v>
      </c>
      <c r="C1280">
        <v>-4.7300000000000004</v>
      </c>
      <c r="D1280" t="s">
        <v>13</v>
      </c>
      <c r="F1280" t="s">
        <v>18</v>
      </c>
      <c r="G1280">
        <f t="shared" si="61"/>
        <v>-4.7300000000000004</v>
      </c>
      <c r="H1280" t="str">
        <f>VLOOKUP(Tabel1[[#This Row],[categorie]],Lijst!A:B,2,FALSE)</f>
        <v>Vast</v>
      </c>
      <c r="I1280" t="str">
        <f t="shared" si="62"/>
        <v>OK</v>
      </c>
    </row>
    <row r="1281" spans="1:9" hidden="1" x14ac:dyDescent="0.3">
      <c r="A1281" s="2">
        <v>45832</v>
      </c>
      <c r="B1281" t="str">
        <f t="shared" si="60"/>
        <v xml:space="preserve">juni </v>
      </c>
      <c r="C1281">
        <v>-1.2</v>
      </c>
      <c r="D1281" t="s">
        <v>26</v>
      </c>
      <c r="F1281" t="s">
        <v>18</v>
      </c>
      <c r="G1281">
        <f t="shared" si="61"/>
        <v>-1.2</v>
      </c>
      <c r="H1281" t="str">
        <f>VLOOKUP(Tabel1[[#This Row],[categorie]],Lijst!A:B,2,FALSE)</f>
        <v>Variabel</v>
      </c>
      <c r="I1281" t="str">
        <f t="shared" si="62"/>
        <v>OK</v>
      </c>
    </row>
    <row r="1282" spans="1:9" hidden="1" x14ac:dyDescent="0.3">
      <c r="A1282" s="2">
        <v>45832</v>
      </c>
      <c r="B1282" t="str">
        <f t="shared" si="60"/>
        <v xml:space="preserve">juni </v>
      </c>
      <c r="C1282">
        <v>-1.1000000000000001</v>
      </c>
      <c r="D1282" t="s">
        <v>26</v>
      </c>
      <c r="F1282" t="s">
        <v>18</v>
      </c>
      <c r="G1282">
        <f t="shared" si="61"/>
        <v>-1.1000000000000001</v>
      </c>
      <c r="H1282" t="str">
        <f>VLOOKUP(Tabel1[[#This Row],[categorie]],Lijst!A:B,2,FALSE)</f>
        <v>Variabel</v>
      </c>
      <c r="I1282" t="str">
        <f t="shared" si="62"/>
        <v>OK</v>
      </c>
    </row>
    <row r="1283" spans="1:9" hidden="1" x14ac:dyDescent="0.3">
      <c r="A1283" s="2">
        <v>45833</v>
      </c>
      <c r="B1283" t="str">
        <f t="shared" si="60"/>
        <v xml:space="preserve">juni </v>
      </c>
      <c r="C1283">
        <v>-38.4</v>
      </c>
      <c r="D1283" t="s">
        <v>9</v>
      </c>
      <c r="F1283" t="s">
        <v>18</v>
      </c>
      <c r="G1283">
        <f t="shared" si="61"/>
        <v>-38.4</v>
      </c>
      <c r="H1283" t="str">
        <f>VLOOKUP(Tabel1[[#This Row],[categorie]],Lijst!A:B,2,FALSE)</f>
        <v>Variabel</v>
      </c>
      <c r="I1283" t="str">
        <f t="shared" si="62"/>
        <v>OK</v>
      </c>
    </row>
    <row r="1284" spans="1:9" hidden="1" x14ac:dyDescent="0.3">
      <c r="A1284" s="2">
        <v>45833</v>
      </c>
      <c r="B1284" t="str">
        <f t="shared" si="60"/>
        <v xml:space="preserve">juni </v>
      </c>
      <c r="C1284">
        <v>-13.77</v>
      </c>
      <c r="D1284" t="s">
        <v>3</v>
      </c>
      <c r="F1284" t="s">
        <v>18</v>
      </c>
      <c r="G1284">
        <f t="shared" si="61"/>
        <v>-13.77</v>
      </c>
      <c r="H1284" t="str">
        <f>VLOOKUP(Tabel1[[#This Row],[categorie]],Lijst!A:B,2,FALSE)</f>
        <v>Vast</v>
      </c>
      <c r="I1284" t="str">
        <f t="shared" si="62"/>
        <v>OK</v>
      </c>
    </row>
    <row r="1285" spans="1:9" hidden="1" x14ac:dyDescent="0.3">
      <c r="A1285" s="2">
        <v>45833</v>
      </c>
      <c r="B1285" t="str">
        <f t="shared" si="60"/>
        <v xml:space="preserve">juni </v>
      </c>
      <c r="C1285">
        <v>-8.07</v>
      </c>
      <c r="D1285" t="s">
        <v>3</v>
      </c>
      <c r="F1285" t="s">
        <v>18</v>
      </c>
      <c r="G1285">
        <f t="shared" si="61"/>
        <v>-8.07</v>
      </c>
      <c r="H1285" t="str">
        <f>VLOOKUP(Tabel1[[#This Row],[categorie]],Lijst!A:B,2,FALSE)</f>
        <v>Vast</v>
      </c>
      <c r="I1285" t="str">
        <f t="shared" si="62"/>
        <v>OK</v>
      </c>
    </row>
    <row r="1286" spans="1:9" hidden="1" x14ac:dyDescent="0.3">
      <c r="A1286" s="2">
        <v>45833</v>
      </c>
      <c r="B1286" t="str">
        <f t="shared" si="60"/>
        <v xml:space="preserve">juni </v>
      </c>
      <c r="C1286">
        <v>-5.96</v>
      </c>
      <c r="D1286" t="s">
        <v>13</v>
      </c>
      <c r="F1286" t="s">
        <v>18</v>
      </c>
      <c r="G1286">
        <f t="shared" si="61"/>
        <v>-5.96</v>
      </c>
      <c r="H1286" t="str">
        <f>VLOOKUP(Tabel1[[#This Row],[categorie]],Lijst!A:B,2,FALSE)</f>
        <v>Vast</v>
      </c>
      <c r="I1286" t="str">
        <f t="shared" si="62"/>
        <v>OK</v>
      </c>
    </row>
    <row r="1287" spans="1:9" hidden="1" x14ac:dyDescent="0.3">
      <c r="A1287" s="2">
        <v>45833</v>
      </c>
      <c r="B1287" t="str">
        <f t="shared" si="60"/>
        <v xml:space="preserve">juni </v>
      </c>
      <c r="C1287">
        <v>-5</v>
      </c>
      <c r="D1287" t="s">
        <v>13</v>
      </c>
      <c r="F1287" t="s">
        <v>18</v>
      </c>
      <c r="G1287">
        <f t="shared" si="61"/>
        <v>-5</v>
      </c>
      <c r="H1287" t="str">
        <f>VLOOKUP(Tabel1[[#This Row],[categorie]],Lijst!A:B,2,FALSE)</f>
        <v>Vast</v>
      </c>
      <c r="I1287" t="str">
        <f t="shared" si="62"/>
        <v>OK</v>
      </c>
    </row>
    <row r="1288" spans="1:9" hidden="1" x14ac:dyDescent="0.3">
      <c r="A1288" s="2">
        <v>45833</v>
      </c>
      <c r="B1288" t="str">
        <f t="shared" si="60"/>
        <v xml:space="preserve">juni </v>
      </c>
      <c r="C1288">
        <v>-0.9</v>
      </c>
      <c r="D1288" t="s">
        <v>26</v>
      </c>
      <c r="F1288" t="s">
        <v>18</v>
      </c>
      <c r="G1288">
        <f t="shared" si="61"/>
        <v>-0.9</v>
      </c>
      <c r="H1288" t="str">
        <f>VLOOKUP(Tabel1[[#This Row],[categorie]],Lijst!A:B,2,FALSE)</f>
        <v>Variabel</v>
      </c>
      <c r="I1288" t="str">
        <f t="shared" si="62"/>
        <v>OK</v>
      </c>
    </row>
    <row r="1289" spans="1:9" hidden="1" x14ac:dyDescent="0.3">
      <c r="A1289" s="2">
        <v>45834</v>
      </c>
      <c r="B1289" t="str">
        <f t="shared" si="60"/>
        <v xml:space="preserve">juni </v>
      </c>
      <c r="C1289">
        <v>-12.25</v>
      </c>
      <c r="D1289" t="s">
        <v>3</v>
      </c>
      <c r="F1289" t="s">
        <v>18</v>
      </c>
      <c r="G1289">
        <f t="shared" si="61"/>
        <v>-12.25</v>
      </c>
      <c r="H1289" t="str">
        <f>VLOOKUP(Tabel1[[#This Row],[categorie]],Lijst!A:B,2,FALSE)</f>
        <v>Vast</v>
      </c>
      <c r="I1289" t="str">
        <f t="shared" si="62"/>
        <v>OK</v>
      </c>
    </row>
    <row r="1290" spans="1:9" hidden="1" x14ac:dyDescent="0.3">
      <c r="A1290" s="2">
        <v>45834</v>
      </c>
      <c r="B1290" t="str">
        <f t="shared" si="60"/>
        <v xml:space="preserve">juni </v>
      </c>
      <c r="C1290">
        <v>-9.4700000000000006</v>
      </c>
      <c r="D1290" t="s">
        <v>3</v>
      </c>
      <c r="F1290" t="s">
        <v>18</v>
      </c>
      <c r="G1290">
        <f t="shared" si="61"/>
        <v>-9.4700000000000006</v>
      </c>
      <c r="H1290" t="str">
        <f>VLOOKUP(Tabel1[[#This Row],[categorie]],Lijst!A:B,2,FALSE)</f>
        <v>Vast</v>
      </c>
      <c r="I1290" t="str">
        <f t="shared" si="62"/>
        <v>OK</v>
      </c>
    </row>
    <row r="1291" spans="1:9" hidden="1" x14ac:dyDescent="0.3">
      <c r="A1291" s="2">
        <v>45834</v>
      </c>
      <c r="B1291" t="str">
        <f t="shared" si="60"/>
        <v xml:space="preserve">juni </v>
      </c>
      <c r="C1291">
        <v>-22.9</v>
      </c>
      <c r="D1291" t="s">
        <v>78</v>
      </c>
      <c r="F1291" t="s">
        <v>18</v>
      </c>
      <c r="G1291">
        <f t="shared" si="61"/>
        <v>-22.9</v>
      </c>
      <c r="H1291" t="str">
        <f>VLOOKUP(Tabel1[[#This Row],[categorie]],Lijst!A:B,2,FALSE)</f>
        <v>Variabel</v>
      </c>
      <c r="I1291" t="str">
        <f t="shared" si="62"/>
        <v>OK</v>
      </c>
    </row>
    <row r="1292" spans="1:9" hidden="1" x14ac:dyDescent="0.3">
      <c r="A1292" s="2">
        <v>45834</v>
      </c>
      <c r="B1292" t="str">
        <f t="shared" si="60"/>
        <v xml:space="preserve">juni </v>
      </c>
      <c r="C1292">
        <v>-1.5</v>
      </c>
      <c r="D1292" t="s">
        <v>26</v>
      </c>
      <c r="F1292" t="s">
        <v>18</v>
      </c>
      <c r="G1292">
        <f t="shared" si="61"/>
        <v>-1.5</v>
      </c>
      <c r="H1292" t="str">
        <f>VLOOKUP(Tabel1[[#This Row],[categorie]],Lijst!A:B,2,FALSE)</f>
        <v>Variabel</v>
      </c>
      <c r="I1292" t="str">
        <f t="shared" si="62"/>
        <v>OK</v>
      </c>
    </row>
    <row r="1293" spans="1:9" hidden="1" x14ac:dyDescent="0.3">
      <c r="A1293" s="2">
        <v>45834</v>
      </c>
      <c r="B1293" t="str">
        <f t="shared" si="60"/>
        <v xml:space="preserve">juni </v>
      </c>
      <c r="C1293">
        <v>-1.5</v>
      </c>
      <c r="D1293" t="s">
        <v>26</v>
      </c>
      <c r="F1293" t="s">
        <v>18</v>
      </c>
      <c r="G1293">
        <f t="shared" si="61"/>
        <v>-1.5</v>
      </c>
      <c r="H1293" t="str">
        <f>VLOOKUP(Tabel1[[#This Row],[categorie]],Lijst!A:B,2,FALSE)</f>
        <v>Variabel</v>
      </c>
      <c r="I1293" t="str">
        <f t="shared" si="62"/>
        <v>OK</v>
      </c>
    </row>
    <row r="1294" spans="1:9" hidden="1" x14ac:dyDescent="0.3">
      <c r="A1294" s="2">
        <v>45834</v>
      </c>
      <c r="B1294" t="str">
        <f t="shared" si="60"/>
        <v xml:space="preserve">juni </v>
      </c>
      <c r="C1294">
        <v>-150</v>
      </c>
      <c r="D1294" t="s">
        <v>27</v>
      </c>
      <c r="F1294" t="s">
        <v>18</v>
      </c>
      <c r="G1294">
        <f t="shared" si="61"/>
        <v>-150</v>
      </c>
      <c r="H1294" t="str">
        <f>VLOOKUP(Tabel1[[#This Row],[categorie]],Lijst!A:B,2,FALSE)</f>
        <v>Variabel</v>
      </c>
      <c r="I1294" t="str">
        <f t="shared" si="62"/>
        <v>OK</v>
      </c>
    </row>
    <row r="1295" spans="1:9" hidden="1" x14ac:dyDescent="0.3">
      <c r="A1295" s="2">
        <v>45834</v>
      </c>
      <c r="B1295" t="str">
        <f t="shared" si="60"/>
        <v xml:space="preserve">juni </v>
      </c>
      <c r="C1295">
        <v>-113.49</v>
      </c>
      <c r="D1295" t="s">
        <v>41</v>
      </c>
      <c r="F1295" t="s">
        <v>18</v>
      </c>
      <c r="G1295">
        <f t="shared" si="61"/>
        <v>-113.49</v>
      </c>
      <c r="H1295" t="str">
        <f>VLOOKUP(Tabel1[[#This Row],[categorie]],Lijst!A:B,2,FALSE)</f>
        <v>Vast</v>
      </c>
      <c r="I1295" t="str">
        <f t="shared" si="62"/>
        <v>OK</v>
      </c>
    </row>
    <row r="1296" spans="1:9" hidden="1" x14ac:dyDescent="0.3">
      <c r="A1296" s="2">
        <v>45835</v>
      </c>
      <c r="B1296" t="str">
        <f t="shared" si="60"/>
        <v xml:space="preserve">juni </v>
      </c>
      <c r="C1296">
        <v>-9.19</v>
      </c>
      <c r="D1296" t="s">
        <v>3</v>
      </c>
      <c r="F1296" t="s">
        <v>18</v>
      </c>
      <c r="G1296">
        <f t="shared" si="61"/>
        <v>-9.19</v>
      </c>
      <c r="H1296" t="str">
        <f>VLOOKUP(Tabel1[[#This Row],[categorie]],Lijst!A:B,2,FALSE)</f>
        <v>Vast</v>
      </c>
      <c r="I1296" t="str">
        <f t="shared" si="62"/>
        <v>OK</v>
      </c>
    </row>
    <row r="1297" spans="1:9" hidden="1" x14ac:dyDescent="0.3">
      <c r="A1297" s="2">
        <v>45835</v>
      </c>
      <c r="B1297" t="str">
        <f t="shared" si="60"/>
        <v xml:space="preserve">juni </v>
      </c>
      <c r="C1297">
        <v>-14.68</v>
      </c>
      <c r="D1297" t="s">
        <v>55</v>
      </c>
      <c r="F1297" t="s">
        <v>18</v>
      </c>
      <c r="G1297">
        <f t="shared" si="61"/>
        <v>-14.68</v>
      </c>
      <c r="H1297" t="str">
        <f>VLOOKUP(Tabel1[[#This Row],[categorie]],Lijst!A:B,2,FALSE)</f>
        <v>Variabel</v>
      </c>
      <c r="I1297" t="str">
        <f t="shared" si="62"/>
        <v>OK</v>
      </c>
    </row>
    <row r="1298" spans="1:9" hidden="1" x14ac:dyDescent="0.3">
      <c r="A1298" s="2">
        <v>45835</v>
      </c>
      <c r="B1298" t="str">
        <f t="shared" si="60"/>
        <v xml:space="preserve">juni </v>
      </c>
      <c r="C1298">
        <v>-69.98</v>
      </c>
      <c r="D1298" t="s">
        <v>48</v>
      </c>
      <c r="F1298" t="s">
        <v>18</v>
      </c>
      <c r="G1298">
        <f t="shared" si="61"/>
        <v>-69.98</v>
      </c>
      <c r="H1298" t="str">
        <f>VLOOKUP(Tabel1[[#This Row],[categorie]],Lijst!A:B,2,FALSE)</f>
        <v>Variabel</v>
      </c>
      <c r="I1298" t="str">
        <f t="shared" si="62"/>
        <v>OK</v>
      </c>
    </row>
    <row r="1299" spans="1:9" hidden="1" x14ac:dyDescent="0.3">
      <c r="A1299" s="2">
        <v>45835</v>
      </c>
      <c r="B1299" t="str">
        <f t="shared" si="60"/>
        <v xml:space="preserve">juni </v>
      </c>
      <c r="C1299">
        <v>-14</v>
      </c>
      <c r="D1299" t="s">
        <v>3</v>
      </c>
      <c r="F1299" t="s">
        <v>18</v>
      </c>
      <c r="G1299">
        <f t="shared" si="61"/>
        <v>-14</v>
      </c>
      <c r="H1299" t="str">
        <f>VLOOKUP(Tabel1[[#This Row],[categorie]],Lijst!A:B,2,FALSE)</f>
        <v>Vast</v>
      </c>
      <c r="I1299" t="str">
        <f t="shared" si="62"/>
        <v>OK</v>
      </c>
    </row>
    <row r="1300" spans="1:9" hidden="1" x14ac:dyDescent="0.3">
      <c r="A1300" s="2">
        <v>45835</v>
      </c>
      <c r="B1300" t="str">
        <f t="shared" si="60"/>
        <v xml:space="preserve">juni </v>
      </c>
      <c r="C1300">
        <v>-1.5</v>
      </c>
      <c r="D1300" t="s">
        <v>26</v>
      </c>
      <c r="F1300" t="s">
        <v>18</v>
      </c>
      <c r="G1300">
        <f t="shared" si="61"/>
        <v>-1.5</v>
      </c>
      <c r="H1300" t="str">
        <f>VLOOKUP(Tabel1[[#This Row],[categorie]],Lijst!A:B,2,FALSE)</f>
        <v>Variabel</v>
      </c>
      <c r="I1300" t="str">
        <f t="shared" si="62"/>
        <v>OK</v>
      </c>
    </row>
    <row r="1301" spans="1:9" hidden="1" x14ac:dyDescent="0.3">
      <c r="A1301" s="2">
        <v>45835</v>
      </c>
      <c r="B1301" t="str">
        <f t="shared" si="60"/>
        <v xml:space="preserve">juni </v>
      </c>
      <c r="C1301">
        <v>-1.5</v>
      </c>
      <c r="D1301" t="s">
        <v>26</v>
      </c>
      <c r="F1301" t="s">
        <v>18</v>
      </c>
      <c r="G1301">
        <f t="shared" si="61"/>
        <v>-1.5</v>
      </c>
      <c r="H1301" t="str">
        <f>VLOOKUP(Tabel1[[#This Row],[categorie]],Lijst!A:B,2,FALSE)</f>
        <v>Variabel</v>
      </c>
      <c r="I1301" t="str">
        <f t="shared" si="62"/>
        <v>OK</v>
      </c>
    </row>
    <row r="1302" spans="1:9" hidden="1" x14ac:dyDescent="0.3">
      <c r="A1302" s="2">
        <v>45835</v>
      </c>
      <c r="B1302" t="str">
        <f t="shared" si="60"/>
        <v xml:space="preserve">juni </v>
      </c>
      <c r="C1302">
        <v>-26.07</v>
      </c>
      <c r="D1302" t="s">
        <v>3</v>
      </c>
      <c r="F1302" t="s">
        <v>18</v>
      </c>
      <c r="G1302">
        <f t="shared" si="61"/>
        <v>-26.07</v>
      </c>
      <c r="H1302" t="str">
        <f>VLOOKUP(Tabel1[[#This Row],[categorie]],Lijst!A:B,2,FALSE)</f>
        <v>Vast</v>
      </c>
      <c r="I1302" t="str">
        <f t="shared" si="62"/>
        <v>OK</v>
      </c>
    </row>
    <row r="1303" spans="1:9" hidden="1" x14ac:dyDescent="0.3">
      <c r="A1303" s="2">
        <v>45836</v>
      </c>
      <c r="B1303" t="str">
        <f t="shared" si="60"/>
        <v xml:space="preserve">juni </v>
      </c>
      <c r="C1303">
        <v>-11.21</v>
      </c>
      <c r="D1303" t="s">
        <v>3</v>
      </c>
      <c r="F1303" t="s">
        <v>18</v>
      </c>
      <c r="G1303">
        <f t="shared" si="61"/>
        <v>-11.21</v>
      </c>
      <c r="H1303" t="str">
        <f>VLOOKUP(Tabel1[[#This Row],[categorie]],Lijst!A:B,2,FALSE)</f>
        <v>Vast</v>
      </c>
      <c r="I1303" t="str">
        <f t="shared" si="62"/>
        <v>OK</v>
      </c>
    </row>
    <row r="1304" spans="1:9" hidden="1" x14ac:dyDescent="0.3">
      <c r="A1304" s="2">
        <v>45836</v>
      </c>
      <c r="B1304" t="str">
        <f t="shared" si="60"/>
        <v xml:space="preserve">juni </v>
      </c>
      <c r="C1304">
        <v>-24.75</v>
      </c>
      <c r="D1304" t="s">
        <v>3</v>
      </c>
      <c r="F1304" t="s">
        <v>18</v>
      </c>
      <c r="G1304">
        <f t="shared" si="61"/>
        <v>-24.75</v>
      </c>
      <c r="H1304" t="str">
        <f>VLOOKUP(Tabel1[[#This Row],[categorie]],Lijst!A:B,2,FALSE)</f>
        <v>Vast</v>
      </c>
      <c r="I1304" t="str">
        <f t="shared" si="62"/>
        <v>OK</v>
      </c>
    </row>
    <row r="1305" spans="1:9" hidden="1" x14ac:dyDescent="0.3">
      <c r="A1305" s="2">
        <v>45836</v>
      </c>
      <c r="B1305" t="str">
        <f t="shared" si="60"/>
        <v xml:space="preserve">juni </v>
      </c>
      <c r="C1305">
        <v>-3.19</v>
      </c>
      <c r="D1305" t="s">
        <v>3</v>
      </c>
      <c r="F1305" t="s">
        <v>18</v>
      </c>
      <c r="G1305">
        <f t="shared" si="61"/>
        <v>-3.19</v>
      </c>
      <c r="H1305" t="str">
        <f>VLOOKUP(Tabel1[[#This Row],[categorie]],Lijst!A:B,2,FALSE)</f>
        <v>Vast</v>
      </c>
      <c r="I1305" t="str">
        <f t="shared" si="62"/>
        <v>OK</v>
      </c>
    </row>
    <row r="1306" spans="1:9" hidden="1" x14ac:dyDescent="0.3">
      <c r="A1306" s="2">
        <v>45836</v>
      </c>
      <c r="B1306" t="str">
        <f t="shared" si="60"/>
        <v xml:space="preserve">juni </v>
      </c>
      <c r="C1306">
        <v>-11.95</v>
      </c>
      <c r="D1306" t="s">
        <v>3</v>
      </c>
      <c r="F1306" t="s">
        <v>18</v>
      </c>
      <c r="G1306">
        <f t="shared" si="61"/>
        <v>-11.95</v>
      </c>
      <c r="H1306" t="str">
        <f>VLOOKUP(Tabel1[[#This Row],[categorie]],Lijst!A:B,2,FALSE)</f>
        <v>Vast</v>
      </c>
      <c r="I1306" t="str">
        <f t="shared" si="62"/>
        <v>OK</v>
      </c>
    </row>
    <row r="1307" spans="1:9" hidden="1" x14ac:dyDescent="0.3">
      <c r="A1307" s="2">
        <v>45837</v>
      </c>
      <c r="B1307" t="str">
        <f t="shared" si="60"/>
        <v xml:space="preserve">juni </v>
      </c>
      <c r="C1307">
        <v>-18</v>
      </c>
      <c r="D1307" t="s">
        <v>21</v>
      </c>
      <c r="F1307" t="s">
        <v>18</v>
      </c>
      <c r="G1307">
        <f t="shared" si="61"/>
        <v>-18</v>
      </c>
      <c r="H1307" t="str">
        <f>VLOOKUP(Tabel1[[#This Row],[categorie]],Lijst!A:B,2,FALSE)</f>
        <v>Variabel</v>
      </c>
      <c r="I1307" t="str">
        <f t="shared" si="62"/>
        <v>OK</v>
      </c>
    </row>
    <row r="1308" spans="1:9" hidden="1" x14ac:dyDescent="0.3">
      <c r="A1308" s="2">
        <v>45837</v>
      </c>
      <c r="B1308" t="str">
        <f t="shared" si="60"/>
        <v xml:space="preserve">juni </v>
      </c>
      <c r="C1308">
        <v>-22.03</v>
      </c>
      <c r="D1308" t="s">
        <v>21</v>
      </c>
      <c r="F1308" t="s">
        <v>18</v>
      </c>
      <c r="G1308">
        <f t="shared" si="61"/>
        <v>-22.03</v>
      </c>
      <c r="H1308" t="str">
        <f>VLOOKUP(Tabel1[[#This Row],[categorie]],Lijst!A:B,2,FALSE)</f>
        <v>Variabel</v>
      </c>
      <c r="I1308" t="str">
        <f t="shared" si="62"/>
        <v>OK</v>
      </c>
    </row>
    <row r="1309" spans="1:9" hidden="1" x14ac:dyDescent="0.3">
      <c r="A1309" s="2">
        <v>45837</v>
      </c>
      <c r="B1309" t="str">
        <f t="shared" si="60"/>
        <v xml:space="preserve">juni </v>
      </c>
      <c r="C1309">
        <v>-17.350000000000001</v>
      </c>
      <c r="D1309" t="s">
        <v>21</v>
      </c>
      <c r="F1309" t="s">
        <v>18</v>
      </c>
      <c r="G1309">
        <f t="shared" si="61"/>
        <v>-17.350000000000001</v>
      </c>
      <c r="H1309" t="str">
        <f>VLOOKUP(Tabel1[[#This Row],[categorie]],Lijst!A:B,2,FALSE)</f>
        <v>Variabel</v>
      </c>
      <c r="I1309" t="str">
        <f t="shared" si="62"/>
        <v>OK</v>
      </c>
    </row>
    <row r="1310" spans="1:9" hidden="1" x14ac:dyDescent="0.3">
      <c r="A1310" s="2">
        <v>45837</v>
      </c>
      <c r="B1310" t="str">
        <f t="shared" si="60"/>
        <v xml:space="preserve">juni </v>
      </c>
      <c r="C1310">
        <v>-30</v>
      </c>
      <c r="D1310" t="s">
        <v>25</v>
      </c>
      <c r="F1310" t="s">
        <v>18</v>
      </c>
      <c r="G1310">
        <f t="shared" si="61"/>
        <v>-30</v>
      </c>
      <c r="H1310" t="str">
        <f>VLOOKUP(Tabel1[[#This Row],[categorie]],Lijst!A:B,2,FALSE)</f>
        <v>Variabel</v>
      </c>
      <c r="I1310" t="str">
        <f t="shared" si="62"/>
        <v>OK</v>
      </c>
    </row>
    <row r="1311" spans="1:9" hidden="1" x14ac:dyDescent="0.3">
      <c r="A1311" s="2">
        <v>45838</v>
      </c>
      <c r="B1311" t="str">
        <f t="shared" si="60"/>
        <v xml:space="preserve">juni </v>
      </c>
      <c r="C1311">
        <v>-240</v>
      </c>
      <c r="D1311" t="s">
        <v>82</v>
      </c>
      <c r="F1311" t="s">
        <v>18</v>
      </c>
      <c r="G1311">
        <f t="shared" si="61"/>
        <v>-240</v>
      </c>
      <c r="H1311" t="str">
        <f>VLOOKUP(Tabel1[[#This Row],[categorie]],Lijst!A:B,2,FALSE)</f>
        <v>Vast</v>
      </c>
      <c r="I1311" t="str">
        <f t="shared" si="62"/>
        <v>OK</v>
      </c>
    </row>
    <row r="1312" spans="1:9" hidden="1" x14ac:dyDescent="0.3">
      <c r="A1312" s="2">
        <v>45838</v>
      </c>
      <c r="B1312" t="str">
        <f t="shared" si="60"/>
        <v xml:space="preserve">juni </v>
      </c>
      <c r="C1312">
        <v>-1.5</v>
      </c>
      <c r="D1312" t="s">
        <v>19</v>
      </c>
      <c r="F1312" t="s">
        <v>18</v>
      </c>
      <c r="G1312">
        <f t="shared" si="61"/>
        <v>-1.5</v>
      </c>
      <c r="H1312" t="str">
        <f>VLOOKUP(Tabel1[[#This Row],[categorie]],Lijst!A:B,2,FALSE)</f>
        <v>Vast</v>
      </c>
      <c r="I1312" t="str">
        <f t="shared" si="62"/>
        <v>OK</v>
      </c>
    </row>
    <row r="1313" spans="1:9" hidden="1" x14ac:dyDescent="0.3">
      <c r="A1313" s="2">
        <v>45838</v>
      </c>
      <c r="B1313" t="str">
        <f t="shared" si="60"/>
        <v xml:space="preserve">juni </v>
      </c>
      <c r="C1313">
        <v>-3.35</v>
      </c>
      <c r="D1313" t="s">
        <v>22</v>
      </c>
      <c r="F1313" t="s">
        <v>18</v>
      </c>
      <c r="G1313">
        <f t="shared" si="61"/>
        <v>-3.35</v>
      </c>
      <c r="H1313" t="str">
        <f>VLOOKUP(Tabel1[[#This Row],[categorie]],Lijst!A:B,2,FALSE)</f>
        <v>Variabel</v>
      </c>
      <c r="I1313" t="str">
        <f t="shared" si="62"/>
        <v>OK</v>
      </c>
    </row>
    <row r="1314" spans="1:9" hidden="1" x14ac:dyDescent="0.3">
      <c r="A1314" s="2">
        <v>45838</v>
      </c>
      <c r="B1314" t="str">
        <f t="shared" si="60"/>
        <v xml:space="preserve">juni </v>
      </c>
      <c r="C1314">
        <v>-44.64</v>
      </c>
      <c r="D1314" t="str" cm="1">
        <f t="array" ref="D1314">IFERROR(
  _xlfn.XLOOKUP(TRUE, ISNUMBER(FIND(Trefwoorden!$A$2:$A$99, E1314)), Trefwoorden!$B$2:$B$99),
  "Onbekend"
)</f>
        <v>Hospitalisatie</v>
      </c>
      <c r="E1314" t="s">
        <v>133</v>
      </c>
      <c r="F1314" t="s">
        <v>18</v>
      </c>
      <c r="G1314">
        <f t="shared" si="61"/>
        <v>-44.64</v>
      </c>
      <c r="H1314" t="str">
        <f>VLOOKUP(Tabel1[[#This Row],[categorie]],Lijst!A:B,2,FALSE)</f>
        <v>Vast</v>
      </c>
      <c r="I1314" t="str">
        <f t="shared" si="62"/>
        <v>OK</v>
      </c>
    </row>
    <row r="1315" spans="1:9" hidden="1" x14ac:dyDescent="0.3">
      <c r="A1315" s="2">
        <v>45838</v>
      </c>
      <c r="B1315" t="str">
        <f t="shared" ref="B1315:B1378" si="63">TEXT(A1315,"mmmm ")</f>
        <v xml:space="preserve">juni </v>
      </c>
      <c r="C1315">
        <v>-74.430000000000007</v>
      </c>
      <c r="D1315" t="s">
        <v>23</v>
      </c>
      <c r="F1315" t="s">
        <v>18</v>
      </c>
      <c r="G1315">
        <f t="shared" ref="G1315:G1378" si="64">IF(F1315="Uitgave", -ABS(C1315), ABS(C1315))</f>
        <v>-74.430000000000007</v>
      </c>
      <c r="H1315" t="str">
        <f>VLOOKUP(Tabel1[[#This Row],[categorie]],Lijst!A:B,2,FALSE)</f>
        <v>Vast</v>
      </c>
      <c r="I1315" t="str">
        <f t="shared" ref="I1315:I1378" si="65">IF(OR(AND(F1315="Uitgave", C1315&lt;0), AND(F1315="Inkomst", C1315&gt;0)), "OK", "FOUT")</f>
        <v>OK</v>
      </c>
    </row>
    <row r="1316" spans="1:9" hidden="1" x14ac:dyDescent="0.3">
      <c r="A1316" s="2">
        <v>45838</v>
      </c>
      <c r="B1316" t="str">
        <f t="shared" si="63"/>
        <v xml:space="preserve">juni </v>
      </c>
      <c r="C1316">
        <v>-443.03</v>
      </c>
      <c r="D1316" t="s">
        <v>73</v>
      </c>
      <c r="F1316" t="s">
        <v>18</v>
      </c>
      <c r="G1316">
        <f t="shared" si="64"/>
        <v>-443.03</v>
      </c>
      <c r="H1316" t="str">
        <f>VLOOKUP(Tabel1[[#This Row],[categorie]],Lijst!A:B,2,FALSE)</f>
        <v>Vast</v>
      </c>
      <c r="I1316" t="str">
        <f t="shared" si="65"/>
        <v>OK</v>
      </c>
    </row>
    <row r="1317" spans="1:9" hidden="1" x14ac:dyDescent="0.3">
      <c r="A1317" s="2">
        <v>45838</v>
      </c>
      <c r="B1317" t="str">
        <f t="shared" si="63"/>
        <v xml:space="preserve">juni </v>
      </c>
      <c r="C1317">
        <v>-7.49</v>
      </c>
      <c r="D1317" t="s">
        <v>3</v>
      </c>
      <c r="F1317" t="s">
        <v>18</v>
      </c>
      <c r="G1317">
        <f t="shared" si="64"/>
        <v>-7.49</v>
      </c>
      <c r="H1317" t="str">
        <f>VLOOKUP(Tabel1[[#This Row],[categorie]],Lijst!A:B,2,FALSE)</f>
        <v>Vast</v>
      </c>
      <c r="I1317" t="str">
        <f t="shared" si="65"/>
        <v>OK</v>
      </c>
    </row>
    <row r="1318" spans="1:9" hidden="1" x14ac:dyDescent="0.3">
      <c r="A1318" s="2">
        <v>45838</v>
      </c>
      <c r="B1318" t="str">
        <f t="shared" si="63"/>
        <v xml:space="preserve">juni </v>
      </c>
      <c r="C1318">
        <v>8</v>
      </c>
      <c r="D1318" t="s">
        <v>75</v>
      </c>
      <c r="F1318" t="s">
        <v>17</v>
      </c>
      <c r="G1318">
        <f t="shared" si="64"/>
        <v>8</v>
      </c>
      <c r="H1318" t="str">
        <f>VLOOKUP(Tabel1[[#This Row],[categorie]],Lijst!A:B,2,FALSE)</f>
        <v>Variabel</v>
      </c>
      <c r="I1318" t="str">
        <f t="shared" si="65"/>
        <v>OK</v>
      </c>
    </row>
    <row r="1319" spans="1:9" hidden="1" x14ac:dyDescent="0.3">
      <c r="A1319" s="2">
        <v>45838</v>
      </c>
      <c r="B1319" t="str">
        <f t="shared" si="63"/>
        <v xml:space="preserve">juni </v>
      </c>
      <c r="C1319">
        <v>-143.09</v>
      </c>
      <c r="D1319" t="s">
        <v>73</v>
      </c>
      <c r="F1319" t="s">
        <v>18</v>
      </c>
      <c r="G1319">
        <f t="shared" si="64"/>
        <v>-143.09</v>
      </c>
      <c r="H1319" t="str">
        <f>VLOOKUP(Tabel1[[#This Row],[categorie]],Lijst!A:B,2,FALSE)</f>
        <v>Vast</v>
      </c>
      <c r="I1319" t="str">
        <f t="shared" si="65"/>
        <v>OK</v>
      </c>
    </row>
    <row r="1320" spans="1:9" hidden="1" x14ac:dyDescent="0.3">
      <c r="A1320" s="2">
        <v>45838</v>
      </c>
      <c r="B1320" t="str">
        <f t="shared" si="63"/>
        <v xml:space="preserve">juni </v>
      </c>
      <c r="C1320">
        <v>-46.65</v>
      </c>
      <c r="D1320" t="s">
        <v>72</v>
      </c>
      <c r="F1320" t="str">
        <f>VLOOKUP(Tabel1[[#This Row],[categorie]],Lijst!A:C,3,FALSE)</f>
        <v>Uitgave</v>
      </c>
      <c r="G1320">
        <f t="shared" si="64"/>
        <v>-46.65</v>
      </c>
      <c r="H1320" t="str">
        <f>VLOOKUP(Tabel1[[#This Row],[categorie]],Lijst!A:B,2,FALSE)</f>
        <v>Variabel</v>
      </c>
      <c r="I1320" t="str">
        <f t="shared" si="65"/>
        <v>OK</v>
      </c>
    </row>
    <row r="1321" spans="1:9" hidden="1" x14ac:dyDescent="0.3">
      <c r="A1321" s="2">
        <v>45838</v>
      </c>
      <c r="B1321" t="str">
        <f t="shared" si="63"/>
        <v xml:space="preserve">juni </v>
      </c>
      <c r="C1321">
        <v>-2.19</v>
      </c>
      <c r="D1321" t="s">
        <v>3</v>
      </c>
      <c r="F1321" t="str">
        <f>VLOOKUP(Tabel1[[#This Row],[categorie]],Lijst!A:C,3,FALSE)</f>
        <v>Uitgave</v>
      </c>
      <c r="G1321">
        <f t="shared" si="64"/>
        <v>-2.19</v>
      </c>
      <c r="H1321" t="str">
        <f>VLOOKUP(Tabel1[[#This Row],[categorie]],Lijst!A:B,2,FALSE)</f>
        <v>Vast</v>
      </c>
      <c r="I1321" t="str">
        <f t="shared" si="65"/>
        <v>OK</v>
      </c>
    </row>
    <row r="1322" spans="1:9" hidden="1" x14ac:dyDescent="0.3">
      <c r="A1322" s="2">
        <v>45838</v>
      </c>
      <c r="B1322" t="str">
        <f t="shared" si="63"/>
        <v xml:space="preserve">juni </v>
      </c>
      <c r="C1322">
        <v>-19.64</v>
      </c>
      <c r="D1322" t="s">
        <v>3</v>
      </c>
      <c r="F1322" t="str">
        <f>VLOOKUP(Tabel1[[#This Row],[categorie]],Lijst!A:C,3,FALSE)</f>
        <v>Uitgave</v>
      </c>
      <c r="G1322">
        <f t="shared" si="64"/>
        <v>-19.64</v>
      </c>
      <c r="H1322" t="str">
        <f>VLOOKUP(Tabel1[[#This Row],[categorie]],Lijst!A:B,2,FALSE)</f>
        <v>Vast</v>
      </c>
      <c r="I1322" t="str">
        <f t="shared" si="65"/>
        <v>OK</v>
      </c>
    </row>
    <row r="1323" spans="1:9" hidden="1" x14ac:dyDescent="0.3">
      <c r="A1323" s="2">
        <v>45838</v>
      </c>
      <c r="B1323" t="str">
        <f t="shared" si="63"/>
        <v xml:space="preserve">juni </v>
      </c>
      <c r="C1323">
        <v>-7.63</v>
      </c>
      <c r="D1323" t="s">
        <v>3</v>
      </c>
      <c r="F1323" t="str">
        <f>VLOOKUP(Tabel1[[#This Row],[categorie]],Lijst!A:C,3,FALSE)</f>
        <v>Uitgave</v>
      </c>
      <c r="G1323">
        <f t="shared" si="64"/>
        <v>-7.63</v>
      </c>
      <c r="H1323" t="str">
        <f>VLOOKUP(Tabel1[[#This Row],[categorie]],Lijst!A:B,2,FALSE)</f>
        <v>Vast</v>
      </c>
      <c r="I1323" t="str">
        <f t="shared" si="65"/>
        <v>OK</v>
      </c>
    </row>
    <row r="1324" spans="1:9" hidden="1" x14ac:dyDescent="0.3">
      <c r="A1324" s="2">
        <v>45839</v>
      </c>
      <c r="B1324" t="str">
        <f t="shared" si="63"/>
        <v xml:space="preserve">juli </v>
      </c>
      <c r="C1324">
        <v>2376.23</v>
      </c>
      <c r="D1324" t="s">
        <v>83</v>
      </c>
      <c r="F1324" t="s">
        <v>17</v>
      </c>
      <c r="G1324">
        <f t="shared" si="64"/>
        <v>2376.23</v>
      </c>
      <c r="H1324" t="str">
        <f>VLOOKUP(Tabel1[[#This Row],[categorie]],Lijst!A:B,2,FALSE)</f>
        <v>Inkomsten</v>
      </c>
      <c r="I1324" t="str">
        <f t="shared" si="65"/>
        <v>OK</v>
      </c>
    </row>
    <row r="1325" spans="1:9" hidden="1" x14ac:dyDescent="0.3">
      <c r="A1325" s="2">
        <v>45839</v>
      </c>
      <c r="B1325" t="str">
        <f t="shared" si="63"/>
        <v xml:space="preserve">juli </v>
      </c>
      <c r="C1325">
        <v>2663.51</v>
      </c>
      <c r="D1325" t="s">
        <v>83</v>
      </c>
      <c r="F1325" t="s">
        <v>17</v>
      </c>
      <c r="G1325">
        <f t="shared" si="64"/>
        <v>2663.51</v>
      </c>
      <c r="H1325" t="str">
        <f>VLOOKUP(Tabel1[[#This Row],[categorie]],Lijst!A:B,2,FALSE)</f>
        <v>Inkomsten</v>
      </c>
      <c r="I1325" t="str">
        <f t="shared" si="65"/>
        <v>OK</v>
      </c>
    </row>
    <row r="1326" spans="1:9" hidden="1" x14ac:dyDescent="0.3">
      <c r="A1326" s="2">
        <v>45839</v>
      </c>
      <c r="B1326" t="str">
        <f t="shared" si="63"/>
        <v xml:space="preserve">juli </v>
      </c>
      <c r="C1326">
        <v>-19.559999999999999</v>
      </c>
      <c r="D1326" t="s">
        <v>3</v>
      </c>
      <c r="F1326" t="str">
        <f>VLOOKUP(Tabel1[[#This Row],[categorie]],Lijst!A:C,3,FALSE)</f>
        <v>Uitgave</v>
      </c>
      <c r="G1326">
        <f t="shared" si="64"/>
        <v>-19.559999999999999</v>
      </c>
      <c r="H1326" t="str">
        <f>VLOOKUP(Tabel1[[#This Row],[categorie]],Lijst!A:B,2,FALSE)</f>
        <v>Vast</v>
      </c>
      <c r="I1326" t="str">
        <f t="shared" si="65"/>
        <v>OK</v>
      </c>
    </row>
    <row r="1327" spans="1:9" hidden="1" x14ac:dyDescent="0.3">
      <c r="A1327" s="2">
        <v>45839</v>
      </c>
      <c r="B1327" t="str">
        <f t="shared" si="63"/>
        <v xml:space="preserve">juli </v>
      </c>
      <c r="C1327">
        <v>-8.58</v>
      </c>
      <c r="D1327" t="s">
        <v>3</v>
      </c>
      <c r="F1327" t="str">
        <f>VLOOKUP(Tabel1[[#This Row],[categorie]],Lijst!A:C,3,FALSE)</f>
        <v>Uitgave</v>
      </c>
      <c r="G1327">
        <f t="shared" si="64"/>
        <v>-8.58</v>
      </c>
      <c r="H1327" t="str">
        <f>VLOOKUP(Tabel1[[#This Row],[categorie]],Lijst!A:B,2,FALSE)</f>
        <v>Vast</v>
      </c>
      <c r="I1327" t="str">
        <f t="shared" si="65"/>
        <v>OK</v>
      </c>
    </row>
    <row r="1328" spans="1:9" hidden="1" x14ac:dyDescent="0.3">
      <c r="A1328" s="2">
        <v>45839</v>
      </c>
      <c r="B1328" t="str">
        <f t="shared" si="63"/>
        <v xml:space="preserve">juli </v>
      </c>
      <c r="C1328">
        <v>-3.83</v>
      </c>
      <c r="D1328" t="s">
        <v>3</v>
      </c>
      <c r="F1328" t="str">
        <f>VLOOKUP(Tabel1[[#This Row],[categorie]],Lijst!A:C,3,FALSE)</f>
        <v>Uitgave</v>
      </c>
      <c r="G1328">
        <f t="shared" si="64"/>
        <v>-3.83</v>
      </c>
      <c r="H1328" t="str">
        <f>VLOOKUP(Tabel1[[#This Row],[categorie]],Lijst!A:B,2,FALSE)</f>
        <v>Vast</v>
      </c>
      <c r="I1328" t="str">
        <f t="shared" si="65"/>
        <v>OK</v>
      </c>
    </row>
    <row r="1329" spans="1:9" hidden="1" x14ac:dyDescent="0.3">
      <c r="A1329" s="2">
        <v>45839</v>
      </c>
      <c r="B1329" t="str">
        <f t="shared" si="63"/>
        <v xml:space="preserve">juli </v>
      </c>
      <c r="C1329">
        <v>-1.5</v>
      </c>
      <c r="D1329" t="s">
        <v>26</v>
      </c>
      <c r="F1329" t="str">
        <f>VLOOKUP(Tabel1[[#This Row],[categorie]],Lijst!A:C,3,FALSE)</f>
        <v>Uitgave</v>
      </c>
      <c r="G1329">
        <f t="shared" si="64"/>
        <v>-1.5</v>
      </c>
      <c r="H1329" t="str">
        <f>VLOOKUP(Tabel1[[#This Row],[categorie]],Lijst!A:B,2,FALSE)</f>
        <v>Variabel</v>
      </c>
      <c r="I1329" t="str">
        <f t="shared" si="65"/>
        <v>OK</v>
      </c>
    </row>
    <row r="1330" spans="1:9" hidden="1" x14ac:dyDescent="0.3">
      <c r="A1330" s="2">
        <v>45839</v>
      </c>
      <c r="B1330" t="str">
        <f t="shared" si="63"/>
        <v xml:space="preserve">juli </v>
      </c>
      <c r="C1330">
        <v>-30</v>
      </c>
      <c r="D1330" t="s">
        <v>34</v>
      </c>
      <c r="F1330" t="str">
        <f>VLOOKUP(Tabel1[[#This Row],[categorie]],Lijst!A:C,3,FALSE)</f>
        <v>Uitgave</v>
      </c>
      <c r="G1330">
        <f t="shared" si="64"/>
        <v>-30</v>
      </c>
      <c r="H1330" t="str">
        <f>VLOOKUP(Tabel1[[#This Row],[categorie]],Lijst!A:B,2,FALSE)</f>
        <v>Variabel</v>
      </c>
      <c r="I1330" t="str">
        <f t="shared" si="65"/>
        <v>OK</v>
      </c>
    </row>
    <row r="1331" spans="1:9" hidden="1" x14ac:dyDescent="0.3">
      <c r="A1331" s="2">
        <v>45839</v>
      </c>
      <c r="B1331" t="str">
        <f t="shared" si="63"/>
        <v xml:space="preserve">juli </v>
      </c>
      <c r="C1331">
        <v>-45.25</v>
      </c>
      <c r="D1331" t="s">
        <v>209</v>
      </c>
      <c r="F1331" t="str">
        <f>VLOOKUP(Tabel1[[#This Row],[categorie]],Lijst!A:C,3,FALSE)</f>
        <v>Uitgave</v>
      </c>
      <c r="G1331">
        <f t="shared" si="64"/>
        <v>-45.25</v>
      </c>
      <c r="H1331" t="str">
        <f>VLOOKUP(Tabel1[[#This Row],[categorie]],Lijst!A:B,2,FALSE)</f>
        <v>Vast</v>
      </c>
      <c r="I1331" t="str">
        <f t="shared" si="65"/>
        <v>OK</v>
      </c>
    </row>
    <row r="1332" spans="1:9" hidden="1" x14ac:dyDescent="0.3">
      <c r="A1332" s="2">
        <v>45839</v>
      </c>
      <c r="B1332" t="str">
        <f t="shared" si="63"/>
        <v xml:space="preserve">juli </v>
      </c>
      <c r="C1332">
        <v>-48.95</v>
      </c>
      <c r="D1332" t="s">
        <v>40</v>
      </c>
      <c r="F1332" t="str">
        <f>VLOOKUP(Tabel1[[#This Row],[categorie]],Lijst!A:C,3,FALSE)</f>
        <v>Uitgave</v>
      </c>
      <c r="G1332">
        <f t="shared" si="64"/>
        <v>-48.95</v>
      </c>
      <c r="H1332" t="str">
        <f>VLOOKUP(Tabel1[[#This Row],[categorie]],Lijst!A:B,2,FALSE)</f>
        <v>Variabel</v>
      </c>
      <c r="I1332" t="str">
        <f t="shared" si="65"/>
        <v>OK</v>
      </c>
    </row>
    <row r="1333" spans="1:9" hidden="1" x14ac:dyDescent="0.3">
      <c r="A1333" s="2">
        <v>45840</v>
      </c>
      <c r="B1333" t="str">
        <f t="shared" si="63"/>
        <v xml:space="preserve">juli </v>
      </c>
      <c r="C1333">
        <v>-1.85</v>
      </c>
      <c r="D1333" t="s">
        <v>3</v>
      </c>
      <c r="F1333" t="str">
        <f>VLOOKUP(Tabel1[[#This Row],[categorie]],Lijst!A:C,3,FALSE)</f>
        <v>Uitgave</v>
      </c>
      <c r="G1333">
        <f t="shared" si="64"/>
        <v>-1.85</v>
      </c>
      <c r="H1333" t="str">
        <f>VLOOKUP(Tabel1[[#This Row],[categorie]],Lijst!A:B,2,FALSE)</f>
        <v>Vast</v>
      </c>
      <c r="I1333" t="str">
        <f t="shared" si="65"/>
        <v>OK</v>
      </c>
    </row>
    <row r="1334" spans="1:9" hidden="1" x14ac:dyDescent="0.3">
      <c r="A1334" s="2">
        <v>45840</v>
      </c>
      <c r="B1334" t="str">
        <f t="shared" si="63"/>
        <v xml:space="preserve">juli </v>
      </c>
      <c r="C1334">
        <v>-11.23</v>
      </c>
      <c r="D1334" t="s">
        <v>13</v>
      </c>
      <c r="F1334" t="str">
        <f>VLOOKUP(Tabel1[[#This Row],[categorie]],Lijst!A:C,3,FALSE)</f>
        <v>Uitgave</v>
      </c>
      <c r="G1334">
        <f t="shared" si="64"/>
        <v>-11.23</v>
      </c>
      <c r="H1334" t="str">
        <f>VLOOKUP(Tabel1[[#This Row],[categorie]],Lijst!A:B,2,FALSE)</f>
        <v>Vast</v>
      </c>
      <c r="I1334" t="str">
        <f t="shared" si="65"/>
        <v>OK</v>
      </c>
    </row>
    <row r="1335" spans="1:9" hidden="1" x14ac:dyDescent="0.3">
      <c r="A1335" s="2">
        <v>45840</v>
      </c>
      <c r="B1335" t="str">
        <f t="shared" si="63"/>
        <v xml:space="preserve">juli </v>
      </c>
      <c r="C1335">
        <v>-5</v>
      </c>
      <c r="D1335" t="s">
        <v>13</v>
      </c>
      <c r="F1335" t="str">
        <f>VLOOKUP(Tabel1[[#This Row],[categorie]],Lijst!A:C,3,FALSE)</f>
        <v>Uitgave</v>
      </c>
      <c r="G1335">
        <f t="shared" si="64"/>
        <v>-5</v>
      </c>
      <c r="H1335" t="str">
        <f>VLOOKUP(Tabel1[[#This Row],[categorie]],Lijst!A:B,2,FALSE)</f>
        <v>Vast</v>
      </c>
      <c r="I1335" t="str">
        <f t="shared" si="65"/>
        <v>OK</v>
      </c>
    </row>
    <row r="1336" spans="1:9" hidden="1" x14ac:dyDescent="0.3">
      <c r="A1336" s="2">
        <v>45840</v>
      </c>
      <c r="B1336" t="str">
        <f t="shared" si="63"/>
        <v xml:space="preserve">juli </v>
      </c>
      <c r="C1336">
        <v>-123</v>
      </c>
      <c r="D1336" t="s">
        <v>11</v>
      </c>
      <c r="F1336" t="s">
        <v>18</v>
      </c>
      <c r="G1336">
        <f t="shared" si="64"/>
        <v>-123</v>
      </c>
      <c r="H1336" t="str">
        <f>VLOOKUP(Tabel1[[#This Row],[categorie]],Lijst!A:B,2,FALSE)</f>
        <v>Vast</v>
      </c>
      <c r="I1336" t="str">
        <f t="shared" si="65"/>
        <v>OK</v>
      </c>
    </row>
    <row r="1337" spans="1:9" hidden="1" x14ac:dyDescent="0.3">
      <c r="A1337" s="2">
        <v>45841</v>
      </c>
      <c r="B1337" t="str">
        <f t="shared" si="63"/>
        <v xml:space="preserve">juli </v>
      </c>
      <c r="C1337">
        <v>-17.95</v>
      </c>
      <c r="D1337" t="s">
        <v>3</v>
      </c>
      <c r="F1337" t="str">
        <f>VLOOKUP(Tabel1[[#This Row],[categorie]],Lijst!A:C,3,FALSE)</f>
        <v>Uitgave</v>
      </c>
      <c r="G1337">
        <f t="shared" si="64"/>
        <v>-17.95</v>
      </c>
      <c r="H1337" t="str">
        <f>VLOOKUP(Tabel1[[#This Row],[categorie]],Lijst!A:B,2,FALSE)</f>
        <v>Vast</v>
      </c>
      <c r="I1337" t="str">
        <f t="shared" si="65"/>
        <v>OK</v>
      </c>
    </row>
    <row r="1338" spans="1:9" hidden="1" x14ac:dyDescent="0.3">
      <c r="A1338" s="2">
        <v>45841</v>
      </c>
      <c r="B1338" t="str">
        <f t="shared" si="63"/>
        <v xml:space="preserve">juli </v>
      </c>
      <c r="C1338">
        <v>-1.9</v>
      </c>
      <c r="D1338" t="s">
        <v>35</v>
      </c>
      <c r="F1338" t="str">
        <f>VLOOKUP(Tabel1[[#This Row],[categorie]],Lijst!A:C,3,FALSE)</f>
        <v>Uitgave</v>
      </c>
      <c r="G1338">
        <f t="shared" si="64"/>
        <v>-1.9</v>
      </c>
      <c r="H1338" t="str">
        <f>VLOOKUP(Tabel1[[#This Row],[categorie]],Lijst!A:B,2,FALSE)</f>
        <v>Variabel</v>
      </c>
      <c r="I1338" t="str">
        <f t="shared" si="65"/>
        <v>OK</v>
      </c>
    </row>
    <row r="1339" spans="1:9" hidden="1" x14ac:dyDescent="0.3">
      <c r="A1339" s="2">
        <v>45841</v>
      </c>
      <c r="B1339" t="str">
        <f t="shared" si="63"/>
        <v xml:space="preserve">juli </v>
      </c>
      <c r="C1339">
        <v>-25</v>
      </c>
      <c r="D1339" t="s">
        <v>43</v>
      </c>
      <c r="F1339" t="str">
        <f>VLOOKUP(Tabel1[[#This Row],[categorie]],Lijst!A:C,3,FALSE)</f>
        <v>Uitgave</v>
      </c>
      <c r="G1339">
        <f t="shared" si="64"/>
        <v>-25</v>
      </c>
      <c r="H1339" t="str">
        <f>VLOOKUP(Tabel1[[#This Row],[categorie]],Lijst!A:B,2,FALSE)</f>
        <v>Vast</v>
      </c>
      <c r="I1339" t="str">
        <f t="shared" si="65"/>
        <v>OK</v>
      </c>
    </row>
    <row r="1340" spans="1:9" hidden="1" x14ac:dyDescent="0.3">
      <c r="A1340" s="2">
        <v>45841</v>
      </c>
      <c r="B1340" t="str">
        <f t="shared" si="63"/>
        <v xml:space="preserve">juli </v>
      </c>
      <c r="C1340">
        <v>-26.7</v>
      </c>
      <c r="D1340" t="s">
        <v>35</v>
      </c>
      <c r="E1340" t="s">
        <v>66</v>
      </c>
      <c r="F1340" t="str">
        <f>VLOOKUP(Tabel1[[#This Row],[categorie]],Lijst!A:C,3,FALSE)</f>
        <v>Uitgave</v>
      </c>
      <c r="G1340">
        <f t="shared" si="64"/>
        <v>-26.7</v>
      </c>
      <c r="H1340" t="str">
        <f>VLOOKUP(Tabel1[[#This Row],[categorie]],Lijst!A:B,2,FALSE)</f>
        <v>Variabel</v>
      </c>
      <c r="I1340" t="str">
        <f t="shared" si="65"/>
        <v>OK</v>
      </c>
    </row>
    <row r="1341" spans="1:9" hidden="1" x14ac:dyDescent="0.3">
      <c r="A1341" s="2">
        <v>45841</v>
      </c>
      <c r="B1341" t="str">
        <f t="shared" si="63"/>
        <v xml:space="preserve">juli </v>
      </c>
      <c r="C1341">
        <v>-12</v>
      </c>
      <c r="D1341" t="s">
        <v>71</v>
      </c>
      <c r="F1341" t="str">
        <f>VLOOKUP(Tabel1[[#This Row],[categorie]],Lijst!A:C,3,FALSE)</f>
        <v>Uitgave</v>
      </c>
      <c r="G1341">
        <f t="shared" si="64"/>
        <v>-12</v>
      </c>
      <c r="H1341" t="str">
        <f>VLOOKUP(Tabel1[[#This Row],[categorie]],Lijst!A:B,2,FALSE)</f>
        <v>Variabel</v>
      </c>
      <c r="I1341" t="str">
        <f t="shared" si="65"/>
        <v>OK</v>
      </c>
    </row>
    <row r="1342" spans="1:9" hidden="1" x14ac:dyDescent="0.3">
      <c r="A1342" s="2">
        <v>45841</v>
      </c>
      <c r="B1342" t="str">
        <f t="shared" si="63"/>
        <v xml:space="preserve">juli </v>
      </c>
      <c r="C1342">
        <v>-20.71</v>
      </c>
      <c r="D1342" t="s">
        <v>38</v>
      </c>
      <c r="F1342" t="s">
        <v>18</v>
      </c>
      <c r="G1342">
        <f t="shared" si="64"/>
        <v>-20.71</v>
      </c>
      <c r="H1342" t="str">
        <f>VLOOKUP(Tabel1[[#This Row],[categorie]],Lijst!A:B,2,FALSE)</f>
        <v>Vast</v>
      </c>
      <c r="I1342" t="str">
        <f t="shared" si="65"/>
        <v>OK</v>
      </c>
    </row>
    <row r="1343" spans="1:9" hidden="1" x14ac:dyDescent="0.3">
      <c r="A1343" s="2">
        <v>45842</v>
      </c>
      <c r="B1343" t="str">
        <f t="shared" si="63"/>
        <v xml:space="preserve">juli </v>
      </c>
      <c r="C1343">
        <v>-8.64</v>
      </c>
      <c r="D1343" t="s">
        <v>3</v>
      </c>
      <c r="F1343" t="str">
        <f>VLOOKUP(Tabel1[[#This Row],[categorie]],Lijst!A:C,3,FALSE)</f>
        <v>Uitgave</v>
      </c>
      <c r="G1343">
        <f t="shared" si="64"/>
        <v>-8.64</v>
      </c>
      <c r="H1343" t="str">
        <f>VLOOKUP(Tabel1[[#This Row],[categorie]],Lijst!A:B,2,FALSE)</f>
        <v>Vast</v>
      </c>
      <c r="I1343" t="str">
        <f t="shared" si="65"/>
        <v>OK</v>
      </c>
    </row>
    <row r="1344" spans="1:9" hidden="1" x14ac:dyDescent="0.3">
      <c r="A1344" s="2">
        <v>45842</v>
      </c>
      <c r="B1344" t="str">
        <f t="shared" si="63"/>
        <v xml:space="preserve">juli </v>
      </c>
      <c r="C1344">
        <v>-7.64</v>
      </c>
      <c r="D1344" t="s">
        <v>3</v>
      </c>
      <c r="F1344" t="str">
        <f>VLOOKUP(Tabel1[[#This Row],[categorie]],Lijst!A:C,3,FALSE)</f>
        <v>Uitgave</v>
      </c>
      <c r="G1344">
        <f t="shared" si="64"/>
        <v>-7.64</v>
      </c>
      <c r="H1344" t="str">
        <f>VLOOKUP(Tabel1[[#This Row],[categorie]],Lijst!A:B,2,FALSE)</f>
        <v>Vast</v>
      </c>
      <c r="I1344" t="str">
        <f t="shared" si="65"/>
        <v>OK</v>
      </c>
    </row>
    <row r="1345" spans="1:9" hidden="1" x14ac:dyDescent="0.3">
      <c r="A1345" s="2">
        <v>45842</v>
      </c>
      <c r="B1345" t="str">
        <f t="shared" si="63"/>
        <v xml:space="preserve">juli </v>
      </c>
      <c r="C1345">
        <v>-16.13</v>
      </c>
      <c r="D1345" t="s">
        <v>3</v>
      </c>
      <c r="F1345" t="str">
        <f>VLOOKUP(Tabel1[[#This Row],[categorie]],Lijst!A:C,3,FALSE)</f>
        <v>Uitgave</v>
      </c>
      <c r="G1345">
        <f t="shared" si="64"/>
        <v>-16.13</v>
      </c>
      <c r="H1345" t="str">
        <f>VLOOKUP(Tabel1[[#This Row],[categorie]],Lijst!A:B,2,FALSE)</f>
        <v>Vast</v>
      </c>
      <c r="I1345" t="str">
        <f t="shared" si="65"/>
        <v>OK</v>
      </c>
    </row>
    <row r="1346" spans="1:9" hidden="1" x14ac:dyDescent="0.3">
      <c r="A1346" s="2">
        <v>45842</v>
      </c>
      <c r="B1346" t="str">
        <f t="shared" si="63"/>
        <v xml:space="preserve">juli </v>
      </c>
      <c r="C1346">
        <v>-20.74</v>
      </c>
      <c r="D1346" t="s">
        <v>3</v>
      </c>
      <c r="F1346" t="str">
        <f>VLOOKUP(Tabel1[[#This Row],[categorie]],Lijst!A:C,3,FALSE)</f>
        <v>Uitgave</v>
      </c>
      <c r="G1346">
        <f t="shared" si="64"/>
        <v>-20.74</v>
      </c>
      <c r="H1346" t="str">
        <f>VLOOKUP(Tabel1[[#This Row],[categorie]],Lijst!A:B,2,FALSE)</f>
        <v>Vast</v>
      </c>
      <c r="I1346" t="str">
        <f t="shared" si="65"/>
        <v>OK</v>
      </c>
    </row>
    <row r="1347" spans="1:9" hidden="1" x14ac:dyDescent="0.3">
      <c r="A1347" s="2">
        <v>45842</v>
      </c>
      <c r="B1347" t="str">
        <f t="shared" si="63"/>
        <v xml:space="preserve">juli </v>
      </c>
      <c r="C1347">
        <v>-29.61</v>
      </c>
      <c r="D1347" t="s">
        <v>3</v>
      </c>
      <c r="F1347" t="str">
        <f>VLOOKUP(Tabel1[[#This Row],[categorie]],Lijst!A:C,3,FALSE)</f>
        <v>Uitgave</v>
      </c>
      <c r="G1347">
        <f t="shared" si="64"/>
        <v>-29.61</v>
      </c>
      <c r="H1347" t="str">
        <f>VLOOKUP(Tabel1[[#This Row],[categorie]],Lijst!A:B,2,FALSE)</f>
        <v>Vast</v>
      </c>
      <c r="I1347" t="str">
        <f t="shared" si="65"/>
        <v>OK</v>
      </c>
    </row>
    <row r="1348" spans="1:9" hidden="1" x14ac:dyDescent="0.3">
      <c r="A1348" s="2">
        <v>45842</v>
      </c>
      <c r="B1348" t="str">
        <f t="shared" si="63"/>
        <v xml:space="preserve">juli </v>
      </c>
      <c r="C1348">
        <v>-8.57</v>
      </c>
      <c r="D1348" t="s">
        <v>62</v>
      </c>
      <c r="F1348" t="str">
        <f>VLOOKUP(Tabel1[[#This Row],[categorie]],Lijst!A:C,3,FALSE)</f>
        <v>Uitgave</v>
      </c>
      <c r="G1348">
        <f t="shared" si="64"/>
        <v>-8.57</v>
      </c>
      <c r="H1348" t="str">
        <f>VLOOKUP(Tabel1[[#This Row],[categorie]],Lijst!A:B,2,FALSE)</f>
        <v>Variabel</v>
      </c>
      <c r="I1348" t="str">
        <f t="shared" si="65"/>
        <v>OK</v>
      </c>
    </row>
    <row r="1349" spans="1:9" hidden="1" x14ac:dyDescent="0.3">
      <c r="A1349" s="2">
        <v>45842</v>
      </c>
      <c r="B1349" t="str">
        <f t="shared" si="63"/>
        <v xml:space="preserve">juli </v>
      </c>
      <c r="C1349">
        <v>-14.5</v>
      </c>
      <c r="D1349" t="s">
        <v>35</v>
      </c>
      <c r="F1349" t="str">
        <f>VLOOKUP(Tabel1[[#This Row],[categorie]],Lijst!A:C,3,FALSE)</f>
        <v>Uitgave</v>
      </c>
      <c r="G1349">
        <f t="shared" si="64"/>
        <v>-14.5</v>
      </c>
      <c r="H1349" t="str">
        <f>VLOOKUP(Tabel1[[#This Row],[categorie]],Lijst!A:B,2,FALSE)</f>
        <v>Variabel</v>
      </c>
      <c r="I1349" t="str">
        <f t="shared" si="65"/>
        <v>OK</v>
      </c>
    </row>
    <row r="1350" spans="1:9" hidden="1" x14ac:dyDescent="0.3">
      <c r="A1350" s="2">
        <v>45842</v>
      </c>
      <c r="B1350" t="str">
        <f t="shared" si="63"/>
        <v xml:space="preserve">juli </v>
      </c>
      <c r="C1350">
        <v>-14</v>
      </c>
      <c r="D1350" t="s">
        <v>30</v>
      </c>
      <c r="F1350" t="str">
        <f>VLOOKUP(Tabel1[[#This Row],[categorie]],Lijst!A:C,3,FALSE)</f>
        <v>Uitgave</v>
      </c>
      <c r="G1350">
        <f t="shared" si="64"/>
        <v>-14</v>
      </c>
      <c r="H1350" t="str">
        <f>VLOOKUP(Tabel1[[#This Row],[categorie]],Lijst!A:B,2,FALSE)</f>
        <v>Vast</v>
      </c>
      <c r="I1350" t="str">
        <f t="shared" si="65"/>
        <v>OK</v>
      </c>
    </row>
    <row r="1351" spans="1:9" hidden="1" x14ac:dyDescent="0.3">
      <c r="A1351" s="2">
        <v>45842</v>
      </c>
      <c r="B1351" t="str">
        <f t="shared" si="63"/>
        <v xml:space="preserve">juli </v>
      </c>
      <c r="C1351">
        <v>-7.92</v>
      </c>
      <c r="D1351" t="s">
        <v>13</v>
      </c>
      <c r="F1351" t="str">
        <f>VLOOKUP(Tabel1[[#This Row],[categorie]],Lijst!A:C,3,FALSE)</f>
        <v>Uitgave</v>
      </c>
      <c r="G1351">
        <f t="shared" si="64"/>
        <v>-7.92</v>
      </c>
      <c r="H1351" t="str">
        <f>VLOOKUP(Tabel1[[#This Row],[categorie]],Lijst!A:B,2,FALSE)</f>
        <v>Vast</v>
      </c>
      <c r="I1351" t="str">
        <f t="shared" si="65"/>
        <v>OK</v>
      </c>
    </row>
    <row r="1352" spans="1:9" hidden="1" x14ac:dyDescent="0.3">
      <c r="A1352" s="2">
        <v>45843</v>
      </c>
      <c r="B1352" t="str">
        <f t="shared" si="63"/>
        <v xml:space="preserve">juli </v>
      </c>
      <c r="C1352">
        <v>-23.49</v>
      </c>
      <c r="D1352" t="s">
        <v>3</v>
      </c>
      <c r="F1352" t="str">
        <f>VLOOKUP(Tabel1[[#This Row],[categorie]],Lijst!A:C,3,FALSE)</f>
        <v>Uitgave</v>
      </c>
      <c r="G1352">
        <f t="shared" si="64"/>
        <v>-23.49</v>
      </c>
      <c r="H1352" t="str">
        <f>VLOOKUP(Tabel1[[#This Row],[categorie]],Lijst!A:B,2,FALSE)</f>
        <v>Vast</v>
      </c>
      <c r="I1352" t="str">
        <f t="shared" si="65"/>
        <v>OK</v>
      </c>
    </row>
    <row r="1353" spans="1:9" hidden="1" x14ac:dyDescent="0.3">
      <c r="A1353" s="2">
        <v>45843</v>
      </c>
      <c r="B1353" t="str">
        <f t="shared" si="63"/>
        <v xml:space="preserve">juli </v>
      </c>
      <c r="C1353">
        <v>-5.49</v>
      </c>
      <c r="D1353" t="s">
        <v>3</v>
      </c>
      <c r="F1353" t="str">
        <f>VLOOKUP(Tabel1[[#This Row],[categorie]],Lijst!A:C,3,FALSE)</f>
        <v>Uitgave</v>
      </c>
      <c r="G1353">
        <f t="shared" si="64"/>
        <v>-5.49</v>
      </c>
      <c r="H1353" t="str">
        <f>VLOOKUP(Tabel1[[#This Row],[categorie]],Lijst!A:B,2,FALSE)</f>
        <v>Vast</v>
      </c>
      <c r="I1353" t="str">
        <f t="shared" si="65"/>
        <v>OK</v>
      </c>
    </row>
    <row r="1354" spans="1:9" hidden="1" x14ac:dyDescent="0.3">
      <c r="A1354" s="2">
        <v>45843</v>
      </c>
      <c r="B1354" t="str">
        <f t="shared" si="63"/>
        <v xml:space="preserve">juli </v>
      </c>
      <c r="C1354">
        <v>-22.93</v>
      </c>
      <c r="D1354" t="s">
        <v>3</v>
      </c>
      <c r="F1354" t="str">
        <f>VLOOKUP(Tabel1[[#This Row],[categorie]],Lijst!A:C,3,FALSE)</f>
        <v>Uitgave</v>
      </c>
      <c r="G1354">
        <f t="shared" si="64"/>
        <v>-22.93</v>
      </c>
      <c r="H1354" t="str">
        <f>VLOOKUP(Tabel1[[#This Row],[categorie]],Lijst!A:B,2,FALSE)</f>
        <v>Vast</v>
      </c>
      <c r="I1354" t="str">
        <f t="shared" si="65"/>
        <v>OK</v>
      </c>
    </row>
    <row r="1355" spans="1:9" hidden="1" x14ac:dyDescent="0.3">
      <c r="A1355" s="2">
        <v>45843</v>
      </c>
      <c r="B1355" t="str">
        <f t="shared" si="63"/>
        <v xml:space="preserve">juli </v>
      </c>
      <c r="C1355">
        <v>-25</v>
      </c>
      <c r="D1355" t="s">
        <v>69</v>
      </c>
      <c r="F1355" t="s">
        <v>18</v>
      </c>
      <c r="G1355">
        <f t="shared" si="64"/>
        <v>-25</v>
      </c>
      <c r="H1355" t="str">
        <f>VLOOKUP(Tabel1[[#This Row],[categorie]],Lijst!A:B,2,FALSE)</f>
        <v>Variabel</v>
      </c>
      <c r="I1355" t="str">
        <f t="shared" si="65"/>
        <v>OK</v>
      </c>
    </row>
    <row r="1356" spans="1:9" hidden="1" x14ac:dyDescent="0.3">
      <c r="A1356" s="2">
        <v>45844</v>
      </c>
      <c r="B1356" t="str">
        <f t="shared" si="63"/>
        <v xml:space="preserve">juli </v>
      </c>
      <c r="C1356">
        <v>-5.83</v>
      </c>
      <c r="D1356" t="s">
        <v>3</v>
      </c>
      <c r="F1356" t="str">
        <f>VLOOKUP(Tabel1[[#This Row],[categorie]],Lijst!A:C,3,FALSE)</f>
        <v>Uitgave</v>
      </c>
      <c r="G1356">
        <f t="shared" si="64"/>
        <v>-5.83</v>
      </c>
      <c r="H1356" t="str">
        <f>VLOOKUP(Tabel1[[#This Row],[categorie]],Lijst!A:B,2,FALSE)</f>
        <v>Vast</v>
      </c>
      <c r="I1356" t="str">
        <f t="shared" si="65"/>
        <v>OK</v>
      </c>
    </row>
    <row r="1357" spans="1:9" hidden="1" x14ac:dyDescent="0.3">
      <c r="A1357" s="2">
        <v>45844</v>
      </c>
      <c r="B1357" t="str">
        <f t="shared" si="63"/>
        <v xml:space="preserve">juli </v>
      </c>
      <c r="C1357">
        <v>-125.81</v>
      </c>
      <c r="D1357" t="s">
        <v>24</v>
      </c>
      <c r="F1357" t="str">
        <f>VLOOKUP(Tabel1[[#This Row],[categorie]],Lijst!A:C,3,FALSE)</f>
        <v>Uitgave</v>
      </c>
      <c r="G1357">
        <f t="shared" si="64"/>
        <v>-125.81</v>
      </c>
      <c r="H1357" t="str">
        <f>VLOOKUP(Tabel1[[#This Row],[categorie]],Lijst!A:B,2,FALSE)</f>
        <v>Vast</v>
      </c>
      <c r="I1357" t="str">
        <f t="shared" si="65"/>
        <v>OK</v>
      </c>
    </row>
    <row r="1358" spans="1:9" hidden="1" x14ac:dyDescent="0.3">
      <c r="A1358" s="2">
        <v>45845</v>
      </c>
      <c r="B1358" t="str">
        <f t="shared" si="63"/>
        <v xml:space="preserve">juli </v>
      </c>
      <c r="C1358">
        <v>-15.6</v>
      </c>
      <c r="D1358" t="s">
        <v>9</v>
      </c>
      <c r="F1358" t="s">
        <v>18</v>
      </c>
      <c r="G1358">
        <f t="shared" si="64"/>
        <v>-15.6</v>
      </c>
      <c r="H1358" t="str">
        <f>VLOOKUP(Tabel1[[#This Row],[categorie]],Lijst!A:B,2,FALSE)</f>
        <v>Variabel</v>
      </c>
      <c r="I1358" t="str">
        <f t="shared" si="65"/>
        <v>OK</v>
      </c>
    </row>
    <row r="1359" spans="1:9" hidden="1" x14ac:dyDescent="0.3">
      <c r="A1359" s="2">
        <v>45845</v>
      </c>
      <c r="B1359" t="str">
        <f t="shared" si="63"/>
        <v xml:space="preserve">juli </v>
      </c>
      <c r="C1359">
        <v>-11.23</v>
      </c>
      <c r="D1359" t="s">
        <v>3</v>
      </c>
      <c r="F1359" t="str">
        <f>VLOOKUP(Tabel1[[#This Row],[categorie]],Lijst!A:C,3,FALSE)</f>
        <v>Uitgave</v>
      </c>
      <c r="G1359">
        <f t="shared" si="64"/>
        <v>-11.23</v>
      </c>
      <c r="H1359" t="str">
        <f>VLOOKUP(Tabel1[[#This Row],[categorie]],Lijst!A:B,2,FALSE)</f>
        <v>Vast</v>
      </c>
      <c r="I1359" t="str">
        <f t="shared" si="65"/>
        <v>OK</v>
      </c>
    </row>
    <row r="1360" spans="1:9" hidden="1" x14ac:dyDescent="0.3">
      <c r="A1360" s="2">
        <v>45845</v>
      </c>
      <c r="B1360" t="str">
        <f t="shared" si="63"/>
        <v xml:space="preserve">juli </v>
      </c>
      <c r="C1360">
        <v>-37.200000000000003</v>
      </c>
      <c r="D1360" t="s">
        <v>68</v>
      </c>
      <c r="F1360" t="str">
        <f>VLOOKUP(Tabel1[[#This Row],[categorie]],Lijst!A:C,3,FALSE)</f>
        <v>Uitgave</v>
      </c>
      <c r="G1360">
        <f t="shared" si="64"/>
        <v>-37.200000000000003</v>
      </c>
      <c r="H1360" t="str">
        <f>VLOOKUP(Tabel1[[#This Row],[categorie]],Lijst!A:B,2,FALSE)</f>
        <v>Variabel</v>
      </c>
      <c r="I1360" t="str">
        <f t="shared" si="65"/>
        <v>OK</v>
      </c>
    </row>
    <row r="1361" spans="1:9" hidden="1" x14ac:dyDescent="0.3">
      <c r="A1361" s="2">
        <v>45845</v>
      </c>
      <c r="B1361" t="str">
        <f t="shared" si="63"/>
        <v xml:space="preserve">juli </v>
      </c>
      <c r="C1361">
        <v>-2.5</v>
      </c>
      <c r="D1361" t="s">
        <v>22</v>
      </c>
      <c r="F1361" t="str">
        <f>VLOOKUP(Tabel1[[#This Row],[categorie]],Lijst!A:C,3,FALSE)</f>
        <v>Uitgave</v>
      </c>
      <c r="G1361">
        <f t="shared" si="64"/>
        <v>-2.5</v>
      </c>
      <c r="H1361" t="str">
        <f>VLOOKUP(Tabel1[[#This Row],[categorie]],Lijst!A:B,2,FALSE)</f>
        <v>Variabel</v>
      </c>
      <c r="I1361" t="str">
        <f t="shared" si="65"/>
        <v>OK</v>
      </c>
    </row>
    <row r="1362" spans="1:9" hidden="1" x14ac:dyDescent="0.3">
      <c r="A1362" s="2">
        <v>45845</v>
      </c>
      <c r="B1362" t="str">
        <f t="shared" si="63"/>
        <v xml:space="preserve">juli </v>
      </c>
      <c r="C1362">
        <v>-12.46</v>
      </c>
      <c r="D1362" t="s">
        <v>3</v>
      </c>
      <c r="F1362" t="str">
        <f>VLOOKUP(Tabel1[[#This Row],[categorie]],Lijst!A:C,3,FALSE)</f>
        <v>Uitgave</v>
      </c>
      <c r="G1362">
        <f t="shared" si="64"/>
        <v>-12.46</v>
      </c>
      <c r="H1362" t="str">
        <f>VLOOKUP(Tabel1[[#This Row],[categorie]],Lijst!A:B,2,FALSE)</f>
        <v>Vast</v>
      </c>
      <c r="I1362" t="str">
        <f t="shared" si="65"/>
        <v>OK</v>
      </c>
    </row>
    <row r="1363" spans="1:9" hidden="1" x14ac:dyDescent="0.3">
      <c r="A1363" s="2">
        <v>45845</v>
      </c>
      <c r="B1363" t="str">
        <f t="shared" si="63"/>
        <v xml:space="preserve">juli </v>
      </c>
      <c r="C1363">
        <v>-101</v>
      </c>
      <c r="D1363" t="s">
        <v>75</v>
      </c>
      <c r="F1363" t="s">
        <v>18</v>
      </c>
      <c r="G1363">
        <f t="shared" si="64"/>
        <v>-101</v>
      </c>
      <c r="H1363" t="str">
        <f>VLOOKUP(Tabel1[[#This Row],[categorie]],Lijst!A:B,2,FALSE)</f>
        <v>Variabel</v>
      </c>
      <c r="I1363" t="str">
        <f t="shared" si="65"/>
        <v>OK</v>
      </c>
    </row>
    <row r="1364" spans="1:9" hidden="1" x14ac:dyDescent="0.3">
      <c r="A1364" s="2">
        <v>45845</v>
      </c>
      <c r="B1364" t="str">
        <f t="shared" si="63"/>
        <v xml:space="preserve">juli </v>
      </c>
      <c r="C1364">
        <v>-4.68</v>
      </c>
      <c r="D1364" t="s">
        <v>3</v>
      </c>
      <c r="F1364" t="str">
        <f>VLOOKUP(Tabel1[[#This Row],[categorie]],Lijst!A:C,3,FALSE)</f>
        <v>Uitgave</v>
      </c>
      <c r="G1364">
        <f t="shared" si="64"/>
        <v>-4.68</v>
      </c>
      <c r="H1364" t="str">
        <f>VLOOKUP(Tabel1[[#This Row],[categorie]],Lijst!A:B,2,FALSE)</f>
        <v>Vast</v>
      </c>
      <c r="I1364" t="str">
        <f t="shared" si="65"/>
        <v>OK</v>
      </c>
    </row>
    <row r="1365" spans="1:9" hidden="1" x14ac:dyDescent="0.3">
      <c r="A1365" s="2">
        <v>45845</v>
      </c>
      <c r="B1365" t="str">
        <f t="shared" si="63"/>
        <v xml:space="preserve">juli </v>
      </c>
      <c r="C1365">
        <v>-0.1</v>
      </c>
      <c r="D1365" t="s">
        <v>22</v>
      </c>
      <c r="F1365" t="str">
        <f>VLOOKUP(Tabel1[[#This Row],[categorie]],Lijst!A:C,3,FALSE)</f>
        <v>Uitgave</v>
      </c>
      <c r="G1365">
        <f t="shared" si="64"/>
        <v>-0.1</v>
      </c>
      <c r="H1365" t="str">
        <f>VLOOKUP(Tabel1[[#This Row],[categorie]],Lijst!A:B,2,FALSE)</f>
        <v>Variabel</v>
      </c>
      <c r="I1365" t="str">
        <f t="shared" si="65"/>
        <v>OK</v>
      </c>
    </row>
    <row r="1366" spans="1:9" hidden="1" x14ac:dyDescent="0.3">
      <c r="A1366" s="2">
        <v>45845</v>
      </c>
      <c r="B1366" t="str">
        <f t="shared" si="63"/>
        <v xml:space="preserve">juli </v>
      </c>
      <c r="C1366">
        <v>-810.65</v>
      </c>
      <c r="D1366" t="s">
        <v>10</v>
      </c>
      <c r="F1366" t="str">
        <f>VLOOKUP(Tabel1[[#This Row],[categorie]],Lijst!A:C,3,FALSE)</f>
        <v>Uitgave</v>
      </c>
      <c r="G1366">
        <f t="shared" si="64"/>
        <v>-810.65</v>
      </c>
      <c r="H1366" t="str">
        <f>VLOOKUP(Tabel1[[#This Row],[categorie]],Lijst!A:B,2,FALSE)</f>
        <v>Vast</v>
      </c>
      <c r="I1366" t="str">
        <f t="shared" si="65"/>
        <v>OK</v>
      </c>
    </row>
    <row r="1367" spans="1:9" hidden="1" x14ac:dyDescent="0.3">
      <c r="A1367" s="2">
        <v>45845</v>
      </c>
      <c r="B1367" t="str">
        <f t="shared" si="63"/>
        <v xml:space="preserve">juli </v>
      </c>
      <c r="C1367">
        <v>-35.770000000000003</v>
      </c>
      <c r="D1367" t="s">
        <v>13</v>
      </c>
      <c r="F1367" t="str">
        <f>VLOOKUP(Tabel1[[#This Row],[categorie]],Lijst!A:C,3,FALSE)</f>
        <v>Uitgave</v>
      </c>
      <c r="G1367">
        <f t="shared" si="64"/>
        <v>-35.770000000000003</v>
      </c>
      <c r="H1367" t="str">
        <f>VLOOKUP(Tabel1[[#This Row],[categorie]],Lijst!A:B,2,FALSE)</f>
        <v>Vast</v>
      </c>
      <c r="I1367" t="str">
        <f t="shared" si="65"/>
        <v>OK</v>
      </c>
    </row>
    <row r="1368" spans="1:9" hidden="1" x14ac:dyDescent="0.3">
      <c r="A1368" s="2">
        <v>45846</v>
      </c>
      <c r="B1368" t="str">
        <f t="shared" si="63"/>
        <v xml:space="preserve">juli </v>
      </c>
      <c r="C1368">
        <v>-1.1200000000000001</v>
      </c>
      <c r="D1368" t="s">
        <v>3</v>
      </c>
      <c r="F1368" t="str">
        <f>VLOOKUP(Tabel1[[#This Row],[categorie]],Lijst!A:C,3,FALSE)</f>
        <v>Uitgave</v>
      </c>
      <c r="G1368">
        <f t="shared" si="64"/>
        <v>-1.1200000000000001</v>
      </c>
      <c r="H1368" t="str">
        <f>VLOOKUP(Tabel1[[#This Row],[categorie]],Lijst!A:B,2,FALSE)</f>
        <v>Vast</v>
      </c>
      <c r="I1368" t="str">
        <f t="shared" si="65"/>
        <v>OK</v>
      </c>
    </row>
    <row r="1369" spans="1:9" hidden="1" x14ac:dyDescent="0.3">
      <c r="A1369" s="2">
        <v>45846</v>
      </c>
      <c r="B1369" t="str">
        <f t="shared" si="63"/>
        <v xml:space="preserve">juli </v>
      </c>
      <c r="C1369">
        <v>22.5</v>
      </c>
      <c r="D1369" t="s">
        <v>82</v>
      </c>
      <c r="F1369" t="s">
        <v>17</v>
      </c>
      <c r="G1369">
        <f t="shared" si="64"/>
        <v>22.5</v>
      </c>
      <c r="H1369" t="str">
        <f>VLOOKUP(Tabel1[[#This Row],[categorie]],Lijst!A:B,2,FALSE)</f>
        <v>Vast</v>
      </c>
      <c r="I1369" t="str">
        <f t="shared" si="65"/>
        <v>OK</v>
      </c>
    </row>
    <row r="1370" spans="1:9" hidden="1" x14ac:dyDescent="0.3">
      <c r="A1370" s="2">
        <v>45846</v>
      </c>
      <c r="B1370" t="str">
        <f t="shared" si="63"/>
        <v xml:space="preserve">juli </v>
      </c>
      <c r="C1370">
        <v>-24</v>
      </c>
      <c r="D1370" t="s">
        <v>82</v>
      </c>
      <c r="F1370" t="s">
        <v>18</v>
      </c>
      <c r="G1370">
        <f t="shared" si="64"/>
        <v>-24</v>
      </c>
      <c r="H1370" t="str">
        <f>VLOOKUP(Tabel1[[#This Row],[categorie]],Lijst!A:B,2,FALSE)</f>
        <v>Vast</v>
      </c>
      <c r="I1370" t="str">
        <f t="shared" si="65"/>
        <v>OK</v>
      </c>
    </row>
    <row r="1371" spans="1:9" hidden="1" x14ac:dyDescent="0.3">
      <c r="A1371" s="2">
        <v>45846</v>
      </c>
      <c r="B1371" t="str">
        <f t="shared" si="63"/>
        <v xml:space="preserve">juli </v>
      </c>
      <c r="C1371">
        <v>-317.69</v>
      </c>
      <c r="D1371" t="s">
        <v>82</v>
      </c>
      <c r="F1371" t="s">
        <v>18</v>
      </c>
      <c r="G1371">
        <f t="shared" si="64"/>
        <v>-317.69</v>
      </c>
      <c r="H1371" t="str">
        <f>VLOOKUP(Tabel1[[#This Row],[categorie]],Lijst!A:B,2,FALSE)</f>
        <v>Vast</v>
      </c>
      <c r="I1371" t="str">
        <f t="shared" si="65"/>
        <v>OK</v>
      </c>
    </row>
    <row r="1372" spans="1:9" hidden="1" x14ac:dyDescent="0.3">
      <c r="A1372" s="2">
        <v>45846</v>
      </c>
      <c r="B1372" t="str">
        <f t="shared" si="63"/>
        <v xml:space="preserve">juli </v>
      </c>
      <c r="C1372">
        <v>-25.95</v>
      </c>
      <c r="D1372" t="s">
        <v>82</v>
      </c>
      <c r="F1372" t="s">
        <v>18</v>
      </c>
      <c r="G1372">
        <f t="shared" si="64"/>
        <v>-25.95</v>
      </c>
      <c r="H1372" t="str">
        <f>VLOOKUP(Tabel1[[#This Row],[categorie]],Lijst!A:B,2,FALSE)</f>
        <v>Vast</v>
      </c>
      <c r="I1372" t="str">
        <f t="shared" si="65"/>
        <v>OK</v>
      </c>
    </row>
    <row r="1373" spans="1:9" hidden="1" x14ac:dyDescent="0.3">
      <c r="A1373" s="2">
        <v>45846</v>
      </c>
      <c r="B1373" t="str">
        <f t="shared" si="63"/>
        <v xml:space="preserve">juli </v>
      </c>
      <c r="C1373">
        <v>-25.95</v>
      </c>
      <c r="D1373" t="s">
        <v>82</v>
      </c>
      <c r="F1373" t="s">
        <v>18</v>
      </c>
      <c r="G1373">
        <f t="shared" si="64"/>
        <v>-25.95</v>
      </c>
      <c r="H1373" t="str">
        <f>VLOOKUP(Tabel1[[#This Row],[categorie]],Lijst!A:B,2,FALSE)</f>
        <v>Vast</v>
      </c>
      <c r="I1373" t="str">
        <f t="shared" si="65"/>
        <v>OK</v>
      </c>
    </row>
    <row r="1374" spans="1:9" hidden="1" x14ac:dyDescent="0.3">
      <c r="A1374" s="2">
        <v>45846</v>
      </c>
      <c r="B1374" t="str">
        <f t="shared" si="63"/>
        <v xml:space="preserve">juli </v>
      </c>
      <c r="C1374">
        <v>-12.01</v>
      </c>
      <c r="D1374" t="s">
        <v>46</v>
      </c>
      <c r="F1374" t="str">
        <f>VLOOKUP(Tabel1[[#This Row],[categorie]],Lijst!A:C,3,FALSE)</f>
        <v>Uitgave</v>
      </c>
      <c r="G1374">
        <f t="shared" si="64"/>
        <v>-12.01</v>
      </c>
      <c r="H1374" t="str">
        <f>VLOOKUP(Tabel1[[#This Row],[categorie]],Lijst!A:B,2,FALSE)</f>
        <v>Vast</v>
      </c>
      <c r="I1374" t="str">
        <f t="shared" si="65"/>
        <v>OK</v>
      </c>
    </row>
    <row r="1375" spans="1:9" hidden="1" x14ac:dyDescent="0.3">
      <c r="A1375" s="2">
        <v>45847</v>
      </c>
      <c r="B1375" t="str">
        <f t="shared" si="63"/>
        <v xml:space="preserve">juli </v>
      </c>
      <c r="C1375">
        <v>-5.97</v>
      </c>
      <c r="D1375" t="s">
        <v>3</v>
      </c>
      <c r="F1375" t="str">
        <f>VLOOKUP(Tabel1[[#This Row],[categorie]],Lijst!A:C,3,FALSE)</f>
        <v>Uitgave</v>
      </c>
      <c r="G1375">
        <f t="shared" si="64"/>
        <v>-5.97</v>
      </c>
      <c r="H1375" t="str">
        <f>VLOOKUP(Tabel1[[#This Row],[categorie]],Lijst!A:B,2,FALSE)</f>
        <v>Vast</v>
      </c>
      <c r="I1375" t="str">
        <f t="shared" si="65"/>
        <v>OK</v>
      </c>
    </row>
    <row r="1376" spans="1:9" hidden="1" x14ac:dyDescent="0.3">
      <c r="A1376" s="2">
        <v>45847</v>
      </c>
      <c r="B1376" t="str">
        <f t="shared" si="63"/>
        <v xml:space="preserve">juli </v>
      </c>
      <c r="C1376">
        <v>-18.34</v>
      </c>
      <c r="D1376" t="s">
        <v>3</v>
      </c>
      <c r="F1376" t="str">
        <f>VLOOKUP(Tabel1[[#This Row],[categorie]],Lijst!A:C,3,FALSE)</f>
        <v>Uitgave</v>
      </c>
      <c r="G1376">
        <f t="shared" si="64"/>
        <v>-18.34</v>
      </c>
      <c r="H1376" t="str">
        <f>VLOOKUP(Tabel1[[#This Row],[categorie]],Lijst!A:B,2,FALSE)</f>
        <v>Vast</v>
      </c>
      <c r="I1376" t="str">
        <f t="shared" si="65"/>
        <v>OK</v>
      </c>
    </row>
    <row r="1377" spans="1:9" hidden="1" x14ac:dyDescent="0.3">
      <c r="A1377" s="2">
        <v>45847</v>
      </c>
      <c r="B1377" t="str">
        <f t="shared" si="63"/>
        <v xml:space="preserve">juli </v>
      </c>
      <c r="C1377">
        <v>-29.94</v>
      </c>
      <c r="D1377" t="s">
        <v>3</v>
      </c>
      <c r="F1377" t="str">
        <f>VLOOKUP(Tabel1[[#This Row],[categorie]],Lijst!A:C,3,FALSE)</f>
        <v>Uitgave</v>
      </c>
      <c r="G1377">
        <f t="shared" si="64"/>
        <v>-29.94</v>
      </c>
      <c r="H1377" t="str">
        <f>VLOOKUP(Tabel1[[#This Row],[categorie]],Lijst!A:B,2,FALSE)</f>
        <v>Vast</v>
      </c>
      <c r="I1377" t="str">
        <f t="shared" si="65"/>
        <v>OK</v>
      </c>
    </row>
    <row r="1378" spans="1:9" hidden="1" x14ac:dyDescent="0.3">
      <c r="A1378" s="2">
        <v>45847</v>
      </c>
      <c r="B1378" t="str">
        <f t="shared" si="63"/>
        <v xml:space="preserve">juli </v>
      </c>
      <c r="C1378">
        <v>-11.32</v>
      </c>
      <c r="D1378" t="s">
        <v>3</v>
      </c>
      <c r="F1378" t="str">
        <f>VLOOKUP(Tabel1[[#This Row],[categorie]],Lijst!A:C,3,FALSE)</f>
        <v>Uitgave</v>
      </c>
      <c r="G1378">
        <f t="shared" si="64"/>
        <v>-11.32</v>
      </c>
      <c r="H1378" t="str">
        <f>VLOOKUP(Tabel1[[#This Row],[categorie]],Lijst!A:B,2,FALSE)</f>
        <v>Vast</v>
      </c>
      <c r="I1378" t="str">
        <f t="shared" si="65"/>
        <v>OK</v>
      </c>
    </row>
    <row r="1379" spans="1:9" hidden="1" x14ac:dyDescent="0.3">
      <c r="A1379" s="2">
        <v>45847</v>
      </c>
      <c r="B1379" t="str">
        <f t="shared" ref="B1379:B1442" si="66">TEXT(A1379,"mmmm ")</f>
        <v xml:space="preserve">juli </v>
      </c>
      <c r="C1379">
        <v>-55</v>
      </c>
      <c r="D1379" t="s">
        <v>34</v>
      </c>
      <c r="F1379" t="str">
        <f>VLOOKUP(Tabel1[[#This Row],[categorie]],Lijst!A:C,3,FALSE)</f>
        <v>Uitgave</v>
      </c>
      <c r="G1379">
        <f t="shared" ref="G1379:G1442" si="67">IF(F1379="Uitgave", -ABS(C1379), ABS(C1379))</f>
        <v>-55</v>
      </c>
      <c r="H1379" t="str">
        <f>VLOOKUP(Tabel1[[#This Row],[categorie]],Lijst!A:B,2,FALSE)</f>
        <v>Variabel</v>
      </c>
      <c r="I1379" t="str">
        <f t="shared" ref="I1379:I1442" si="68">IF(OR(AND(F1379="Uitgave", C1379&lt;0), AND(F1379="Inkomst", C1379&gt;0)), "OK", "FOUT")</f>
        <v>OK</v>
      </c>
    </row>
    <row r="1380" spans="1:9" hidden="1" x14ac:dyDescent="0.3">
      <c r="A1380" s="2">
        <v>45847</v>
      </c>
      <c r="B1380" t="str">
        <f t="shared" si="66"/>
        <v xml:space="preserve">juli </v>
      </c>
      <c r="C1380">
        <v>-2.7</v>
      </c>
      <c r="D1380" t="s">
        <v>3</v>
      </c>
      <c r="F1380" t="str">
        <f>VLOOKUP(Tabel1[[#This Row],[categorie]],Lijst!A:C,3,FALSE)</f>
        <v>Uitgave</v>
      </c>
      <c r="G1380">
        <f t="shared" si="67"/>
        <v>-2.7</v>
      </c>
      <c r="H1380" t="str">
        <f>VLOOKUP(Tabel1[[#This Row],[categorie]],Lijst!A:B,2,FALSE)</f>
        <v>Vast</v>
      </c>
      <c r="I1380" t="str">
        <f t="shared" si="68"/>
        <v>OK</v>
      </c>
    </row>
    <row r="1381" spans="1:9" hidden="1" x14ac:dyDescent="0.3">
      <c r="A1381" s="2">
        <v>45847</v>
      </c>
      <c r="B1381" t="str">
        <f t="shared" si="66"/>
        <v xml:space="preserve">juli </v>
      </c>
      <c r="C1381">
        <v>-14</v>
      </c>
      <c r="D1381" t="s">
        <v>75</v>
      </c>
      <c r="F1381" t="s">
        <v>18</v>
      </c>
      <c r="G1381">
        <f t="shared" si="67"/>
        <v>-14</v>
      </c>
      <c r="H1381" t="str">
        <f>VLOOKUP(Tabel1[[#This Row],[categorie]],Lijst!A:B,2,FALSE)</f>
        <v>Variabel</v>
      </c>
      <c r="I1381" t="str">
        <f t="shared" si="68"/>
        <v>OK</v>
      </c>
    </row>
    <row r="1382" spans="1:9" hidden="1" x14ac:dyDescent="0.3">
      <c r="A1382" s="2">
        <v>45848</v>
      </c>
      <c r="B1382" t="str">
        <f t="shared" si="66"/>
        <v xml:space="preserve">juli </v>
      </c>
      <c r="C1382">
        <v>-10.19</v>
      </c>
      <c r="D1382" t="s">
        <v>3</v>
      </c>
      <c r="F1382" t="str">
        <f>VLOOKUP(Tabel1[[#This Row],[categorie]],Lijst!A:C,3,FALSE)</f>
        <v>Uitgave</v>
      </c>
      <c r="G1382">
        <f t="shared" si="67"/>
        <v>-10.19</v>
      </c>
      <c r="H1382" t="str">
        <f>VLOOKUP(Tabel1[[#This Row],[categorie]],Lijst!A:B,2,FALSE)</f>
        <v>Vast</v>
      </c>
      <c r="I1382" t="str">
        <f t="shared" si="68"/>
        <v>OK</v>
      </c>
    </row>
    <row r="1383" spans="1:9" hidden="1" x14ac:dyDescent="0.3">
      <c r="A1383" s="2">
        <v>45848</v>
      </c>
      <c r="B1383" t="str">
        <f t="shared" si="66"/>
        <v xml:space="preserve">juli </v>
      </c>
      <c r="C1383">
        <v>-14.61</v>
      </c>
      <c r="D1383" t="s">
        <v>3</v>
      </c>
      <c r="F1383" t="str">
        <f>VLOOKUP(Tabel1[[#This Row],[categorie]],Lijst!A:C,3,FALSE)</f>
        <v>Uitgave</v>
      </c>
      <c r="G1383">
        <f t="shared" si="67"/>
        <v>-14.61</v>
      </c>
      <c r="H1383" t="str">
        <f>VLOOKUP(Tabel1[[#This Row],[categorie]],Lijst!A:B,2,FALSE)</f>
        <v>Vast</v>
      </c>
      <c r="I1383" t="str">
        <f t="shared" si="68"/>
        <v>OK</v>
      </c>
    </row>
    <row r="1384" spans="1:9" hidden="1" x14ac:dyDescent="0.3">
      <c r="A1384" s="2">
        <v>45848</v>
      </c>
      <c r="B1384" t="str">
        <f t="shared" si="66"/>
        <v xml:space="preserve">juli </v>
      </c>
      <c r="C1384">
        <v>-10</v>
      </c>
      <c r="D1384" t="s">
        <v>3</v>
      </c>
      <c r="F1384" t="str">
        <f>VLOOKUP(Tabel1[[#This Row],[categorie]],Lijst!A:C,3,FALSE)</f>
        <v>Uitgave</v>
      </c>
      <c r="G1384">
        <f t="shared" si="67"/>
        <v>-10</v>
      </c>
      <c r="H1384" t="str">
        <f>VLOOKUP(Tabel1[[#This Row],[categorie]],Lijst!A:B,2,FALSE)</f>
        <v>Vast</v>
      </c>
      <c r="I1384" t="str">
        <f t="shared" si="68"/>
        <v>OK</v>
      </c>
    </row>
    <row r="1385" spans="1:9" hidden="1" x14ac:dyDescent="0.3">
      <c r="A1385" s="2">
        <v>45848</v>
      </c>
      <c r="B1385" t="str">
        <f t="shared" si="66"/>
        <v xml:space="preserve">juli </v>
      </c>
      <c r="C1385">
        <v>-53.1</v>
      </c>
      <c r="D1385" t="s">
        <v>75</v>
      </c>
      <c r="F1385" t="s">
        <v>18</v>
      </c>
      <c r="G1385">
        <f t="shared" si="67"/>
        <v>-53.1</v>
      </c>
      <c r="H1385" t="str">
        <f>VLOOKUP(Tabel1[[#This Row],[categorie]],Lijst!A:B,2,FALSE)</f>
        <v>Variabel</v>
      </c>
      <c r="I1385" t="str">
        <f t="shared" si="68"/>
        <v>OK</v>
      </c>
    </row>
    <row r="1386" spans="1:9" hidden="1" x14ac:dyDescent="0.3">
      <c r="A1386" s="2">
        <v>45848</v>
      </c>
      <c r="B1386" t="str">
        <f t="shared" si="66"/>
        <v xml:space="preserve">juli </v>
      </c>
      <c r="C1386">
        <v>-5.13</v>
      </c>
      <c r="D1386" t="s">
        <v>3</v>
      </c>
      <c r="F1386" t="str">
        <f>VLOOKUP(Tabel1[[#This Row],[categorie]],Lijst!A:C,3,FALSE)</f>
        <v>Uitgave</v>
      </c>
      <c r="G1386">
        <f t="shared" si="67"/>
        <v>-5.13</v>
      </c>
      <c r="H1386" t="str">
        <f>VLOOKUP(Tabel1[[#This Row],[categorie]],Lijst!A:B,2,FALSE)</f>
        <v>Vast</v>
      </c>
      <c r="I1386" t="str">
        <f t="shared" si="68"/>
        <v>OK</v>
      </c>
    </row>
    <row r="1387" spans="1:9" hidden="1" x14ac:dyDescent="0.3">
      <c r="A1387" s="2">
        <v>45848</v>
      </c>
      <c r="B1387" t="str">
        <f t="shared" si="66"/>
        <v xml:space="preserve">juli </v>
      </c>
      <c r="C1387">
        <v>-8.69</v>
      </c>
      <c r="D1387" t="s">
        <v>3</v>
      </c>
      <c r="F1387" t="str">
        <f>VLOOKUP(Tabel1[[#This Row],[categorie]],Lijst!A:C,3,FALSE)</f>
        <v>Uitgave</v>
      </c>
      <c r="G1387">
        <f t="shared" si="67"/>
        <v>-8.69</v>
      </c>
      <c r="H1387" t="str">
        <f>VLOOKUP(Tabel1[[#This Row],[categorie]],Lijst!A:B,2,FALSE)</f>
        <v>Vast</v>
      </c>
      <c r="I1387" t="str">
        <f t="shared" si="68"/>
        <v>OK</v>
      </c>
    </row>
    <row r="1388" spans="1:9" hidden="1" x14ac:dyDescent="0.3">
      <c r="A1388" s="2">
        <v>45849</v>
      </c>
      <c r="B1388" t="str">
        <f t="shared" si="66"/>
        <v xml:space="preserve">juli </v>
      </c>
      <c r="C1388">
        <v>-28.46</v>
      </c>
      <c r="D1388" t="s">
        <v>3</v>
      </c>
      <c r="F1388" t="str">
        <f>VLOOKUP(Tabel1[[#This Row],[categorie]],Lijst!A:C,3,FALSE)</f>
        <v>Uitgave</v>
      </c>
      <c r="G1388">
        <f t="shared" si="67"/>
        <v>-28.46</v>
      </c>
      <c r="H1388" t="str">
        <f>VLOOKUP(Tabel1[[#This Row],[categorie]],Lijst!A:B,2,FALSE)</f>
        <v>Vast</v>
      </c>
      <c r="I1388" t="str">
        <f t="shared" si="68"/>
        <v>OK</v>
      </c>
    </row>
    <row r="1389" spans="1:9" hidden="1" x14ac:dyDescent="0.3">
      <c r="A1389" s="2">
        <v>45849</v>
      </c>
      <c r="B1389" t="str">
        <f t="shared" si="66"/>
        <v xml:space="preserve">juli </v>
      </c>
      <c r="C1389">
        <v>-19.75</v>
      </c>
      <c r="D1389" t="s">
        <v>3</v>
      </c>
      <c r="F1389" t="str">
        <f>VLOOKUP(Tabel1[[#This Row],[categorie]],Lijst!A:C,3,FALSE)</f>
        <v>Uitgave</v>
      </c>
      <c r="G1389">
        <f t="shared" si="67"/>
        <v>-19.75</v>
      </c>
      <c r="H1389" t="str">
        <f>VLOOKUP(Tabel1[[#This Row],[categorie]],Lijst!A:B,2,FALSE)</f>
        <v>Vast</v>
      </c>
      <c r="I1389" t="str">
        <f t="shared" si="68"/>
        <v>OK</v>
      </c>
    </row>
    <row r="1390" spans="1:9" hidden="1" x14ac:dyDescent="0.3">
      <c r="A1390" s="2">
        <v>45849</v>
      </c>
      <c r="B1390" t="str">
        <f t="shared" si="66"/>
        <v xml:space="preserve">juli </v>
      </c>
      <c r="C1390">
        <v>-4.33</v>
      </c>
      <c r="D1390" t="s">
        <v>3</v>
      </c>
      <c r="F1390" t="str">
        <f>VLOOKUP(Tabel1[[#This Row],[categorie]],Lijst!A:C,3,FALSE)</f>
        <v>Uitgave</v>
      </c>
      <c r="G1390">
        <f t="shared" si="67"/>
        <v>-4.33</v>
      </c>
      <c r="H1390" t="str">
        <f>VLOOKUP(Tabel1[[#This Row],[categorie]],Lijst!A:B,2,FALSE)</f>
        <v>Vast</v>
      </c>
      <c r="I1390" t="str">
        <f t="shared" si="68"/>
        <v>OK</v>
      </c>
    </row>
    <row r="1391" spans="1:9" hidden="1" x14ac:dyDescent="0.3">
      <c r="A1391" s="2">
        <v>45849</v>
      </c>
      <c r="B1391" t="str">
        <f t="shared" si="66"/>
        <v xml:space="preserve">juli </v>
      </c>
      <c r="C1391">
        <v>-6.62</v>
      </c>
      <c r="D1391" t="s">
        <v>62</v>
      </c>
      <c r="F1391" t="str">
        <f>VLOOKUP(Tabel1[[#This Row],[categorie]],Lijst!A:C,3,FALSE)</f>
        <v>Uitgave</v>
      </c>
      <c r="G1391">
        <f t="shared" si="67"/>
        <v>-6.62</v>
      </c>
      <c r="H1391" t="str">
        <f>VLOOKUP(Tabel1[[#This Row],[categorie]],Lijst!A:B,2,FALSE)</f>
        <v>Variabel</v>
      </c>
      <c r="I1391" t="str">
        <f t="shared" si="68"/>
        <v>OK</v>
      </c>
    </row>
    <row r="1392" spans="1:9" hidden="1" x14ac:dyDescent="0.3">
      <c r="A1392" s="2">
        <v>45849</v>
      </c>
      <c r="B1392" t="str">
        <f t="shared" si="66"/>
        <v xml:space="preserve">juli </v>
      </c>
      <c r="C1392">
        <v>-3.8</v>
      </c>
      <c r="D1392" t="s">
        <v>56</v>
      </c>
      <c r="F1392" t="str">
        <f>VLOOKUP(Tabel1[[#This Row],[categorie]],Lijst!A:C,3,FALSE)</f>
        <v>Uitgave</v>
      </c>
      <c r="G1392">
        <f t="shared" si="67"/>
        <v>-3.8</v>
      </c>
      <c r="H1392" t="str">
        <f>VLOOKUP(Tabel1[[#This Row],[categorie]],Lijst!A:B,2,FALSE)</f>
        <v>Variabel</v>
      </c>
      <c r="I1392" t="str">
        <f t="shared" si="68"/>
        <v>OK</v>
      </c>
    </row>
    <row r="1393" spans="1:9" hidden="1" x14ac:dyDescent="0.3">
      <c r="A1393" s="2">
        <v>45849</v>
      </c>
      <c r="B1393" t="str">
        <f t="shared" si="66"/>
        <v xml:space="preserve">juli </v>
      </c>
      <c r="C1393">
        <v>-1.1000000000000001</v>
      </c>
      <c r="D1393" t="s">
        <v>26</v>
      </c>
      <c r="F1393" t="str">
        <f>VLOOKUP(Tabel1[[#This Row],[categorie]],Lijst!A:C,3,FALSE)</f>
        <v>Uitgave</v>
      </c>
      <c r="G1393">
        <f t="shared" si="67"/>
        <v>-1.1000000000000001</v>
      </c>
      <c r="H1393" t="str">
        <f>VLOOKUP(Tabel1[[#This Row],[categorie]],Lijst!A:B,2,FALSE)</f>
        <v>Variabel</v>
      </c>
      <c r="I1393" t="str">
        <f t="shared" si="68"/>
        <v>OK</v>
      </c>
    </row>
    <row r="1394" spans="1:9" hidden="1" x14ac:dyDescent="0.3">
      <c r="A1394" s="2">
        <v>45849</v>
      </c>
      <c r="B1394" t="str">
        <f t="shared" si="66"/>
        <v xml:space="preserve">juli </v>
      </c>
      <c r="C1394">
        <v>-5.35</v>
      </c>
      <c r="D1394" t="s">
        <v>3</v>
      </c>
      <c r="F1394" t="str">
        <f>VLOOKUP(Tabel1[[#This Row],[categorie]],Lijst!A:C,3,FALSE)</f>
        <v>Uitgave</v>
      </c>
      <c r="G1394">
        <f t="shared" si="67"/>
        <v>-5.35</v>
      </c>
      <c r="H1394" t="str">
        <f>VLOOKUP(Tabel1[[#This Row],[categorie]],Lijst!A:B,2,FALSE)</f>
        <v>Vast</v>
      </c>
      <c r="I1394" t="str">
        <f t="shared" si="68"/>
        <v>OK</v>
      </c>
    </row>
    <row r="1395" spans="1:9" hidden="1" x14ac:dyDescent="0.3">
      <c r="A1395" s="2">
        <v>45849</v>
      </c>
      <c r="B1395" t="str">
        <f t="shared" si="66"/>
        <v xml:space="preserve">juli </v>
      </c>
      <c r="C1395">
        <v>17.989999999999998</v>
      </c>
      <c r="D1395" t="s">
        <v>30</v>
      </c>
      <c r="F1395" t="s">
        <v>17</v>
      </c>
      <c r="G1395">
        <f t="shared" si="67"/>
        <v>17.989999999999998</v>
      </c>
      <c r="H1395" t="str">
        <f>VLOOKUP(Tabel1[[#This Row],[categorie]],Lijst!A:B,2,FALSE)</f>
        <v>Vast</v>
      </c>
      <c r="I1395" t="str">
        <f t="shared" si="68"/>
        <v>OK</v>
      </c>
    </row>
    <row r="1396" spans="1:9" hidden="1" x14ac:dyDescent="0.3">
      <c r="A1396" s="2">
        <v>45849</v>
      </c>
      <c r="B1396" t="str">
        <f t="shared" si="66"/>
        <v xml:space="preserve">juli </v>
      </c>
      <c r="C1396">
        <v>-49.99</v>
      </c>
      <c r="D1396" t="s">
        <v>59</v>
      </c>
      <c r="F1396" t="str">
        <f>VLOOKUP(Tabel1[[#This Row],[categorie]],Lijst!A:C,3,FALSE)</f>
        <v>Uitgave</v>
      </c>
      <c r="G1396">
        <f t="shared" si="67"/>
        <v>-49.99</v>
      </c>
      <c r="H1396" t="str">
        <f>VLOOKUP(Tabel1[[#This Row],[categorie]],Lijst!A:B,2,FALSE)</f>
        <v>Variabel</v>
      </c>
      <c r="I1396" t="str">
        <f t="shared" si="68"/>
        <v>OK</v>
      </c>
    </row>
    <row r="1397" spans="1:9" hidden="1" x14ac:dyDescent="0.3">
      <c r="A1397" s="2">
        <v>45850</v>
      </c>
      <c r="B1397" t="str">
        <f t="shared" si="66"/>
        <v xml:space="preserve">juli </v>
      </c>
      <c r="C1397">
        <v>-11.73</v>
      </c>
      <c r="D1397" t="s">
        <v>3</v>
      </c>
      <c r="F1397" t="str">
        <f>VLOOKUP(Tabel1[[#This Row],[categorie]],Lijst!A:C,3,FALSE)</f>
        <v>Uitgave</v>
      </c>
      <c r="G1397">
        <f t="shared" si="67"/>
        <v>-11.73</v>
      </c>
      <c r="H1397" t="str">
        <f>VLOOKUP(Tabel1[[#This Row],[categorie]],Lijst!A:B,2,FALSE)</f>
        <v>Vast</v>
      </c>
      <c r="I1397" t="str">
        <f t="shared" si="68"/>
        <v>OK</v>
      </c>
    </row>
    <row r="1398" spans="1:9" hidden="1" x14ac:dyDescent="0.3">
      <c r="A1398" s="2">
        <v>45850</v>
      </c>
      <c r="B1398" t="str">
        <f t="shared" si="66"/>
        <v xml:space="preserve">juli </v>
      </c>
      <c r="C1398">
        <v>-15.48</v>
      </c>
      <c r="D1398" t="s">
        <v>53</v>
      </c>
      <c r="F1398" t="str">
        <f>VLOOKUP(Tabel1[[#This Row],[categorie]],Lijst!A:C,3,FALSE)</f>
        <v>Uitgave</v>
      </c>
      <c r="G1398">
        <f t="shared" si="67"/>
        <v>-15.48</v>
      </c>
      <c r="H1398" t="str">
        <f>VLOOKUP(Tabel1[[#This Row],[categorie]],Lijst!A:B,2,FALSE)</f>
        <v>Variabel</v>
      </c>
      <c r="I1398" t="str">
        <f t="shared" si="68"/>
        <v>OK</v>
      </c>
    </row>
    <row r="1399" spans="1:9" hidden="1" x14ac:dyDescent="0.3">
      <c r="A1399" s="2">
        <v>45850</v>
      </c>
      <c r="B1399" t="str">
        <f t="shared" si="66"/>
        <v xml:space="preserve">juli </v>
      </c>
      <c r="C1399">
        <v>-6.16</v>
      </c>
      <c r="D1399" t="s">
        <v>3</v>
      </c>
      <c r="F1399" t="str">
        <f>VLOOKUP(Tabel1[[#This Row],[categorie]],Lijst!A:C,3,FALSE)</f>
        <v>Uitgave</v>
      </c>
      <c r="G1399">
        <f t="shared" si="67"/>
        <v>-6.16</v>
      </c>
      <c r="H1399" t="str">
        <f>VLOOKUP(Tabel1[[#This Row],[categorie]],Lijst!A:B,2,FALSE)</f>
        <v>Vast</v>
      </c>
      <c r="I1399" t="str">
        <f t="shared" si="68"/>
        <v>OK</v>
      </c>
    </row>
    <row r="1400" spans="1:9" hidden="1" x14ac:dyDescent="0.3">
      <c r="A1400" s="2">
        <v>45850</v>
      </c>
      <c r="B1400" t="str">
        <f t="shared" si="66"/>
        <v xml:space="preserve">juli </v>
      </c>
      <c r="C1400">
        <v>-36</v>
      </c>
      <c r="D1400" t="s">
        <v>21</v>
      </c>
      <c r="F1400" t="str">
        <f>VLOOKUP(Tabel1[[#This Row],[categorie]],Lijst!A:C,3,FALSE)</f>
        <v>Uitgave</v>
      </c>
      <c r="G1400">
        <f t="shared" si="67"/>
        <v>-36</v>
      </c>
      <c r="H1400" t="str">
        <f>VLOOKUP(Tabel1[[#This Row],[categorie]],Lijst!A:B,2,FALSE)</f>
        <v>Variabel</v>
      </c>
      <c r="I1400" t="str">
        <f t="shared" si="68"/>
        <v>OK</v>
      </c>
    </row>
    <row r="1401" spans="1:9" hidden="1" x14ac:dyDescent="0.3">
      <c r="A1401" s="2">
        <v>45851</v>
      </c>
      <c r="B1401" t="str">
        <f t="shared" si="66"/>
        <v xml:space="preserve">juli </v>
      </c>
      <c r="C1401">
        <v>-19.59</v>
      </c>
      <c r="D1401" t="s">
        <v>3</v>
      </c>
      <c r="F1401" t="str">
        <f>VLOOKUP(Tabel1[[#This Row],[categorie]],Lijst!A:C,3,FALSE)</f>
        <v>Uitgave</v>
      </c>
      <c r="G1401">
        <f t="shared" si="67"/>
        <v>-19.59</v>
      </c>
      <c r="H1401" t="str">
        <f>VLOOKUP(Tabel1[[#This Row],[categorie]],Lijst!A:B,2,FALSE)</f>
        <v>Vast</v>
      </c>
      <c r="I1401" t="str">
        <f t="shared" si="68"/>
        <v>OK</v>
      </c>
    </row>
    <row r="1402" spans="1:9" hidden="1" x14ac:dyDescent="0.3">
      <c r="A1402" s="2">
        <v>45851</v>
      </c>
      <c r="B1402" t="str">
        <f t="shared" si="66"/>
        <v xml:space="preserve">juli </v>
      </c>
      <c r="C1402">
        <v>-7.96</v>
      </c>
      <c r="D1402" t="s">
        <v>3</v>
      </c>
      <c r="F1402" t="str">
        <f>VLOOKUP(Tabel1[[#This Row],[categorie]],Lijst!A:C,3,FALSE)</f>
        <v>Uitgave</v>
      </c>
      <c r="G1402">
        <f t="shared" si="67"/>
        <v>-7.96</v>
      </c>
      <c r="H1402" t="str">
        <f>VLOOKUP(Tabel1[[#This Row],[categorie]],Lijst!A:B,2,FALSE)</f>
        <v>Vast</v>
      </c>
      <c r="I1402" t="str">
        <f t="shared" si="68"/>
        <v>OK</v>
      </c>
    </row>
    <row r="1403" spans="1:9" hidden="1" x14ac:dyDescent="0.3">
      <c r="A1403" s="2">
        <v>45852</v>
      </c>
      <c r="B1403" t="str">
        <f t="shared" si="66"/>
        <v xml:space="preserve">juli </v>
      </c>
      <c r="C1403">
        <v>-23.3</v>
      </c>
      <c r="D1403" t="s">
        <v>56</v>
      </c>
      <c r="F1403" t="str">
        <f>VLOOKUP(Tabel1[[#This Row],[categorie]],Lijst!A:C,3,FALSE)</f>
        <v>Uitgave</v>
      </c>
      <c r="G1403">
        <f t="shared" si="67"/>
        <v>-23.3</v>
      </c>
      <c r="H1403" t="str">
        <f>VLOOKUP(Tabel1[[#This Row],[categorie]],Lijst!A:B,2,FALSE)</f>
        <v>Variabel</v>
      </c>
      <c r="I1403" t="str">
        <f t="shared" si="68"/>
        <v>OK</v>
      </c>
    </row>
    <row r="1404" spans="1:9" hidden="1" x14ac:dyDescent="0.3">
      <c r="A1404" s="2">
        <v>45852</v>
      </c>
      <c r="B1404" t="str">
        <f t="shared" si="66"/>
        <v xml:space="preserve">juli </v>
      </c>
      <c r="C1404">
        <v>-280</v>
      </c>
      <c r="D1404" t="s">
        <v>82</v>
      </c>
      <c r="F1404" t="s">
        <v>18</v>
      </c>
      <c r="G1404">
        <f t="shared" si="67"/>
        <v>-280</v>
      </c>
      <c r="H1404" t="str">
        <f>VLOOKUP(Tabel1[[#This Row],[categorie]],Lijst!A:B,2,FALSE)</f>
        <v>Vast</v>
      </c>
      <c r="I1404" t="str">
        <f t="shared" si="68"/>
        <v>OK</v>
      </c>
    </row>
    <row r="1405" spans="1:9" hidden="1" x14ac:dyDescent="0.3">
      <c r="A1405" s="2">
        <v>45852</v>
      </c>
      <c r="B1405" t="str">
        <f t="shared" si="66"/>
        <v xml:space="preserve">juli </v>
      </c>
      <c r="C1405">
        <v>-12.1</v>
      </c>
      <c r="D1405" t="s">
        <v>25</v>
      </c>
      <c r="F1405" t="str">
        <f>VLOOKUP(Tabel1[[#This Row],[categorie]],Lijst!A:C,3,FALSE)</f>
        <v>Uitgave</v>
      </c>
      <c r="G1405">
        <f t="shared" si="67"/>
        <v>-12.1</v>
      </c>
      <c r="H1405" t="str">
        <f>VLOOKUP(Tabel1[[#This Row],[categorie]],Lijst!A:B,2,FALSE)</f>
        <v>Variabel</v>
      </c>
      <c r="I1405" t="str">
        <f t="shared" si="68"/>
        <v>OK</v>
      </c>
    </row>
    <row r="1406" spans="1:9" hidden="1" x14ac:dyDescent="0.3">
      <c r="A1406" s="2">
        <v>45852</v>
      </c>
      <c r="B1406" t="str">
        <f t="shared" si="66"/>
        <v xml:space="preserve">juli </v>
      </c>
      <c r="C1406">
        <v>-3.7</v>
      </c>
      <c r="D1406" t="s">
        <v>3</v>
      </c>
      <c r="F1406" t="str">
        <f>VLOOKUP(Tabel1[[#This Row],[categorie]],Lijst!A:C,3,FALSE)</f>
        <v>Uitgave</v>
      </c>
      <c r="G1406">
        <f t="shared" si="67"/>
        <v>-3.7</v>
      </c>
      <c r="H1406" t="str">
        <f>VLOOKUP(Tabel1[[#This Row],[categorie]],Lijst!A:B,2,FALSE)</f>
        <v>Vast</v>
      </c>
      <c r="I1406" t="str">
        <f t="shared" si="68"/>
        <v>OK</v>
      </c>
    </row>
    <row r="1407" spans="1:9" hidden="1" x14ac:dyDescent="0.3">
      <c r="A1407" s="2">
        <v>45852</v>
      </c>
      <c r="B1407" t="str">
        <f t="shared" si="66"/>
        <v xml:space="preserve">juli </v>
      </c>
      <c r="C1407">
        <v>-3.07</v>
      </c>
      <c r="D1407" t="s">
        <v>13</v>
      </c>
      <c r="F1407" t="str">
        <f>VLOOKUP(Tabel1[[#This Row],[categorie]],Lijst!A:C,3,FALSE)</f>
        <v>Uitgave</v>
      </c>
      <c r="G1407">
        <f t="shared" si="67"/>
        <v>-3.07</v>
      </c>
      <c r="H1407" t="str">
        <f>VLOOKUP(Tabel1[[#This Row],[categorie]],Lijst!A:B,2,FALSE)</f>
        <v>Vast</v>
      </c>
      <c r="I1407" t="str">
        <f t="shared" si="68"/>
        <v>OK</v>
      </c>
    </row>
    <row r="1408" spans="1:9" hidden="1" x14ac:dyDescent="0.3">
      <c r="A1408" s="2">
        <v>45852</v>
      </c>
      <c r="B1408" t="str">
        <f t="shared" si="66"/>
        <v xml:space="preserve">juli </v>
      </c>
      <c r="C1408">
        <v>-0.9</v>
      </c>
      <c r="D1408" t="s">
        <v>26</v>
      </c>
      <c r="F1408" t="str">
        <f>VLOOKUP(Tabel1[[#This Row],[categorie]],Lijst!A:C,3,FALSE)</f>
        <v>Uitgave</v>
      </c>
      <c r="G1408">
        <f t="shared" si="67"/>
        <v>-0.9</v>
      </c>
      <c r="H1408" t="str">
        <f>VLOOKUP(Tabel1[[#This Row],[categorie]],Lijst!A:B,2,FALSE)</f>
        <v>Variabel</v>
      </c>
      <c r="I1408" t="str">
        <f t="shared" si="68"/>
        <v>OK</v>
      </c>
    </row>
    <row r="1409" spans="1:9" hidden="1" x14ac:dyDescent="0.3">
      <c r="A1409" s="2">
        <v>45852</v>
      </c>
      <c r="B1409" t="str">
        <f t="shared" si="66"/>
        <v xml:space="preserve">juli </v>
      </c>
      <c r="C1409">
        <v>-0.9</v>
      </c>
      <c r="D1409" t="s">
        <v>26</v>
      </c>
      <c r="F1409" t="str">
        <f>VLOOKUP(Tabel1[[#This Row],[categorie]],Lijst!A:C,3,FALSE)</f>
        <v>Uitgave</v>
      </c>
      <c r="G1409">
        <f t="shared" si="67"/>
        <v>-0.9</v>
      </c>
      <c r="H1409" t="str">
        <f>VLOOKUP(Tabel1[[#This Row],[categorie]],Lijst!A:B,2,FALSE)</f>
        <v>Variabel</v>
      </c>
      <c r="I1409" t="str">
        <f t="shared" si="68"/>
        <v>OK</v>
      </c>
    </row>
    <row r="1410" spans="1:9" hidden="1" x14ac:dyDescent="0.3">
      <c r="A1410" s="2">
        <v>45852</v>
      </c>
      <c r="B1410" t="str">
        <f t="shared" si="66"/>
        <v xml:space="preserve">juli </v>
      </c>
      <c r="C1410">
        <v>-8</v>
      </c>
      <c r="D1410" t="s">
        <v>13</v>
      </c>
      <c r="F1410" t="str">
        <f>VLOOKUP(Tabel1[[#This Row],[categorie]],Lijst!A:C,3,FALSE)</f>
        <v>Uitgave</v>
      </c>
      <c r="G1410">
        <f t="shared" si="67"/>
        <v>-8</v>
      </c>
      <c r="H1410" t="str">
        <f>VLOOKUP(Tabel1[[#This Row],[categorie]],Lijst!A:B,2,FALSE)</f>
        <v>Vast</v>
      </c>
      <c r="I1410" t="str">
        <f t="shared" si="68"/>
        <v>OK</v>
      </c>
    </row>
    <row r="1411" spans="1:9" hidden="1" x14ac:dyDescent="0.3">
      <c r="A1411" s="2">
        <v>45852</v>
      </c>
      <c r="B1411" t="str">
        <f t="shared" si="66"/>
        <v xml:space="preserve">juli </v>
      </c>
      <c r="C1411">
        <v>-23.6</v>
      </c>
      <c r="D1411" t="s">
        <v>47</v>
      </c>
      <c r="E1411" t="s">
        <v>118</v>
      </c>
      <c r="F1411" t="str">
        <f>VLOOKUP(Tabel1[[#This Row],[categorie]],Lijst!A:C,3,FALSE)</f>
        <v>Uitgave</v>
      </c>
      <c r="G1411">
        <f t="shared" si="67"/>
        <v>-23.6</v>
      </c>
      <c r="H1411" t="str">
        <f>VLOOKUP(Tabel1[[#This Row],[categorie]],Lijst!A:B,2,FALSE)</f>
        <v>Variabel</v>
      </c>
      <c r="I1411" t="str">
        <f t="shared" si="68"/>
        <v>OK</v>
      </c>
    </row>
    <row r="1412" spans="1:9" hidden="1" x14ac:dyDescent="0.3">
      <c r="A1412" s="2">
        <v>45852</v>
      </c>
      <c r="B1412" t="str">
        <f t="shared" si="66"/>
        <v xml:space="preserve">juli </v>
      </c>
      <c r="C1412">
        <v>-1.49</v>
      </c>
      <c r="D1412" t="s">
        <v>47</v>
      </c>
      <c r="E1412" t="s">
        <v>119</v>
      </c>
      <c r="F1412" t="str">
        <f>VLOOKUP(Tabel1[[#This Row],[categorie]],Lijst!A:C,3,FALSE)</f>
        <v>Uitgave</v>
      </c>
      <c r="G1412">
        <f t="shared" si="67"/>
        <v>-1.49</v>
      </c>
      <c r="H1412" t="str">
        <f>VLOOKUP(Tabel1[[#This Row],[categorie]],Lijst!A:B,2,FALSE)</f>
        <v>Variabel</v>
      </c>
      <c r="I1412" t="str">
        <f t="shared" si="68"/>
        <v>OK</v>
      </c>
    </row>
    <row r="1413" spans="1:9" hidden="1" x14ac:dyDescent="0.3">
      <c r="A1413" s="2">
        <v>45853</v>
      </c>
      <c r="B1413" t="str">
        <f t="shared" si="66"/>
        <v xml:space="preserve">juli </v>
      </c>
      <c r="C1413">
        <v>50.5</v>
      </c>
      <c r="D1413" t="s">
        <v>75</v>
      </c>
      <c r="F1413" t="s">
        <v>65</v>
      </c>
      <c r="G1413">
        <f t="shared" si="67"/>
        <v>50.5</v>
      </c>
      <c r="H1413" t="str">
        <f>VLOOKUP(Tabel1[[#This Row],[categorie]],Lijst!A:B,2,FALSE)</f>
        <v>Variabel</v>
      </c>
      <c r="I1413" t="str">
        <f t="shared" si="68"/>
        <v>OK</v>
      </c>
    </row>
    <row r="1414" spans="1:9" hidden="1" x14ac:dyDescent="0.3">
      <c r="A1414" s="2">
        <v>45853</v>
      </c>
      <c r="B1414" t="str">
        <f t="shared" si="66"/>
        <v xml:space="preserve">juli </v>
      </c>
      <c r="C1414">
        <v>50.5</v>
      </c>
      <c r="D1414" t="s">
        <v>75</v>
      </c>
      <c r="F1414" t="s">
        <v>17</v>
      </c>
      <c r="G1414">
        <f t="shared" si="67"/>
        <v>50.5</v>
      </c>
      <c r="H1414" t="str">
        <f>VLOOKUP(Tabel1[[#This Row],[categorie]],Lijst!A:B,2,FALSE)</f>
        <v>Variabel</v>
      </c>
      <c r="I1414" t="str">
        <f t="shared" si="68"/>
        <v>OK</v>
      </c>
    </row>
    <row r="1415" spans="1:9" hidden="1" x14ac:dyDescent="0.3">
      <c r="A1415" s="2">
        <v>45853</v>
      </c>
      <c r="B1415" t="str">
        <f t="shared" si="66"/>
        <v xml:space="preserve">juli </v>
      </c>
      <c r="C1415">
        <v>-38</v>
      </c>
      <c r="D1415" t="s">
        <v>82</v>
      </c>
      <c r="F1415" t="s">
        <v>18</v>
      </c>
      <c r="G1415">
        <f t="shared" si="67"/>
        <v>-38</v>
      </c>
      <c r="H1415" t="str">
        <f>VLOOKUP(Tabel1[[#This Row],[categorie]],Lijst!A:B,2,FALSE)</f>
        <v>Vast</v>
      </c>
      <c r="I1415" t="str">
        <f t="shared" si="68"/>
        <v>OK</v>
      </c>
    </row>
    <row r="1416" spans="1:9" hidden="1" x14ac:dyDescent="0.3">
      <c r="A1416" s="2">
        <v>45853</v>
      </c>
      <c r="B1416" t="str">
        <f t="shared" si="66"/>
        <v xml:space="preserve">juli </v>
      </c>
      <c r="C1416">
        <v>-1.2</v>
      </c>
      <c r="D1416" t="s">
        <v>26</v>
      </c>
      <c r="F1416" t="str">
        <f>VLOOKUP(Tabel1[[#This Row],[categorie]],Lijst!A:C,3,FALSE)</f>
        <v>Uitgave</v>
      </c>
      <c r="G1416">
        <f t="shared" si="67"/>
        <v>-1.2</v>
      </c>
      <c r="H1416" t="str">
        <f>VLOOKUP(Tabel1[[#This Row],[categorie]],Lijst!A:B,2,FALSE)</f>
        <v>Variabel</v>
      </c>
      <c r="I1416" t="str">
        <f t="shared" si="68"/>
        <v>OK</v>
      </c>
    </row>
    <row r="1417" spans="1:9" hidden="1" x14ac:dyDescent="0.3">
      <c r="A1417" s="2">
        <v>45853</v>
      </c>
      <c r="B1417" t="str">
        <f t="shared" si="66"/>
        <v xml:space="preserve">juli </v>
      </c>
      <c r="C1417">
        <v>-1.2</v>
      </c>
      <c r="D1417" t="s">
        <v>26</v>
      </c>
      <c r="F1417" t="str">
        <f>VLOOKUP(Tabel1[[#This Row],[categorie]],Lijst!A:C,3,FALSE)</f>
        <v>Uitgave</v>
      </c>
      <c r="G1417">
        <f t="shared" si="67"/>
        <v>-1.2</v>
      </c>
      <c r="H1417" t="str">
        <f>VLOOKUP(Tabel1[[#This Row],[categorie]],Lijst!A:B,2,FALSE)</f>
        <v>Variabel</v>
      </c>
      <c r="I1417" t="str">
        <f t="shared" si="68"/>
        <v>OK</v>
      </c>
    </row>
    <row r="1418" spans="1:9" hidden="1" x14ac:dyDescent="0.3">
      <c r="A1418" s="2">
        <v>45853</v>
      </c>
      <c r="B1418" t="str">
        <f t="shared" si="66"/>
        <v xml:space="preserve">juli </v>
      </c>
      <c r="C1418">
        <v>-8.02</v>
      </c>
      <c r="D1418" t="s">
        <v>3</v>
      </c>
      <c r="F1418" t="str">
        <f>VLOOKUP(Tabel1[[#This Row],[categorie]],Lijst!A:C,3,FALSE)</f>
        <v>Uitgave</v>
      </c>
      <c r="G1418">
        <f t="shared" si="67"/>
        <v>-8.02</v>
      </c>
      <c r="H1418" t="str">
        <f>VLOOKUP(Tabel1[[#This Row],[categorie]],Lijst!A:B,2,FALSE)</f>
        <v>Vast</v>
      </c>
      <c r="I1418" t="str">
        <f t="shared" si="68"/>
        <v>OK</v>
      </c>
    </row>
    <row r="1419" spans="1:9" hidden="1" x14ac:dyDescent="0.3">
      <c r="A1419" s="2">
        <v>45853</v>
      </c>
      <c r="B1419" t="str">
        <f t="shared" si="66"/>
        <v xml:space="preserve">juli </v>
      </c>
      <c r="C1419">
        <v>-4.18</v>
      </c>
      <c r="D1419" t="s">
        <v>3</v>
      </c>
      <c r="E1419" t="s">
        <v>112</v>
      </c>
      <c r="F1419" t="str">
        <f>VLOOKUP(Tabel1[[#This Row],[categorie]],Lijst!A:C,3,FALSE)</f>
        <v>Uitgave</v>
      </c>
      <c r="G1419">
        <f t="shared" si="67"/>
        <v>-4.18</v>
      </c>
      <c r="H1419" t="str">
        <f>VLOOKUP(Tabel1[[#This Row],[categorie]],Lijst!A:B,2,FALSE)</f>
        <v>Vast</v>
      </c>
      <c r="I1419" t="str">
        <f t="shared" si="68"/>
        <v>OK</v>
      </c>
    </row>
    <row r="1420" spans="1:9" hidden="1" x14ac:dyDescent="0.3">
      <c r="A1420" s="2">
        <v>45853</v>
      </c>
      <c r="B1420" t="str">
        <f t="shared" si="66"/>
        <v xml:space="preserve">juli </v>
      </c>
      <c r="C1420">
        <v>-4.91</v>
      </c>
      <c r="D1420" t="s">
        <v>3</v>
      </c>
      <c r="E1420" t="s">
        <v>113</v>
      </c>
      <c r="F1420" t="str">
        <f>VLOOKUP(Tabel1[[#This Row],[categorie]],Lijst!A:C,3,FALSE)</f>
        <v>Uitgave</v>
      </c>
      <c r="G1420">
        <f t="shared" si="67"/>
        <v>-4.91</v>
      </c>
      <c r="H1420" t="str">
        <f>VLOOKUP(Tabel1[[#This Row],[categorie]],Lijst!A:B,2,FALSE)</f>
        <v>Vast</v>
      </c>
      <c r="I1420" t="str">
        <f t="shared" si="68"/>
        <v>OK</v>
      </c>
    </row>
    <row r="1421" spans="1:9" hidden="1" x14ac:dyDescent="0.3">
      <c r="A1421" s="2">
        <v>45853</v>
      </c>
      <c r="B1421" t="str">
        <f t="shared" si="66"/>
        <v xml:space="preserve">juli </v>
      </c>
      <c r="C1421">
        <v>-3.29</v>
      </c>
      <c r="D1421" t="s">
        <v>3</v>
      </c>
      <c r="E1421" t="s">
        <v>114</v>
      </c>
      <c r="F1421" t="str">
        <f>VLOOKUP(Tabel1[[#This Row],[categorie]],Lijst!A:C,3,FALSE)</f>
        <v>Uitgave</v>
      </c>
      <c r="G1421">
        <f t="shared" si="67"/>
        <v>-3.29</v>
      </c>
      <c r="H1421" t="str">
        <f>VLOOKUP(Tabel1[[#This Row],[categorie]],Lijst!A:B,2,FALSE)</f>
        <v>Vast</v>
      </c>
      <c r="I1421" t="str">
        <f t="shared" si="68"/>
        <v>OK</v>
      </c>
    </row>
    <row r="1422" spans="1:9" hidden="1" x14ac:dyDescent="0.3">
      <c r="A1422" s="2">
        <v>45853</v>
      </c>
      <c r="B1422" t="str">
        <f t="shared" si="66"/>
        <v xml:space="preserve">juli </v>
      </c>
      <c r="C1422">
        <v>-25.39</v>
      </c>
      <c r="D1422" t="s">
        <v>3</v>
      </c>
      <c r="E1422" t="s">
        <v>115</v>
      </c>
      <c r="F1422" t="str">
        <f>VLOOKUP(Tabel1[[#This Row],[categorie]],Lijst!A:C,3,FALSE)</f>
        <v>Uitgave</v>
      </c>
      <c r="G1422">
        <f t="shared" si="67"/>
        <v>-25.39</v>
      </c>
      <c r="H1422" t="str">
        <f>VLOOKUP(Tabel1[[#This Row],[categorie]],Lijst!A:B,2,FALSE)</f>
        <v>Vast</v>
      </c>
      <c r="I1422" t="str">
        <f t="shared" si="68"/>
        <v>OK</v>
      </c>
    </row>
    <row r="1423" spans="1:9" hidden="1" x14ac:dyDescent="0.3">
      <c r="A1423" s="2">
        <v>45854</v>
      </c>
      <c r="B1423" t="str">
        <f t="shared" si="66"/>
        <v xml:space="preserve">juli </v>
      </c>
      <c r="C1423">
        <v>-182</v>
      </c>
      <c r="D1423" t="s">
        <v>82</v>
      </c>
      <c r="E1423" t="s">
        <v>101</v>
      </c>
      <c r="F1423" t="s">
        <v>18</v>
      </c>
      <c r="G1423">
        <f t="shared" si="67"/>
        <v>-182</v>
      </c>
      <c r="H1423" t="str">
        <f>VLOOKUP(Tabel1[[#This Row],[categorie]],Lijst!A:B,2,FALSE)</f>
        <v>Vast</v>
      </c>
      <c r="I1423" t="str">
        <f t="shared" si="68"/>
        <v>OK</v>
      </c>
    </row>
    <row r="1424" spans="1:9" hidden="1" x14ac:dyDescent="0.3">
      <c r="A1424" s="2">
        <v>45854</v>
      </c>
      <c r="B1424" t="str">
        <f t="shared" si="66"/>
        <v xml:space="preserve">juli </v>
      </c>
      <c r="C1424">
        <v>-7.5</v>
      </c>
      <c r="D1424" t="s">
        <v>35</v>
      </c>
      <c r="E1424" t="s">
        <v>107</v>
      </c>
      <c r="F1424" t="str">
        <f>VLOOKUP(Tabel1[[#This Row],[categorie]],Lijst!A:C,3,FALSE)</f>
        <v>Uitgave</v>
      </c>
      <c r="G1424">
        <f t="shared" si="67"/>
        <v>-7.5</v>
      </c>
      <c r="H1424" t="str">
        <f>VLOOKUP(Tabel1[[#This Row],[categorie]],Lijst!A:B,2,FALSE)</f>
        <v>Variabel</v>
      </c>
      <c r="I1424" t="str">
        <f t="shared" si="68"/>
        <v>OK</v>
      </c>
    </row>
    <row r="1425" spans="1:9" hidden="1" x14ac:dyDescent="0.3">
      <c r="A1425" s="2">
        <v>45854</v>
      </c>
      <c r="B1425" t="str">
        <f t="shared" si="66"/>
        <v xml:space="preserve">juli </v>
      </c>
      <c r="C1425">
        <v>-5.38</v>
      </c>
      <c r="D1425" t="s">
        <v>3</v>
      </c>
      <c r="E1425" t="s">
        <v>108</v>
      </c>
      <c r="F1425" t="str">
        <f>VLOOKUP(Tabel1[[#This Row],[categorie]],Lijst!A:C,3,FALSE)</f>
        <v>Uitgave</v>
      </c>
      <c r="G1425">
        <f t="shared" si="67"/>
        <v>-5.38</v>
      </c>
      <c r="H1425" t="str">
        <f>VLOOKUP(Tabel1[[#This Row],[categorie]],Lijst!A:B,2,FALSE)</f>
        <v>Vast</v>
      </c>
      <c r="I1425" t="str">
        <f t="shared" si="68"/>
        <v>OK</v>
      </c>
    </row>
    <row r="1426" spans="1:9" hidden="1" x14ac:dyDescent="0.3">
      <c r="A1426" s="2">
        <v>45854</v>
      </c>
      <c r="B1426" t="str">
        <f t="shared" si="66"/>
        <v xml:space="preserve">juli </v>
      </c>
      <c r="C1426">
        <v>-43.99</v>
      </c>
      <c r="D1426" t="s">
        <v>45</v>
      </c>
      <c r="E1426" t="s">
        <v>111</v>
      </c>
      <c r="F1426" t="str">
        <f>VLOOKUP(Tabel1[[#This Row],[categorie]],Lijst!A:C,3,FALSE)</f>
        <v>Uitgave</v>
      </c>
      <c r="G1426">
        <f t="shared" si="67"/>
        <v>-43.99</v>
      </c>
      <c r="H1426" t="str">
        <f>VLOOKUP(Tabel1[[#This Row],[categorie]],Lijst!A:B,2,FALSE)</f>
        <v>Variabel</v>
      </c>
      <c r="I1426" t="str">
        <f t="shared" si="68"/>
        <v>OK</v>
      </c>
    </row>
    <row r="1427" spans="1:9" hidden="1" x14ac:dyDescent="0.3">
      <c r="A1427" s="2">
        <v>45854</v>
      </c>
      <c r="B1427" t="str">
        <f t="shared" si="66"/>
        <v xml:space="preserve">juli </v>
      </c>
      <c r="C1427">
        <v>-1.2</v>
      </c>
      <c r="D1427" t="s">
        <v>26</v>
      </c>
      <c r="E1427" t="s">
        <v>117</v>
      </c>
      <c r="F1427" t="str">
        <f>VLOOKUP(Tabel1[[#This Row],[categorie]],Lijst!A:C,3,FALSE)</f>
        <v>Uitgave</v>
      </c>
      <c r="G1427">
        <f t="shared" si="67"/>
        <v>-1.2</v>
      </c>
      <c r="H1427" t="str">
        <f>VLOOKUP(Tabel1[[#This Row],[categorie]],Lijst!A:B,2,FALSE)</f>
        <v>Variabel</v>
      </c>
      <c r="I1427" t="str">
        <f t="shared" si="68"/>
        <v>OK</v>
      </c>
    </row>
    <row r="1428" spans="1:9" hidden="1" x14ac:dyDescent="0.3">
      <c r="A1428" s="2">
        <v>45854</v>
      </c>
      <c r="B1428" t="str">
        <f t="shared" si="66"/>
        <v xml:space="preserve">juli </v>
      </c>
      <c r="C1428">
        <v>-5</v>
      </c>
      <c r="D1428" t="s">
        <v>31</v>
      </c>
      <c r="E1428" t="s">
        <v>120</v>
      </c>
      <c r="F1428" t="str">
        <f>VLOOKUP(Tabel1[[#This Row],[categorie]],Lijst!A:C,3,FALSE)</f>
        <v>Uitgave</v>
      </c>
      <c r="G1428">
        <f t="shared" si="67"/>
        <v>-5</v>
      </c>
      <c r="H1428" t="str">
        <f>VLOOKUP(Tabel1[[#This Row],[categorie]],Lijst!A:B,2,FALSE)</f>
        <v>Vast</v>
      </c>
      <c r="I1428" t="str">
        <f t="shared" si="68"/>
        <v>OK</v>
      </c>
    </row>
    <row r="1429" spans="1:9" hidden="1" x14ac:dyDescent="0.3">
      <c r="A1429" s="2">
        <v>45854</v>
      </c>
      <c r="B1429" t="str">
        <f t="shared" si="66"/>
        <v xml:space="preserve">juli </v>
      </c>
      <c r="C1429">
        <v>-81.66</v>
      </c>
      <c r="D1429" t="s">
        <v>33</v>
      </c>
      <c r="E1429" t="s">
        <v>121</v>
      </c>
      <c r="F1429" t="str">
        <f>VLOOKUP(Tabel1[[#This Row],[categorie]],Lijst!A:C,3,FALSE)</f>
        <v>Uitgave</v>
      </c>
      <c r="G1429">
        <f t="shared" si="67"/>
        <v>-81.66</v>
      </c>
      <c r="H1429" t="str">
        <f>VLOOKUP(Tabel1[[#This Row],[categorie]],Lijst!A:B,2,FALSE)</f>
        <v>Vast</v>
      </c>
      <c r="I1429" t="str">
        <f t="shared" si="68"/>
        <v>OK</v>
      </c>
    </row>
    <row r="1430" spans="1:9" hidden="1" x14ac:dyDescent="0.3">
      <c r="A1430" s="2">
        <v>45854</v>
      </c>
      <c r="B1430" t="str">
        <f t="shared" si="66"/>
        <v xml:space="preserve">juli </v>
      </c>
      <c r="C1430">
        <v>-90</v>
      </c>
      <c r="D1430" t="s">
        <v>33</v>
      </c>
      <c r="E1430" t="s">
        <v>122</v>
      </c>
      <c r="F1430" t="str">
        <f>VLOOKUP(Tabel1[[#This Row],[categorie]],Lijst!A:C,3,FALSE)</f>
        <v>Uitgave</v>
      </c>
      <c r="G1430">
        <f t="shared" si="67"/>
        <v>-90</v>
      </c>
      <c r="H1430" t="str">
        <f>VLOOKUP(Tabel1[[#This Row],[categorie]],Lijst!A:B,2,FALSE)</f>
        <v>Vast</v>
      </c>
      <c r="I1430" t="str">
        <f t="shared" si="68"/>
        <v>OK</v>
      </c>
    </row>
    <row r="1431" spans="1:9" hidden="1" x14ac:dyDescent="0.3">
      <c r="A1431" s="2">
        <v>45854</v>
      </c>
      <c r="B1431" t="str">
        <f t="shared" si="66"/>
        <v xml:space="preserve">juli </v>
      </c>
      <c r="C1431">
        <v>-35.1</v>
      </c>
      <c r="D1431" t="s">
        <v>9</v>
      </c>
      <c r="E1431" t="s">
        <v>106</v>
      </c>
      <c r="F1431" t="s">
        <v>18</v>
      </c>
      <c r="G1431">
        <f t="shared" si="67"/>
        <v>-35.1</v>
      </c>
      <c r="H1431" t="str">
        <f>VLOOKUP(Tabel1[[#This Row],[categorie]],Lijst!A:B,2,FALSE)</f>
        <v>Variabel</v>
      </c>
      <c r="I1431" t="str">
        <f t="shared" si="68"/>
        <v>OK</v>
      </c>
    </row>
    <row r="1432" spans="1:9" hidden="1" x14ac:dyDescent="0.3">
      <c r="A1432" s="2">
        <v>45854</v>
      </c>
      <c r="B1432" t="str">
        <f t="shared" si="66"/>
        <v xml:space="preserve">juli </v>
      </c>
      <c r="C1432">
        <v>-7.83</v>
      </c>
      <c r="D1432" t="s">
        <v>82</v>
      </c>
      <c r="E1432" t="s">
        <v>110</v>
      </c>
      <c r="F1432" t="s">
        <v>18</v>
      </c>
      <c r="G1432">
        <f t="shared" si="67"/>
        <v>-7.83</v>
      </c>
      <c r="H1432" t="str">
        <f>VLOOKUP(Tabel1[[#This Row],[categorie]],Lijst!A:B,2,FALSE)</f>
        <v>Vast</v>
      </c>
      <c r="I1432" t="str">
        <f t="shared" si="68"/>
        <v>OK</v>
      </c>
    </row>
    <row r="1433" spans="1:9" hidden="1" x14ac:dyDescent="0.3">
      <c r="A1433" s="2">
        <v>45854</v>
      </c>
      <c r="B1433" t="str">
        <f t="shared" si="66"/>
        <v xml:space="preserve">juli </v>
      </c>
      <c r="C1433">
        <v>245</v>
      </c>
      <c r="D1433" t="s">
        <v>82</v>
      </c>
      <c r="E1433" t="s">
        <v>116</v>
      </c>
      <c r="F1433" t="s">
        <v>17</v>
      </c>
      <c r="G1433">
        <f t="shared" si="67"/>
        <v>245</v>
      </c>
      <c r="H1433" t="str">
        <f>VLOOKUP(Tabel1[[#This Row],[categorie]],Lijst!A:B,2,FALSE)</f>
        <v>Vast</v>
      </c>
      <c r="I1433" t="str">
        <f t="shared" si="68"/>
        <v>OK</v>
      </c>
    </row>
    <row r="1434" spans="1:9" hidden="1" x14ac:dyDescent="0.3">
      <c r="A1434" s="2">
        <v>45855</v>
      </c>
      <c r="B1434" t="str">
        <f t="shared" si="66"/>
        <v xml:space="preserve">juli </v>
      </c>
      <c r="C1434">
        <v>-20.85</v>
      </c>
      <c r="D1434" t="s">
        <v>35</v>
      </c>
      <c r="E1434" t="s">
        <v>95</v>
      </c>
      <c r="F1434" t="str">
        <f>VLOOKUP(Tabel1[[#This Row],[categorie]],Lijst!A:C,3,FALSE)</f>
        <v>Uitgave</v>
      </c>
      <c r="G1434">
        <f t="shared" si="67"/>
        <v>-20.85</v>
      </c>
      <c r="H1434" t="str">
        <f>VLOOKUP(Tabel1[[#This Row],[categorie]],Lijst!A:B,2,FALSE)</f>
        <v>Variabel</v>
      </c>
      <c r="I1434" t="str">
        <f t="shared" si="68"/>
        <v>OK</v>
      </c>
    </row>
    <row r="1435" spans="1:9" hidden="1" x14ac:dyDescent="0.3">
      <c r="A1435" s="2">
        <v>45855</v>
      </c>
      <c r="B1435" t="str">
        <f t="shared" si="66"/>
        <v xml:space="preserve">juli </v>
      </c>
      <c r="C1435">
        <v>-35.15</v>
      </c>
      <c r="D1435" t="s">
        <v>3</v>
      </c>
      <c r="E1435" t="s">
        <v>96</v>
      </c>
      <c r="F1435" t="str">
        <f>VLOOKUP(Tabel1[[#This Row],[categorie]],Lijst!A:C,3,FALSE)</f>
        <v>Uitgave</v>
      </c>
      <c r="G1435">
        <f t="shared" si="67"/>
        <v>-35.15</v>
      </c>
      <c r="H1435" t="str">
        <f>VLOOKUP(Tabel1[[#This Row],[categorie]],Lijst!A:B,2,FALSE)</f>
        <v>Vast</v>
      </c>
      <c r="I1435" t="str">
        <f t="shared" si="68"/>
        <v>OK</v>
      </c>
    </row>
    <row r="1436" spans="1:9" hidden="1" x14ac:dyDescent="0.3">
      <c r="A1436" s="2">
        <v>45855</v>
      </c>
      <c r="B1436" t="str">
        <f t="shared" si="66"/>
        <v xml:space="preserve">juli </v>
      </c>
      <c r="C1436">
        <v>-18.07</v>
      </c>
      <c r="D1436" t="s">
        <v>3</v>
      </c>
      <c r="E1436" t="s">
        <v>97</v>
      </c>
      <c r="F1436" t="str">
        <f>VLOOKUP(Tabel1[[#This Row],[categorie]],Lijst!A:C,3,FALSE)</f>
        <v>Uitgave</v>
      </c>
      <c r="G1436">
        <f t="shared" si="67"/>
        <v>-18.07</v>
      </c>
      <c r="H1436" t="str">
        <f>VLOOKUP(Tabel1[[#This Row],[categorie]],Lijst!A:B,2,FALSE)</f>
        <v>Vast</v>
      </c>
      <c r="I1436" t="str">
        <f t="shared" si="68"/>
        <v>OK</v>
      </c>
    </row>
    <row r="1437" spans="1:9" hidden="1" x14ac:dyDescent="0.3">
      <c r="A1437" s="2">
        <v>45855</v>
      </c>
      <c r="B1437" t="str">
        <f t="shared" si="66"/>
        <v xml:space="preserve">juli </v>
      </c>
      <c r="C1437">
        <v>-7.2</v>
      </c>
      <c r="D1437" t="s">
        <v>3</v>
      </c>
      <c r="E1437" t="s">
        <v>102</v>
      </c>
      <c r="F1437" t="str">
        <f>VLOOKUP(Tabel1[[#This Row],[categorie]],Lijst!A:C,3,FALSE)</f>
        <v>Uitgave</v>
      </c>
      <c r="G1437">
        <f t="shared" si="67"/>
        <v>-7.2</v>
      </c>
      <c r="H1437" t="str">
        <f>VLOOKUP(Tabel1[[#This Row],[categorie]],Lijst!A:B,2,FALSE)</f>
        <v>Vast</v>
      </c>
      <c r="I1437" t="str">
        <f t="shared" si="68"/>
        <v>OK</v>
      </c>
    </row>
    <row r="1438" spans="1:9" hidden="1" x14ac:dyDescent="0.3">
      <c r="A1438" s="2">
        <v>45855</v>
      </c>
      <c r="B1438" t="str">
        <f t="shared" si="66"/>
        <v xml:space="preserve">juli </v>
      </c>
      <c r="C1438">
        <v>-28.5</v>
      </c>
      <c r="D1438" t="s">
        <v>21</v>
      </c>
      <c r="E1438" t="s">
        <v>104</v>
      </c>
      <c r="F1438" t="str">
        <f>VLOOKUP(Tabel1[[#This Row],[categorie]],Lijst!A:C,3,FALSE)</f>
        <v>Uitgave</v>
      </c>
      <c r="G1438">
        <f t="shared" si="67"/>
        <v>-28.5</v>
      </c>
      <c r="H1438" t="str">
        <f>VLOOKUP(Tabel1[[#This Row],[categorie]],Lijst!A:B,2,FALSE)</f>
        <v>Variabel</v>
      </c>
      <c r="I1438" t="str">
        <f t="shared" si="68"/>
        <v>OK</v>
      </c>
    </row>
    <row r="1439" spans="1:9" hidden="1" x14ac:dyDescent="0.3">
      <c r="A1439" s="2">
        <v>45855</v>
      </c>
      <c r="B1439" t="str">
        <f t="shared" si="66"/>
        <v xml:space="preserve">juli </v>
      </c>
      <c r="C1439">
        <v>-7</v>
      </c>
      <c r="D1439" t="s">
        <v>21</v>
      </c>
      <c r="E1439" t="s">
        <v>105</v>
      </c>
      <c r="F1439" t="str">
        <f>VLOOKUP(Tabel1[[#This Row],[categorie]],Lijst!A:C,3,FALSE)</f>
        <v>Uitgave</v>
      </c>
      <c r="G1439">
        <f t="shared" si="67"/>
        <v>-7</v>
      </c>
      <c r="H1439" t="str">
        <f>VLOOKUP(Tabel1[[#This Row],[categorie]],Lijst!A:B,2,FALSE)</f>
        <v>Variabel</v>
      </c>
      <c r="I1439" t="str">
        <f t="shared" si="68"/>
        <v>OK</v>
      </c>
    </row>
    <row r="1440" spans="1:9" hidden="1" x14ac:dyDescent="0.3">
      <c r="A1440" s="2">
        <v>45855</v>
      </c>
      <c r="B1440" t="str">
        <f t="shared" si="66"/>
        <v xml:space="preserve">juli </v>
      </c>
      <c r="C1440">
        <v>-16.920000000000002</v>
      </c>
      <c r="D1440" t="s">
        <v>48</v>
      </c>
      <c r="E1440" t="s">
        <v>109</v>
      </c>
      <c r="F1440" t="s">
        <v>18</v>
      </c>
      <c r="G1440">
        <f t="shared" si="67"/>
        <v>-16.920000000000002</v>
      </c>
      <c r="H1440" t="str">
        <f>VLOOKUP(Tabel1[[#This Row],[categorie]],Lijst!A:B,2,FALSE)</f>
        <v>Variabel</v>
      </c>
      <c r="I1440" t="str">
        <f t="shared" si="68"/>
        <v>OK</v>
      </c>
    </row>
    <row r="1441" spans="1:9" hidden="1" x14ac:dyDescent="0.3">
      <c r="A1441" s="2">
        <v>45855</v>
      </c>
      <c r="B1441" t="str">
        <f t="shared" si="66"/>
        <v xml:space="preserve">juli </v>
      </c>
      <c r="C1441">
        <v>100</v>
      </c>
      <c r="D1441" t="s">
        <v>48</v>
      </c>
      <c r="E1441" t="s">
        <v>100</v>
      </c>
      <c r="F1441" t="s">
        <v>17</v>
      </c>
      <c r="G1441">
        <f t="shared" si="67"/>
        <v>100</v>
      </c>
      <c r="H1441" t="str">
        <f>VLOOKUP(Tabel1[[#This Row],[categorie]],Lijst!A:B,2,FALSE)</f>
        <v>Variabel</v>
      </c>
      <c r="I1441" t="str">
        <f t="shared" si="68"/>
        <v>OK</v>
      </c>
    </row>
    <row r="1442" spans="1:9" hidden="1" x14ac:dyDescent="0.3">
      <c r="A1442" s="2">
        <v>45855</v>
      </c>
      <c r="B1442" t="str">
        <f t="shared" si="66"/>
        <v xml:space="preserve">juli </v>
      </c>
      <c r="C1442">
        <v>116.5</v>
      </c>
      <c r="D1442" t="s">
        <v>82</v>
      </c>
      <c r="E1442" t="s">
        <v>103</v>
      </c>
      <c r="F1442" t="s">
        <v>17</v>
      </c>
      <c r="G1442">
        <f t="shared" si="67"/>
        <v>116.5</v>
      </c>
      <c r="H1442" t="str">
        <f>VLOOKUP(Tabel1[[#This Row],[categorie]],Lijst!A:B,2,FALSE)</f>
        <v>Vast</v>
      </c>
      <c r="I1442" t="str">
        <f t="shared" si="68"/>
        <v>OK</v>
      </c>
    </row>
    <row r="1443" spans="1:9" hidden="1" x14ac:dyDescent="0.3">
      <c r="A1443" s="2">
        <v>45856</v>
      </c>
      <c r="B1443" t="str">
        <f t="shared" ref="B1443:B1506" si="69">TEXT(A1443,"mmmm ")</f>
        <v xml:space="preserve">juli </v>
      </c>
      <c r="C1443">
        <v>-5.8</v>
      </c>
      <c r="D1443" t="s">
        <v>60</v>
      </c>
      <c r="E1443" t="s">
        <v>87</v>
      </c>
      <c r="F1443" t="str">
        <f>VLOOKUP(Tabel1[[#This Row],[categorie]],Lijst!A:C,3,FALSE)</f>
        <v>Uitgave</v>
      </c>
      <c r="G1443">
        <f t="shared" ref="G1443:G1506" si="70">IF(F1443="Uitgave", -ABS(C1443), ABS(C1443))</f>
        <v>-5.8</v>
      </c>
      <c r="H1443" t="str">
        <f>VLOOKUP(Tabel1[[#This Row],[categorie]],Lijst!A:B,2,FALSE)</f>
        <v>Variabel</v>
      </c>
      <c r="I1443" t="str">
        <f t="shared" ref="I1443:I1506" si="71">IF(OR(AND(F1443="Uitgave", C1443&lt;0), AND(F1443="Inkomst", C1443&gt;0)), "OK", "FOUT")</f>
        <v>OK</v>
      </c>
    </row>
    <row r="1444" spans="1:9" hidden="1" x14ac:dyDescent="0.3">
      <c r="A1444" s="2">
        <v>45856</v>
      </c>
      <c r="B1444" t="str">
        <f t="shared" si="69"/>
        <v xml:space="preserve">juli </v>
      </c>
      <c r="C1444">
        <v>-3.15</v>
      </c>
      <c r="D1444" t="s">
        <v>60</v>
      </c>
      <c r="E1444" t="s">
        <v>88</v>
      </c>
      <c r="F1444" t="str">
        <f>VLOOKUP(Tabel1[[#This Row],[categorie]],Lijst!A:C,3,FALSE)</f>
        <v>Uitgave</v>
      </c>
      <c r="G1444">
        <f t="shared" si="70"/>
        <v>-3.15</v>
      </c>
      <c r="H1444" t="str">
        <f>VLOOKUP(Tabel1[[#This Row],[categorie]],Lijst!A:B,2,FALSE)</f>
        <v>Variabel</v>
      </c>
      <c r="I1444" t="str">
        <f t="shared" si="71"/>
        <v>OK</v>
      </c>
    </row>
    <row r="1445" spans="1:9" hidden="1" x14ac:dyDescent="0.3">
      <c r="A1445" s="2">
        <v>45856</v>
      </c>
      <c r="B1445" t="str">
        <f t="shared" si="69"/>
        <v xml:space="preserve">juli </v>
      </c>
      <c r="C1445">
        <v>-8</v>
      </c>
      <c r="D1445" t="s">
        <v>61</v>
      </c>
      <c r="E1445" t="s">
        <v>89</v>
      </c>
      <c r="F1445" t="str">
        <f>VLOOKUP(Tabel1[[#This Row],[categorie]],Lijst!A:C,3,FALSE)</f>
        <v>Uitgave</v>
      </c>
      <c r="G1445">
        <f t="shared" si="70"/>
        <v>-8</v>
      </c>
      <c r="H1445" t="str">
        <f>VLOOKUP(Tabel1[[#This Row],[categorie]],Lijst!A:B,2,FALSE)</f>
        <v>Variabel</v>
      </c>
      <c r="I1445" t="str">
        <f t="shared" si="71"/>
        <v>OK</v>
      </c>
    </row>
    <row r="1446" spans="1:9" hidden="1" x14ac:dyDescent="0.3">
      <c r="A1446" s="2">
        <v>45856</v>
      </c>
      <c r="B1446" t="str">
        <f t="shared" si="69"/>
        <v xml:space="preserve">juli </v>
      </c>
      <c r="C1446">
        <v>-27</v>
      </c>
      <c r="D1446" t="s">
        <v>3</v>
      </c>
      <c r="E1446" t="s">
        <v>90</v>
      </c>
      <c r="F1446" t="str">
        <f>VLOOKUP(Tabel1[[#This Row],[categorie]],Lijst!A:C,3,FALSE)</f>
        <v>Uitgave</v>
      </c>
      <c r="G1446">
        <f t="shared" si="70"/>
        <v>-27</v>
      </c>
      <c r="H1446" t="str">
        <f>VLOOKUP(Tabel1[[#This Row],[categorie]],Lijst!A:B,2,FALSE)</f>
        <v>Vast</v>
      </c>
      <c r="I1446" t="str">
        <f t="shared" si="71"/>
        <v>OK</v>
      </c>
    </row>
    <row r="1447" spans="1:9" hidden="1" x14ac:dyDescent="0.3">
      <c r="A1447" s="2">
        <v>45856</v>
      </c>
      <c r="B1447" t="str">
        <f t="shared" si="69"/>
        <v xml:space="preserve">juli </v>
      </c>
      <c r="C1447">
        <v>-9.7200000000000006</v>
      </c>
      <c r="D1447" t="s">
        <v>3</v>
      </c>
      <c r="E1447" t="s">
        <v>91</v>
      </c>
      <c r="F1447" t="str">
        <f>VLOOKUP(Tabel1[[#This Row],[categorie]],Lijst!A:C,3,FALSE)</f>
        <v>Uitgave</v>
      </c>
      <c r="G1447">
        <f t="shared" si="70"/>
        <v>-9.7200000000000006</v>
      </c>
      <c r="H1447" t="str">
        <f>VLOOKUP(Tabel1[[#This Row],[categorie]],Lijst!A:B,2,FALSE)</f>
        <v>Vast</v>
      </c>
      <c r="I1447" t="str">
        <f t="shared" si="71"/>
        <v>OK</v>
      </c>
    </row>
    <row r="1448" spans="1:9" hidden="1" x14ac:dyDescent="0.3">
      <c r="A1448" s="2">
        <v>45856</v>
      </c>
      <c r="B1448" t="str">
        <f t="shared" si="69"/>
        <v xml:space="preserve">juli </v>
      </c>
      <c r="C1448">
        <v>-7.66</v>
      </c>
      <c r="D1448" t="s">
        <v>3</v>
      </c>
      <c r="E1448" t="s">
        <v>92</v>
      </c>
      <c r="F1448" t="str">
        <f>VLOOKUP(Tabel1[[#This Row],[categorie]],Lijst!A:C,3,FALSE)</f>
        <v>Uitgave</v>
      </c>
      <c r="G1448">
        <f t="shared" si="70"/>
        <v>-7.66</v>
      </c>
      <c r="H1448" t="str">
        <f>VLOOKUP(Tabel1[[#This Row],[categorie]],Lijst!A:B,2,FALSE)</f>
        <v>Vast</v>
      </c>
      <c r="I1448" t="str">
        <f t="shared" si="71"/>
        <v>OK</v>
      </c>
    </row>
    <row r="1449" spans="1:9" hidden="1" x14ac:dyDescent="0.3">
      <c r="A1449" s="2">
        <v>45856</v>
      </c>
      <c r="B1449" t="str">
        <f t="shared" si="69"/>
        <v xml:space="preserve">juli </v>
      </c>
      <c r="C1449">
        <v>-16.329999999999998</v>
      </c>
      <c r="D1449" t="s">
        <v>3</v>
      </c>
      <c r="E1449" t="s">
        <v>93</v>
      </c>
      <c r="F1449" t="str">
        <f>VLOOKUP(Tabel1[[#This Row],[categorie]],Lijst!A:C,3,FALSE)</f>
        <v>Uitgave</v>
      </c>
      <c r="G1449">
        <f t="shared" si="70"/>
        <v>-16.329999999999998</v>
      </c>
      <c r="H1449" t="str">
        <f>VLOOKUP(Tabel1[[#This Row],[categorie]],Lijst!A:B,2,FALSE)</f>
        <v>Vast</v>
      </c>
      <c r="I1449" t="str">
        <f t="shared" si="71"/>
        <v>OK</v>
      </c>
    </row>
    <row r="1450" spans="1:9" hidden="1" x14ac:dyDescent="0.3">
      <c r="A1450" s="2">
        <v>45856</v>
      </c>
      <c r="B1450" t="str">
        <f t="shared" si="69"/>
        <v xml:space="preserve">juli </v>
      </c>
      <c r="C1450">
        <v>-9.6999999999999993</v>
      </c>
      <c r="D1450" t="s">
        <v>3</v>
      </c>
      <c r="E1450" t="s">
        <v>94</v>
      </c>
      <c r="F1450" t="str">
        <f>VLOOKUP(Tabel1[[#This Row],[categorie]],Lijst!A:C,3,FALSE)</f>
        <v>Uitgave</v>
      </c>
      <c r="G1450">
        <f t="shared" si="70"/>
        <v>-9.6999999999999993</v>
      </c>
      <c r="H1450" t="str">
        <f>VLOOKUP(Tabel1[[#This Row],[categorie]],Lijst!A:B,2,FALSE)</f>
        <v>Vast</v>
      </c>
      <c r="I1450" t="str">
        <f t="shared" si="71"/>
        <v>OK</v>
      </c>
    </row>
    <row r="1451" spans="1:9" hidden="1" x14ac:dyDescent="0.3">
      <c r="A1451" s="2">
        <v>45856</v>
      </c>
      <c r="B1451" t="str">
        <f t="shared" si="69"/>
        <v xml:space="preserve">juli </v>
      </c>
      <c r="C1451">
        <v>-19.5</v>
      </c>
      <c r="D1451" t="s">
        <v>52</v>
      </c>
      <c r="E1451" t="s">
        <v>98</v>
      </c>
      <c r="F1451" t="str">
        <f>VLOOKUP(Tabel1[[#This Row],[categorie]],Lijst!A:C,3,FALSE)</f>
        <v>Uitgave</v>
      </c>
      <c r="G1451">
        <f t="shared" si="70"/>
        <v>-19.5</v>
      </c>
      <c r="H1451" t="str">
        <f>VLOOKUP(Tabel1[[#This Row],[categorie]],Lijst!A:B,2,FALSE)</f>
        <v>Variabel</v>
      </c>
      <c r="I1451" t="str">
        <f t="shared" si="71"/>
        <v>OK</v>
      </c>
    </row>
    <row r="1452" spans="1:9" hidden="1" x14ac:dyDescent="0.3">
      <c r="A1452" s="2">
        <v>45856</v>
      </c>
      <c r="B1452" t="str">
        <f t="shared" si="69"/>
        <v xml:space="preserve">juli </v>
      </c>
      <c r="C1452">
        <v>-9.51</v>
      </c>
      <c r="D1452" t="s">
        <v>13</v>
      </c>
      <c r="E1452" t="s">
        <v>99</v>
      </c>
      <c r="F1452" t="str">
        <f>VLOOKUP(Tabel1[[#This Row],[categorie]],Lijst!A:C,3,FALSE)</f>
        <v>Uitgave</v>
      </c>
      <c r="G1452">
        <f t="shared" si="70"/>
        <v>-9.51</v>
      </c>
      <c r="H1452" t="str">
        <f>VLOOKUP(Tabel1[[#This Row],[categorie]],Lijst!A:B,2,FALSE)</f>
        <v>Vast</v>
      </c>
      <c r="I1452" t="str">
        <f t="shared" si="71"/>
        <v>OK</v>
      </c>
    </row>
    <row r="1453" spans="1:9" hidden="1" x14ac:dyDescent="0.3">
      <c r="A1453" s="2">
        <v>45857</v>
      </c>
      <c r="B1453" t="str">
        <f t="shared" si="69"/>
        <v xml:space="preserve">juli </v>
      </c>
      <c r="C1453">
        <v>-9.9</v>
      </c>
      <c r="D1453" t="s">
        <v>62</v>
      </c>
      <c r="E1453" t="s">
        <v>85</v>
      </c>
      <c r="F1453" t="str">
        <f>VLOOKUP(Tabel1[[#This Row],[categorie]],Lijst!A:C,3,FALSE)</f>
        <v>Uitgave</v>
      </c>
      <c r="G1453">
        <f t="shared" si="70"/>
        <v>-9.9</v>
      </c>
      <c r="H1453" t="str">
        <f>VLOOKUP(Tabel1[[#This Row],[categorie]],Lijst!A:B,2,FALSE)</f>
        <v>Variabel</v>
      </c>
      <c r="I1453" t="str">
        <f t="shared" si="71"/>
        <v>OK</v>
      </c>
    </row>
    <row r="1454" spans="1:9" hidden="1" x14ac:dyDescent="0.3">
      <c r="A1454" s="2">
        <v>45857</v>
      </c>
      <c r="B1454" t="str">
        <f t="shared" si="69"/>
        <v xml:space="preserve">juli </v>
      </c>
      <c r="C1454">
        <v>-22.21</v>
      </c>
      <c r="D1454" t="str" cm="1">
        <f t="array" ref="D1454">IFERROR(
  _xlfn.XLOOKUP(TRUE, ISNUMBER(FIND(Trefwoorden!$A$2:$A$99, E1454)), Trefwoorden!$B$2:$B$99),
  "Onbekend"
)</f>
        <v>voeding</v>
      </c>
      <c r="E1454" t="s">
        <v>318</v>
      </c>
      <c r="F1454" t="str">
        <f>VLOOKUP(Tabel1[[#This Row],[categorie]],Lijst!A:C,3,FALSE)</f>
        <v>Uitgave</v>
      </c>
      <c r="G1454">
        <f t="shared" si="70"/>
        <v>-22.21</v>
      </c>
      <c r="H1454" t="str">
        <f>VLOOKUP(Tabel1[[#This Row],[categorie]],Lijst!A:B,2,FALSE)</f>
        <v>Vast</v>
      </c>
      <c r="I1454" t="str">
        <f t="shared" si="71"/>
        <v>OK</v>
      </c>
    </row>
    <row r="1455" spans="1:9" hidden="1" x14ac:dyDescent="0.3">
      <c r="A1455" s="2">
        <v>45857</v>
      </c>
      <c r="B1455" t="str">
        <f t="shared" si="69"/>
        <v xml:space="preserve">juli </v>
      </c>
      <c r="C1455">
        <v>-4.09</v>
      </c>
      <c r="D1455" t="str" cm="1">
        <f t="array" ref="D1455">IFERROR(
  _xlfn.XLOOKUP(TRUE, ISNUMBER(FIND(Trefwoorden!$A$2:$A$99, E1455)), Trefwoorden!$B$2:$B$99),
  "Onbekend"
)</f>
        <v>voeding</v>
      </c>
      <c r="E1455" t="s">
        <v>319</v>
      </c>
      <c r="F1455" t="str">
        <f>VLOOKUP(Tabel1[[#This Row],[categorie]],Lijst!A:C,3,FALSE)</f>
        <v>Uitgave</v>
      </c>
      <c r="G1455">
        <f t="shared" si="70"/>
        <v>-4.09</v>
      </c>
      <c r="H1455" t="str">
        <f>VLOOKUP(Tabel1[[#This Row],[categorie]],Lijst!A:B,2,FALSE)</f>
        <v>Vast</v>
      </c>
      <c r="I1455" t="str">
        <f t="shared" si="71"/>
        <v>OK</v>
      </c>
    </row>
    <row r="1456" spans="1:9" hidden="1" x14ac:dyDescent="0.3">
      <c r="A1456" s="2">
        <v>45857</v>
      </c>
      <c r="B1456" t="str">
        <f t="shared" si="69"/>
        <v xml:space="preserve">juli </v>
      </c>
      <c r="C1456">
        <v>-16.8</v>
      </c>
      <c r="D1456" t="str" cm="1">
        <f t="array" ref="D1456">IFERROR(
  _xlfn.XLOOKUP(TRUE, ISNUMBER(FIND(Trefwoorden!$A$2:$A$99, E1456)), Trefwoorden!$B$2:$B$99),
  "Onbekend"
)</f>
        <v>Louis/Vis</v>
      </c>
      <c r="E1456" t="s">
        <v>86</v>
      </c>
      <c r="F1456" t="str">
        <f>VLOOKUP(Tabel1[[#This Row],[categorie]],Lijst!A:C,3,FALSE)</f>
        <v>Uitgave</v>
      </c>
      <c r="G1456">
        <f t="shared" si="70"/>
        <v>-16.8</v>
      </c>
      <c r="H1456" t="str">
        <f>VLOOKUP(Tabel1[[#This Row],[categorie]],Lijst!A:B,2,FALSE)</f>
        <v>Variabel</v>
      </c>
      <c r="I1456" t="str">
        <f t="shared" si="71"/>
        <v>OK</v>
      </c>
    </row>
    <row r="1457" spans="1:9" hidden="1" x14ac:dyDescent="0.3">
      <c r="A1457" s="2">
        <v>45858</v>
      </c>
      <c r="B1457" t="str">
        <f t="shared" si="69"/>
        <v xml:space="preserve">juli </v>
      </c>
      <c r="C1457">
        <v>-26.99</v>
      </c>
      <c r="D1457" t="str" cm="1">
        <f t="array" ref="D1457">IFERROR(
  _xlfn.XLOOKUP(TRUE, ISNUMBER(FIND(Trefwoorden!$A$2:$A$99, E1457)), Trefwoorden!$B$2:$B$99),
  "Onbekend"
)</f>
        <v>Louis/Vis</v>
      </c>
      <c r="E1457" t="s">
        <v>317</v>
      </c>
      <c r="F1457" t="str">
        <f>VLOOKUP(Tabel1[[#This Row],[categorie]],Lijst!A:C,3,FALSE)</f>
        <v>Uitgave</v>
      </c>
      <c r="G1457">
        <f t="shared" si="70"/>
        <v>-26.99</v>
      </c>
      <c r="H1457" t="str">
        <f>VLOOKUP(Tabel1[[#This Row],[categorie]],Lijst!A:B,2,FALSE)</f>
        <v>Variabel</v>
      </c>
      <c r="I1457" t="str">
        <f t="shared" si="71"/>
        <v>OK</v>
      </c>
    </row>
    <row r="1458" spans="1:9" hidden="1" x14ac:dyDescent="0.3">
      <c r="A1458" s="2">
        <v>45858</v>
      </c>
      <c r="B1458" t="str">
        <f t="shared" si="69"/>
        <v xml:space="preserve">juli </v>
      </c>
      <c r="C1458">
        <v>-23.98</v>
      </c>
      <c r="D1458" t="s">
        <v>48</v>
      </c>
      <c r="E1458" t="s">
        <v>84</v>
      </c>
      <c r="F1458" t="s">
        <v>18</v>
      </c>
      <c r="G1458">
        <f t="shared" si="70"/>
        <v>-23.98</v>
      </c>
      <c r="H1458" t="str">
        <f>VLOOKUP(Tabel1[[#This Row],[categorie]],Lijst!A:B,2,FALSE)</f>
        <v>Variabel</v>
      </c>
      <c r="I1458" t="str">
        <f t="shared" si="71"/>
        <v>OK</v>
      </c>
    </row>
    <row r="1459" spans="1:9" hidden="1" x14ac:dyDescent="0.3">
      <c r="A1459" s="2">
        <v>45859</v>
      </c>
      <c r="B1459" t="str">
        <f t="shared" si="69"/>
        <v xml:space="preserve">juli </v>
      </c>
      <c r="C1459">
        <v>-20.9</v>
      </c>
      <c r="D1459" t="str" cm="1">
        <f t="array" ref="D1459">IFERROR(
  _xlfn.XLOOKUP(TRUE, ISNUMBER(FIND(Trefwoorden!$A$2:$A$99, E1459)), Trefwoorden!$B$2:$B$99),
  "Onbekend"
)</f>
        <v>Louis/Vis</v>
      </c>
      <c r="E1459" t="s">
        <v>309</v>
      </c>
      <c r="F1459" t="str">
        <f>VLOOKUP(Tabel1[[#This Row],[categorie]],Lijst!A:C,3,FALSE)</f>
        <v>Uitgave</v>
      </c>
      <c r="G1459">
        <f t="shared" si="70"/>
        <v>-20.9</v>
      </c>
      <c r="H1459" t="str">
        <f>VLOOKUP(Tabel1[[#This Row],[categorie]],Lijst!A:B,2,FALSE)</f>
        <v>Variabel</v>
      </c>
      <c r="I1459" t="str">
        <f t="shared" si="71"/>
        <v>OK</v>
      </c>
    </row>
    <row r="1460" spans="1:9" hidden="1" x14ac:dyDescent="0.3">
      <c r="A1460" s="2">
        <v>45859</v>
      </c>
      <c r="B1460" t="str">
        <f t="shared" si="69"/>
        <v xml:space="preserve">juli </v>
      </c>
      <c r="C1460">
        <v>-30.6</v>
      </c>
      <c r="D1460" t="s">
        <v>9</v>
      </c>
      <c r="E1460" t="s">
        <v>310</v>
      </c>
      <c r="F1460" t="s">
        <v>18</v>
      </c>
      <c r="G1460">
        <f t="shared" si="70"/>
        <v>-30.6</v>
      </c>
      <c r="H1460" t="str">
        <f>VLOOKUP(Tabel1[[#This Row],[categorie]],Lijst!A:B,2,FALSE)</f>
        <v>Variabel</v>
      </c>
      <c r="I1460" t="str">
        <f t="shared" si="71"/>
        <v>OK</v>
      </c>
    </row>
    <row r="1461" spans="1:9" hidden="1" x14ac:dyDescent="0.3">
      <c r="A1461" s="2">
        <v>45859</v>
      </c>
      <c r="B1461" t="str">
        <f t="shared" si="69"/>
        <v xml:space="preserve">juli </v>
      </c>
      <c r="C1461">
        <v>-9.98</v>
      </c>
      <c r="D1461" t="str" cm="1">
        <f t="array" ref="D1461">IFERROR(
  _xlfn.XLOOKUP(TRUE, ISNUMBER(FIND(Trefwoorden!$A$2:$A$99, E1461)), Trefwoorden!$B$2:$B$99),
  "Onbekend"
)</f>
        <v>Allerlei</v>
      </c>
      <c r="E1461" t="s">
        <v>311</v>
      </c>
      <c r="F1461" t="s">
        <v>18</v>
      </c>
      <c r="G1461">
        <f t="shared" si="70"/>
        <v>-9.98</v>
      </c>
      <c r="H1461" t="str">
        <f>VLOOKUP(Tabel1[[#This Row],[categorie]],Lijst!A:B,2,FALSE)</f>
        <v>Variabel</v>
      </c>
      <c r="I1461" t="str">
        <f t="shared" si="71"/>
        <v>OK</v>
      </c>
    </row>
    <row r="1462" spans="1:9" hidden="1" x14ac:dyDescent="0.3">
      <c r="A1462" s="2">
        <v>45859</v>
      </c>
      <c r="B1462" t="str">
        <f t="shared" si="69"/>
        <v xml:space="preserve">juli </v>
      </c>
      <c r="C1462">
        <v>-8.15</v>
      </c>
      <c r="D1462" t="str" cm="1">
        <f t="array" ref="D1462">IFERROR(
  _xlfn.XLOOKUP(TRUE, ISNUMBER(FIND(Trefwoorden!$A$2:$A$99, E1462)), Trefwoorden!$B$2:$B$99),
  "Onbekend"
)</f>
        <v>voeding</v>
      </c>
      <c r="E1462" t="s">
        <v>312</v>
      </c>
      <c r="F1462" t="str">
        <f>VLOOKUP(Tabel1[[#This Row],[categorie]],Lijst!A:C,3,FALSE)</f>
        <v>Uitgave</v>
      </c>
      <c r="G1462">
        <f t="shared" si="70"/>
        <v>-8.15</v>
      </c>
      <c r="H1462" t="str">
        <f>VLOOKUP(Tabel1[[#This Row],[categorie]],Lijst!A:B,2,FALSE)</f>
        <v>Vast</v>
      </c>
      <c r="I1462" t="str">
        <f t="shared" si="71"/>
        <v>OK</v>
      </c>
    </row>
    <row r="1463" spans="1:9" hidden="1" x14ac:dyDescent="0.3">
      <c r="A1463" s="2">
        <v>45859</v>
      </c>
      <c r="B1463" t="str">
        <f t="shared" si="69"/>
        <v xml:space="preserve">juli </v>
      </c>
      <c r="C1463">
        <v>-33.549999999999997</v>
      </c>
      <c r="D1463" t="str" cm="1">
        <f t="array" ref="D1463">IFERROR(
  _xlfn.XLOOKUP(TRUE, ISNUMBER(FIND(Trefwoorden!$A$2:$A$99, E1463)), Trefwoorden!$B$2:$B$99),
  "Onbekend"
)</f>
        <v>Cardif</v>
      </c>
      <c r="E1463" t="s">
        <v>320</v>
      </c>
      <c r="F1463" t="str">
        <f>VLOOKUP(Tabel1[[#This Row],[categorie]],Lijst!A:C,3,FALSE)</f>
        <v>Uitgave</v>
      </c>
      <c r="G1463">
        <f t="shared" si="70"/>
        <v>-33.549999999999997</v>
      </c>
      <c r="H1463" t="str">
        <f>VLOOKUP(Tabel1[[#This Row],[categorie]],Lijst!A:B,2,FALSE)</f>
        <v>Vast</v>
      </c>
      <c r="I1463" t="str">
        <f t="shared" si="71"/>
        <v>OK</v>
      </c>
    </row>
    <row r="1464" spans="1:9" hidden="1" x14ac:dyDescent="0.3">
      <c r="A1464" s="2">
        <v>45860</v>
      </c>
      <c r="B1464" t="str">
        <f t="shared" si="69"/>
        <v xml:space="preserve">juli </v>
      </c>
      <c r="C1464">
        <v>-15.13</v>
      </c>
      <c r="D1464" t="str" cm="1">
        <f t="array" ref="D1464">IFERROR(
  _xlfn.XLOOKUP(TRUE, ISNUMBER(FIND(Trefwoorden!$A$2:$A$99, E1464)), Trefwoorden!$B$2:$B$99),
  "Onbekend"
)</f>
        <v>voeding</v>
      </c>
      <c r="E1464" t="s">
        <v>307</v>
      </c>
      <c r="F1464" t="str">
        <f>VLOOKUP(Tabel1[[#This Row],[categorie]],Lijst!A:C,3,FALSE)</f>
        <v>Uitgave</v>
      </c>
      <c r="G1464">
        <f t="shared" si="70"/>
        <v>-15.13</v>
      </c>
      <c r="H1464" t="str">
        <f>VLOOKUP(Tabel1[[#This Row],[categorie]],Lijst!A:B,2,FALSE)</f>
        <v>Vast</v>
      </c>
      <c r="I1464" t="str">
        <f t="shared" si="71"/>
        <v>OK</v>
      </c>
    </row>
    <row r="1465" spans="1:9" hidden="1" x14ac:dyDescent="0.3">
      <c r="A1465" s="2">
        <v>45860</v>
      </c>
      <c r="B1465" t="str">
        <f t="shared" si="69"/>
        <v xml:space="preserve">juli </v>
      </c>
      <c r="C1465">
        <v>-5.14</v>
      </c>
      <c r="D1465" t="str" cm="1">
        <f t="array" ref="D1465">IFERROR(
  _xlfn.XLOOKUP(TRUE, ISNUMBER(FIND(Trefwoorden!$A$2:$A$99, E1465)), Trefwoorden!$B$2:$B$99),
  "Onbekend"
)</f>
        <v>voeding</v>
      </c>
      <c r="E1465" t="s">
        <v>308</v>
      </c>
      <c r="F1465" t="str">
        <f>VLOOKUP(Tabel1[[#This Row],[categorie]],Lijst!A:C,3,FALSE)</f>
        <v>Uitgave</v>
      </c>
      <c r="G1465">
        <f t="shared" si="70"/>
        <v>-5.14</v>
      </c>
      <c r="H1465" t="str">
        <f>VLOOKUP(Tabel1[[#This Row],[categorie]],Lijst!A:B,2,FALSE)</f>
        <v>Vast</v>
      </c>
      <c r="I1465" t="str">
        <f t="shared" si="71"/>
        <v>OK</v>
      </c>
    </row>
    <row r="1466" spans="1:9" hidden="1" x14ac:dyDescent="0.3">
      <c r="A1466" s="2">
        <v>45860</v>
      </c>
      <c r="B1466" t="str">
        <f t="shared" si="69"/>
        <v xml:space="preserve">juli </v>
      </c>
      <c r="C1466">
        <v>-8.9</v>
      </c>
      <c r="D1466" t="str" cm="1">
        <f t="array" ref="D1466">IFERROR(
  _xlfn.XLOOKUP(TRUE, ISNUMBER(FIND(Trefwoorden!$A$2:$A$99, E1466)), Trefwoorden!$B$2:$B$99),
  "Onbekend"
)</f>
        <v>molecule</v>
      </c>
      <c r="E1466" t="s">
        <v>313</v>
      </c>
      <c r="F1466" t="str">
        <f>VLOOKUP(Tabel1[[#This Row],[categorie]],Lijst!A:C,3,FALSE)</f>
        <v>Uitgave</v>
      </c>
      <c r="G1466">
        <f t="shared" si="70"/>
        <v>-8.9</v>
      </c>
      <c r="H1466" t="str">
        <f>VLOOKUP(Tabel1[[#This Row],[categorie]],Lijst!A:B,2,FALSE)</f>
        <v>Variabel</v>
      </c>
      <c r="I1466" t="str">
        <f t="shared" si="71"/>
        <v>OK</v>
      </c>
    </row>
    <row r="1467" spans="1:9" hidden="1" x14ac:dyDescent="0.3">
      <c r="A1467" s="2">
        <v>45860</v>
      </c>
      <c r="B1467" t="str">
        <f t="shared" si="69"/>
        <v xml:space="preserve">juli </v>
      </c>
      <c r="C1467">
        <v>-16</v>
      </c>
      <c r="D1467" t="str" cm="1">
        <f t="array" ref="D1467">IFERROR(
  _xlfn.XLOOKUP(TRUE, ISNUMBER(FIND(Trefwoorden!$A$2:$A$99, E1467)), Trefwoorden!$B$2:$B$99),
  "Onbekend"
)</f>
        <v>voeding</v>
      </c>
      <c r="E1467" t="s">
        <v>314</v>
      </c>
      <c r="F1467" t="str">
        <f>VLOOKUP(Tabel1[[#This Row],[categorie]],Lijst!A:C,3,FALSE)</f>
        <v>Uitgave</v>
      </c>
      <c r="G1467">
        <f t="shared" si="70"/>
        <v>-16</v>
      </c>
      <c r="H1467" t="str">
        <f>VLOOKUP(Tabel1[[#This Row],[categorie]],Lijst!A:B,2,FALSE)</f>
        <v>Vast</v>
      </c>
      <c r="I1467" t="str">
        <f t="shared" si="71"/>
        <v>OK</v>
      </c>
    </row>
    <row r="1468" spans="1:9" hidden="1" x14ac:dyDescent="0.3">
      <c r="A1468" s="2">
        <v>45860</v>
      </c>
      <c r="B1468" t="str">
        <f t="shared" si="69"/>
        <v xml:space="preserve">juli </v>
      </c>
      <c r="C1468">
        <v>15.44</v>
      </c>
      <c r="D1468" t="s">
        <v>11</v>
      </c>
      <c r="E1468" t="s">
        <v>315</v>
      </c>
      <c r="F1468" t="s">
        <v>17</v>
      </c>
      <c r="G1468">
        <f t="shared" si="70"/>
        <v>15.44</v>
      </c>
      <c r="H1468" t="str">
        <f>VLOOKUP(Tabel1[[#This Row],[categorie]],Lijst!A:B,2,FALSE)</f>
        <v>Vast</v>
      </c>
      <c r="I1468" t="str">
        <f t="shared" si="71"/>
        <v>OK</v>
      </c>
    </row>
    <row r="1469" spans="1:9" hidden="1" x14ac:dyDescent="0.3">
      <c r="A1469" s="2">
        <v>45860</v>
      </c>
      <c r="B1469" t="str">
        <f t="shared" si="69"/>
        <v xml:space="preserve">juli </v>
      </c>
      <c r="C1469">
        <v>-53.29</v>
      </c>
      <c r="D1469" t="str" cm="1">
        <f t="array" ref="D1469">IFERROR(
  _xlfn.XLOOKUP(TRUE, ISNUMBER(FIND(Trefwoorden!$A$2:$A$99, E1469)), Trefwoorden!$B$2:$B$99),
  "Onbekend"
)</f>
        <v>AXA</v>
      </c>
      <c r="E1469" t="s">
        <v>316</v>
      </c>
      <c r="F1469" t="str">
        <f>VLOOKUP(Tabel1[[#This Row],[categorie]],Lijst!A:C,3,FALSE)</f>
        <v>Uitgave</v>
      </c>
      <c r="G1469">
        <f t="shared" si="70"/>
        <v>-53.29</v>
      </c>
      <c r="H1469" t="str">
        <f>VLOOKUP(Tabel1[[#This Row],[categorie]],Lijst!A:B,2,FALSE)</f>
        <v>Vast</v>
      </c>
      <c r="I1469" t="str">
        <f t="shared" si="71"/>
        <v>OK</v>
      </c>
    </row>
    <row r="1470" spans="1:9" hidden="1" x14ac:dyDescent="0.3">
      <c r="A1470" s="2">
        <v>45861</v>
      </c>
      <c r="B1470" t="str">
        <f t="shared" si="69"/>
        <v xml:space="preserve">juli </v>
      </c>
      <c r="C1470">
        <v>-84</v>
      </c>
      <c r="D1470" t="s">
        <v>21</v>
      </c>
      <c r="E1470" t="s">
        <v>323</v>
      </c>
      <c r="F1470" t="str">
        <f>VLOOKUP(Tabel1[[#This Row],[categorie]],Lijst!A:C,3,FALSE)</f>
        <v>Uitgave</v>
      </c>
      <c r="G1470">
        <f t="shared" si="70"/>
        <v>-84</v>
      </c>
      <c r="H1470" t="str">
        <f>VLOOKUP(Tabel1[[#This Row],[categorie]],Lijst!A:B,2,FALSE)</f>
        <v>Variabel</v>
      </c>
      <c r="I1470" t="str">
        <f t="shared" si="71"/>
        <v>OK</v>
      </c>
    </row>
    <row r="1471" spans="1:9" hidden="1" x14ac:dyDescent="0.3">
      <c r="A1471" s="2">
        <v>45861</v>
      </c>
      <c r="B1471" t="str">
        <f t="shared" si="69"/>
        <v xml:space="preserve">juli </v>
      </c>
      <c r="C1471">
        <v>-15.2</v>
      </c>
      <c r="D1471" t="str" cm="1">
        <f t="array" ref="D1471">IFERROR(
  _xlfn.XLOOKUP(TRUE, ISNUMBER(FIND(Trefwoorden!$A$2:$A$99, E1471)), Trefwoorden!$B$2:$B$99),
  "Onbekend"
)</f>
        <v>voeding</v>
      </c>
      <c r="E1471" t="s">
        <v>300</v>
      </c>
      <c r="F1471" t="str">
        <f>VLOOKUP(Tabel1[[#This Row],[categorie]],Lijst!A:C,3,FALSE)</f>
        <v>Uitgave</v>
      </c>
      <c r="G1471">
        <f t="shared" si="70"/>
        <v>-15.2</v>
      </c>
      <c r="H1471" t="str">
        <f>VLOOKUP(Tabel1[[#This Row],[categorie]],Lijst!A:B,2,FALSE)</f>
        <v>Vast</v>
      </c>
      <c r="I1471" t="str">
        <f t="shared" si="71"/>
        <v>OK</v>
      </c>
    </row>
    <row r="1472" spans="1:9" hidden="1" x14ac:dyDescent="0.3">
      <c r="A1472" s="2">
        <v>45861</v>
      </c>
      <c r="B1472" t="str">
        <f t="shared" si="69"/>
        <v xml:space="preserve">juli </v>
      </c>
      <c r="C1472">
        <v>-387</v>
      </c>
      <c r="D1472" t="s">
        <v>82</v>
      </c>
      <c r="E1472" t="s">
        <v>301</v>
      </c>
      <c r="F1472" t="s">
        <v>18</v>
      </c>
      <c r="G1472">
        <f t="shared" si="70"/>
        <v>-387</v>
      </c>
      <c r="H1472" t="str">
        <f>VLOOKUP(Tabel1[[#This Row],[categorie]],Lijst!A:B,2,FALSE)</f>
        <v>Vast</v>
      </c>
      <c r="I1472" t="str">
        <f t="shared" si="71"/>
        <v>OK</v>
      </c>
    </row>
    <row r="1473" spans="1:9" hidden="1" x14ac:dyDescent="0.3">
      <c r="A1473" s="2">
        <v>45861</v>
      </c>
      <c r="B1473" t="str">
        <f t="shared" si="69"/>
        <v xml:space="preserve">juli </v>
      </c>
      <c r="C1473">
        <v>-6</v>
      </c>
      <c r="D1473" t="s">
        <v>9</v>
      </c>
      <c r="E1473" t="s">
        <v>305</v>
      </c>
      <c r="F1473" t="s">
        <v>18</v>
      </c>
      <c r="G1473">
        <f t="shared" si="70"/>
        <v>-6</v>
      </c>
      <c r="H1473" t="str">
        <f>VLOOKUP(Tabel1[[#This Row],[categorie]],Lijst!A:B,2,FALSE)</f>
        <v>Variabel</v>
      </c>
      <c r="I1473" t="str">
        <f t="shared" si="71"/>
        <v>OK</v>
      </c>
    </row>
    <row r="1474" spans="1:9" hidden="1" x14ac:dyDescent="0.3">
      <c r="A1474" s="2">
        <v>45861</v>
      </c>
      <c r="B1474" t="str">
        <f t="shared" si="69"/>
        <v xml:space="preserve">juli </v>
      </c>
      <c r="C1474">
        <v>-1.3</v>
      </c>
      <c r="D1474" t="str" cm="1">
        <f t="array" ref="D1474">IFERROR(
  _xlfn.XLOOKUP(TRUE, ISNUMBER(FIND(Trefwoorden!$A$2:$A$99, E1474)), Trefwoorden!$B$2:$B$99),
  "Onbekend"
)</f>
        <v>Parkeren</v>
      </c>
      <c r="E1474" t="s">
        <v>306</v>
      </c>
      <c r="F1474" t="str">
        <f>VLOOKUP(Tabel1[[#This Row],[categorie]],Lijst!A:C,3,FALSE)</f>
        <v>Uitgave</v>
      </c>
      <c r="G1474">
        <f t="shared" si="70"/>
        <v>-1.3</v>
      </c>
      <c r="H1474" t="str">
        <f>VLOOKUP(Tabel1[[#This Row],[categorie]],Lijst!A:B,2,FALSE)</f>
        <v>Variabel</v>
      </c>
      <c r="I1474" t="str">
        <f t="shared" si="71"/>
        <v>OK</v>
      </c>
    </row>
    <row r="1475" spans="1:9" hidden="1" x14ac:dyDescent="0.3">
      <c r="A1475" s="2">
        <v>45862</v>
      </c>
      <c r="B1475" t="str">
        <f t="shared" si="69"/>
        <v xml:space="preserve">juli </v>
      </c>
      <c r="C1475">
        <v>19.5</v>
      </c>
      <c r="D1475" t="str" cm="1">
        <f t="array" ref="D1475">IFERROR(
  _xlfn.XLOOKUP(TRUE, ISNUMBER(FIND(Trefwoorden!$A$2:$A$99, E1475)), Trefwoorden!$B$2:$B$99),
  "Onbekend"
)</f>
        <v>Bol</v>
      </c>
      <c r="E1475" t="s">
        <v>298</v>
      </c>
      <c r="F1475" t="s">
        <v>17</v>
      </c>
      <c r="G1475">
        <f t="shared" si="70"/>
        <v>19.5</v>
      </c>
      <c r="H1475" t="str">
        <f>VLOOKUP(Tabel1[[#This Row],[categorie]],Lijst!A:B,2,FALSE)</f>
        <v>Variabel</v>
      </c>
      <c r="I1475" t="str">
        <f t="shared" si="71"/>
        <v>OK</v>
      </c>
    </row>
    <row r="1476" spans="1:9" hidden="1" x14ac:dyDescent="0.3">
      <c r="A1476" s="2">
        <v>45862</v>
      </c>
      <c r="B1476" t="str">
        <f t="shared" si="69"/>
        <v xml:space="preserve">juli </v>
      </c>
      <c r="C1476">
        <v>242</v>
      </c>
      <c r="D1476" t="str" cm="1">
        <f t="array" ref="D1476">IFERROR(
  _xlfn.XLOOKUP(TRUE, ISNUMBER(FIND(Trefwoorden!$A$2:$A$99, E1476)), Trefwoorden!$B$2:$B$99),
  "Onbekend"
)</f>
        <v>Gezondheid</v>
      </c>
      <c r="E1476" t="s">
        <v>299</v>
      </c>
      <c r="F1476" t="s">
        <v>17</v>
      </c>
      <c r="G1476">
        <f t="shared" si="70"/>
        <v>242</v>
      </c>
      <c r="H1476" t="str">
        <f>VLOOKUP(Tabel1[[#This Row],[categorie]],Lijst!A:B,2,FALSE)</f>
        <v>Vast</v>
      </c>
      <c r="I1476" t="str">
        <f t="shared" si="71"/>
        <v>OK</v>
      </c>
    </row>
    <row r="1477" spans="1:9" hidden="1" x14ac:dyDescent="0.3">
      <c r="A1477" s="2">
        <v>45862</v>
      </c>
      <c r="B1477" t="str">
        <f t="shared" si="69"/>
        <v xml:space="preserve">juli </v>
      </c>
      <c r="C1477">
        <v>-36.799999999999997</v>
      </c>
      <c r="D1477" t="s">
        <v>9</v>
      </c>
      <c r="E1477" t="s">
        <v>302</v>
      </c>
      <c r="F1477" t="s">
        <v>18</v>
      </c>
      <c r="G1477">
        <f t="shared" si="70"/>
        <v>-36.799999999999997</v>
      </c>
      <c r="H1477" t="str">
        <f>VLOOKUP(Tabel1[[#This Row],[categorie]],Lijst!A:B,2,FALSE)</f>
        <v>Variabel</v>
      </c>
      <c r="I1477" t="str">
        <f t="shared" si="71"/>
        <v>OK</v>
      </c>
    </row>
    <row r="1478" spans="1:9" hidden="1" x14ac:dyDescent="0.3">
      <c r="A1478" s="2">
        <v>45862</v>
      </c>
      <c r="B1478" t="str">
        <f t="shared" si="69"/>
        <v xml:space="preserve">juli </v>
      </c>
      <c r="C1478">
        <v>-10.4</v>
      </c>
      <c r="D1478" t="s">
        <v>21</v>
      </c>
      <c r="E1478" t="s">
        <v>303</v>
      </c>
      <c r="F1478" t="str">
        <f>VLOOKUP(Tabel1[[#This Row],[categorie]],Lijst!A:C,3,FALSE)</f>
        <v>Uitgave</v>
      </c>
      <c r="G1478">
        <f t="shared" si="70"/>
        <v>-10.4</v>
      </c>
      <c r="H1478" t="str">
        <f>VLOOKUP(Tabel1[[#This Row],[categorie]],Lijst!A:B,2,FALSE)</f>
        <v>Variabel</v>
      </c>
      <c r="I1478" t="str">
        <f t="shared" si="71"/>
        <v>OK</v>
      </c>
    </row>
    <row r="1479" spans="1:9" hidden="1" x14ac:dyDescent="0.3">
      <c r="A1479" s="2">
        <v>45862</v>
      </c>
      <c r="B1479" t="str">
        <f t="shared" si="69"/>
        <v xml:space="preserve">juli </v>
      </c>
      <c r="C1479">
        <v>-4</v>
      </c>
      <c r="D1479" t="str" cm="1">
        <f t="array" ref="D1479">IFERROR(
  _xlfn.XLOOKUP(TRUE, ISNUMBER(FIND(Trefwoorden!$A$2:$A$99, E1479)), Trefwoorden!$B$2:$B$99),
  "Onbekend"
)</f>
        <v>Laadbeurt</v>
      </c>
      <c r="E1479" t="s">
        <v>304</v>
      </c>
      <c r="F1479" t="str">
        <f>VLOOKUP(Tabel1[[#This Row],[categorie]],Lijst!A:C,3,FALSE)</f>
        <v>Uitgave</v>
      </c>
      <c r="G1479">
        <f t="shared" si="70"/>
        <v>-4</v>
      </c>
      <c r="H1479" t="str">
        <f>VLOOKUP(Tabel1[[#This Row],[categorie]],Lijst!A:B,2,FALSE)</f>
        <v>Vast</v>
      </c>
      <c r="I1479" t="str">
        <f t="shared" si="71"/>
        <v>OK</v>
      </c>
    </row>
    <row r="1480" spans="1:9" hidden="1" x14ac:dyDescent="0.3">
      <c r="A1480" s="2">
        <v>45862</v>
      </c>
      <c r="B1480" t="str">
        <f t="shared" si="69"/>
        <v xml:space="preserve">juli </v>
      </c>
      <c r="C1480">
        <v>-5.24</v>
      </c>
      <c r="D1480" t="str" cm="1">
        <f t="array" ref="D1480">IFERROR(
  _xlfn.XLOOKUP(TRUE, ISNUMBER(FIND(Trefwoorden!$A$2:$A$99, E1480)), Trefwoorden!$B$2:$B$99),
  "Onbekend"
)</f>
        <v>voeding</v>
      </c>
      <c r="E1480" t="s">
        <v>375</v>
      </c>
      <c r="F1480" t="str">
        <f>VLOOKUP(Tabel1[[#This Row],[categorie]],Lijst!A:C,3,FALSE)</f>
        <v>Uitgave</v>
      </c>
      <c r="G1480">
        <f t="shared" si="70"/>
        <v>-5.24</v>
      </c>
      <c r="H1480" t="str">
        <f>VLOOKUP(Tabel1[[#This Row],[categorie]],Lijst!A:B,2,FALSE)</f>
        <v>Vast</v>
      </c>
      <c r="I1480" t="str">
        <f t="shared" si="71"/>
        <v>OK</v>
      </c>
    </row>
    <row r="1481" spans="1:9" hidden="1" x14ac:dyDescent="0.3">
      <c r="A1481" s="2">
        <v>45862</v>
      </c>
      <c r="B1481" t="str">
        <f t="shared" si="69"/>
        <v xml:space="preserve">juli </v>
      </c>
      <c r="C1481">
        <v>-13.76</v>
      </c>
      <c r="D1481" t="str" cm="1">
        <f t="array" ref="D1481">IFERROR(
  _xlfn.XLOOKUP(TRUE, ISNUMBER(FIND(Trefwoorden!$A$2:$A$99, E1481)), Trefwoorden!$B$2:$B$99),
  "Onbekend"
)</f>
        <v>voeding</v>
      </c>
      <c r="E1481" t="s">
        <v>376</v>
      </c>
      <c r="F1481" t="str">
        <f>VLOOKUP(Tabel1[[#This Row],[categorie]],Lijst!A:C,3,FALSE)</f>
        <v>Uitgave</v>
      </c>
      <c r="G1481">
        <f t="shared" si="70"/>
        <v>-13.76</v>
      </c>
      <c r="H1481" t="str">
        <f>VLOOKUP(Tabel1[[#This Row],[categorie]],Lijst!A:B,2,FALSE)</f>
        <v>Vast</v>
      </c>
      <c r="I1481" t="str">
        <f t="shared" si="71"/>
        <v>OK</v>
      </c>
    </row>
    <row r="1482" spans="1:9" hidden="1" x14ac:dyDescent="0.3">
      <c r="A1482" s="2">
        <v>45863</v>
      </c>
      <c r="B1482" t="str">
        <f t="shared" si="69"/>
        <v xml:space="preserve">juli </v>
      </c>
      <c r="C1482">
        <v>-33.89</v>
      </c>
      <c r="D1482" t="str" cm="1">
        <f t="array" ref="D1482">IFERROR(
  _xlfn.XLOOKUP(TRUE, ISNUMBER(FIND(Trefwoorden!$A$2:$A$99, E1482)), Trefwoorden!$B$2:$B$99),
  "Onbekend"
)</f>
        <v>voeding</v>
      </c>
      <c r="E1482" t="s">
        <v>370</v>
      </c>
      <c r="F1482" t="str">
        <f>VLOOKUP(Tabel1[[#This Row],[categorie]],Lijst!A:C,3,FALSE)</f>
        <v>Uitgave</v>
      </c>
      <c r="G1482">
        <f t="shared" si="70"/>
        <v>-33.89</v>
      </c>
      <c r="H1482" t="str">
        <f>VLOOKUP(Tabel1[[#This Row],[categorie]],Lijst!A:B,2,FALSE)</f>
        <v>Vast</v>
      </c>
      <c r="I1482" t="str">
        <f t="shared" si="71"/>
        <v>OK</v>
      </c>
    </row>
    <row r="1483" spans="1:9" hidden="1" x14ac:dyDescent="0.3">
      <c r="A1483" s="2">
        <v>45863</v>
      </c>
      <c r="B1483" t="str">
        <f t="shared" si="69"/>
        <v xml:space="preserve">juli </v>
      </c>
      <c r="C1483">
        <v>-15.4</v>
      </c>
      <c r="D1483" t="s">
        <v>3</v>
      </c>
      <c r="E1483" t="s">
        <v>371</v>
      </c>
      <c r="F1483" t="str">
        <f>VLOOKUP(Tabel1[[#This Row],[categorie]],Lijst!A:C,3,FALSE)</f>
        <v>Uitgave</v>
      </c>
      <c r="G1483">
        <f t="shared" si="70"/>
        <v>-15.4</v>
      </c>
      <c r="H1483" t="str">
        <f>VLOOKUP(Tabel1[[#This Row],[categorie]],Lijst!A:B,2,FALSE)</f>
        <v>Vast</v>
      </c>
      <c r="I1483" t="str">
        <f t="shared" si="71"/>
        <v>OK</v>
      </c>
    </row>
    <row r="1484" spans="1:9" hidden="1" x14ac:dyDescent="0.3">
      <c r="A1484" s="2">
        <v>45863</v>
      </c>
      <c r="B1484" t="str">
        <f t="shared" si="69"/>
        <v xml:space="preserve">juli </v>
      </c>
      <c r="C1484">
        <v>-4.4000000000000004</v>
      </c>
      <c r="D1484" t="s">
        <v>3</v>
      </c>
      <c r="E1484" t="s">
        <v>372</v>
      </c>
      <c r="F1484" t="str">
        <f>VLOOKUP(Tabel1[[#This Row],[categorie]],Lijst!A:C,3,FALSE)</f>
        <v>Uitgave</v>
      </c>
      <c r="G1484">
        <f t="shared" si="70"/>
        <v>-4.4000000000000004</v>
      </c>
      <c r="H1484" t="str">
        <f>VLOOKUP(Tabel1[[#This Row],[categorie]],Lijst!A:B,2,FALSE)</f>
        <v>Vast</v>
      </c>
      <c r="I1484" t="str">
        <f t="shared" si="71"/>
        <v>OK</v>
      </c>
    </row>
    <row r="1485" spans="1:9" hidden="1" x14ac:dyDescent="0.3">
      <c r="A1485" s="2">
        <v>45863</v>
      </c>
      <c r="B1485" t="str">
        <f t="shared" si="69"/>
        <v xml:space="preserve">juli </v>
      </c>
      <c r="C1485">
        <v>-16.600000000000001</v>
      </c>
      <c r="D1485" t="s">
        <v>9</v>
      </c>
      <c r="E1485" t="s">
        <v>373</v>
      </c>
      <c r="F1485" t="s">
        <v>18</v>
      </c>
      <c r="G1485">
        <f t="shared" si="70"/>
        <v>-16.600000000000001</v>
      </c>
      <c r="H1485" t="str">
        <f>VLOOKUP(Tabel1[[#This Row],[categorie]],Lijst!A:B,2,FALSE)</f>
        <v>Variabel</v>
      </c>
      <c r="I1485" t="str">
        <f t="shared" si="71"/>
        <v>OK</v>
      </c>
    </row>
    <row r="1486" spans="1:9" hidden="1" x14ac:dyDescent="0.3">
      <c r="A1486" s="2">
        <v>45863</v>
      </c>
      <c r="B1486" t="str">
        <f t="shared" si="69"/>
        <v xml:space="preserve">juli </v>
      </c>
      <c r="C1486">
        <v>4</v>
      </c>
      <c r="D1486" t="s">
        <v>75</v>
      </c>
      <c r="E1486" t="s">
        <v>377</v>
      </c>
      <c r="F1486" t="s">
        <v>17</v>
      </c>
      <c r="G1486">
        <f t="shared" si="70"/>
        <v>4</v>
      </c>
      <c r="H1486" t="str">
        <f>VLOOKUP(Tabel1[[#This Row],[categorie]],Lijst!A:B,2,FALSE)</f>
        <v>Variabel</v>
      </c>
      <c r="I1486" t="str">
        <f t="shared" si="71"/>
        <v>OK</v>
      </c>
    </row>
    <row r="1487" spans="1:9" hidden="1" x14ac:dyDescent="0.3">
      <c r="A1487" s="2">
        <v>45863</v>
      </c>
      <c r="B1487" t="str">
        <f t="shared" si="69"/>
        <v xml:space="preserve">juli </v>
      </c>
      <c r="C1487">
        <v>-23.8</v>
      </c>
      <c r="D1487" t="s">
        <v>9</v>
      </c>
      <c r="E1487" t="s">
        <v>378</v>
      </c>
      <c r="F1487" t="s">
        <v>18</v>
      </c>
      <c r="G1487">
        <f t="shared" si="70"/>
        <v>-23.8</v>
      </c>
      <c r="H1487" t="str">
        <f>VLOOKUP(Tabel1[[#This Row],[categorie]],Lijst!A:B,2,FALSE)</f>
        <v>Variabel</v>
      </c>
      <c r="I1487" t="str">
        <f t="shared" si="71"/>
        <v>OK</v>
      </c>
    </row>
    <row r="1488" spans="1:9" hidden="1" x14ac:dyDescent="0.3">
      <c r="A1488" s="2">
        <v>45863</v>
      </c>
      <c r="B1488" t="str">
        <f t="shared" si="69"/>
        <v xml:space="preserve">juli </v>
      </c>
      <c r="C1488">
        <v>-6.4</v>
      </c>
      <c r="D1488" t="s">
        <v>9</v>
      </c>
      <c r="E1488" t="s">
        <v>379</v>
      </c>
      <c r="F1488" t="s">
        <v>18</v>
      </c>
      <c r="G1488">
        <f t="shared" si="70"/>
        <v>-6.4</v>
      </c>
      <c r="H1488" t="str">
        <f>VLOOKUP(Tabel1[[#This Row],[categorie]],Lijst!A:B,2,FALSE)</f>
        <v>Variabel</v>
      </c>
      <c r="I1488" t="str">
        <f t="shared" si="71"/>
        <v>OK</v>
      </c>
    </row>
    <row r="1489" spans="1:9" hidden="1" x14ac:dyDescent="0.3">
      <c r="A1489" s="2">
        <v>45863</v>
      </c>
      <c r="B1489" t="str">
        <f t="shared" si="69"/>
        <v xml:space="preserve">juli </v>
      </c>
      <c r="C1489">
        <v>-121.2</v>
      </c>
      <c r="D1489" t="str" cm="1">
        <f t="array" ref="D1489">IFERROR(
  _xlfn.XLOOKUP(TRUE, ISNUMBER(FIND(Trefwoorden!$A$2:$A$99, E1489)), Trefwoorden!$B$2:$B$99),
  "Onbekend"
)</f>
        <v>gas/elektriciteit</v>
      </c>
      <c r="E1489" t="s">
        <v>296</v>
      </c>
      <c r="F1489" t="s">
        <v>18</v>
      </c>
      <c r="G1489">
        <f t="shared" si="70"/>
        <v>-121.2</v>
      </c>
      <c r="H1489" t="str">
        <f>VLOOKUP(Tabel1[[#This Row],[categorie]],Lijst!A:B,2,FALSE)</f>
        <v>Vast</v>
      </c>
      <c r="I1489" t="str">
        <f t="shared" si="71"/>
        <v>OK</v>
      </c>
    </row>
    <row r="1490" spans="1:9" hidden="1" x14ac:dyDescent="0.3">
      <c r="A1490" s="2">
        <v>45863</v>
      </c>
      <c r="B1490" t="str">
        <f t="shared" si="69"/>
        <v xml:space="preserve">juli </v>
      </c>
      <c r="C1490">
        <v>-113.49</v>
      </c>
      <c r="D1490" t="str" cm="1">
        <f t="array" ref="D1490">IFERROR(
  _xlfn.XLOOKUP(TRUE, ISNUMBER(FIND(Trefwoorden!$A$2:$A$99, E1490)), Trefwoorden!$B$2:$B$99),
  "Onbekend"
)</f>
        <v>AXA</v>
      </c>
      <c r="E1490" t="s">
        <v>297</v>
      </c>
      <c r="F1490" t="str">
        <f>VLOOKUP(Tabel1[[#This Row],[categorie]],Lijst!A:C,3,FALSE)</f>
        <v>Uitgave</v>
      </c>
      <c r="G1490">
        <f t="shared" si="70"/>
        <v>-113.49</v>
      </c>
      <c r="H1490" t="str">
        <f>VLOOKUP(Tabel1[[#This Row],[categorie]],Lijst!A:B,2,FALSE)</f>
        <v>Vast</v>
      </c>
      <c r="I1490" t="str">
        <f t="shared" si="71"/>
        <v>OK</v>
      </c>
    </row>
    <row r="1491" spans="1:9" hidden="1" x14ac:dyDescent="0.3">
      <c r="A1491" s="2">
        <v>45863</v>
      </c>
      <c r="B1491" t="str">
        <f t="shared" si="69"/>
        <v xml:space="preserve">juli </v>
      </c>
      <c r="C1491">
        <v>-2.6</v>
      </c>
      <c r="D1491" t="s">
        <v>22</v>
      </c>
      <c r="E1491" t="s">
        <v>389</v>
      </c>
      <c r="F1491" t="str">
        <f>VLOOKUP(Tabel1[[#This Row],[categorie]],Lijst!A:C,3,FALSE)</f>
        <v>Uitgave</v>
      </c>
      <c r="G1491">
        <f t="shared" si="70"/>
        <v>-2.6</v>
      </c>
      <c r="H1491" t="str">
        <f>VLOOKUP(Tabel1[[#This Row],[categorie]],Lijst!A:B,2,FALSE)</f>
        <v>Variabel</v>
      </c>
      <c r="I1491" t="str">
        <f t="shared" si="71"/>
        <v>OK</v>
      </c>
    </row>
    <row r="1492" spans="1:9" hidden="1" x14ac:dyDescent="0.3">
      <c r="A1492" s="2">
        <v>45863</v>
      </c>
      <c r="B1492" t="str">
        <f t="shared" si="69"/>
        <v xml:space="preserve">juli </v>
      </c>
      <c r="C1492">
        <v>-2.6</v>
      </c>
      <c r="D1492" t="s">
        <v>75</v>
      </c>
      <c r="E1492" t="s">
        <v>389</v>
      </c>
      <c r="F1492" t="s">
        <v>18</v>
      </c>
      <c r="G1492">
        <f t="shared" si="70"/>
        <v>-2.6</v>
      </c>
      <c r="H1492" t="str">
        <f>VLOOKUP(Tabel1[[#This Row],[categorie]],Lijst!A:B,2,FALSE)</f>
        <v>Variabel</v>
      </c>
      <c r="I1492" t="str">
        <f t="shared" si="71"/>
        <v>OK</v>
      </c>
    </row>
    <row r="1493" spans="1:9" hidden="1" x14ac:dyDescent="0.3">
      <c r="A1493" s="2">
        <v>45863</v>
      </c>
      <c r="B1493" t="str">
        <f t="shared" si="69"/>
        <v xml:space="preserve">juli </v>
      </c>
      <c r="C1493">
        <v>-33.89</v>
      </c>
      <c r="D1493" t="str" cm="1">
        <f t="array" ref="D1493">IFERROR(
  _xlfn.XLOOKUP(TRUE, ISNUMBER(FIND(Trefwoorden!$A$2:$A$99, E1493)), Trefwoorden!$B$2:$B$99),
  "Onbekend"
)</f>
        <v>voeding</v>
      </c>
      <c r="E1493" t="s">
        <v>370</v>
      </c>
      <c r="F1493" t="s">
        <v>18</v>
      </c>
      <c r="G1493">
        <f t="shared" si="70"/>
        <v>-33.89</v>
      </c>
      <c r="H1493" t="str">
        <f>VLOOKUP(Tabel1[[#This Row],[categorie]],Lijst!A:B,2,FALSE)</f>
        <v>Vast</v>
      </c>
      <c r="I1493" t="str">
        <f t="shared" si="71"/>
        <v>OK</v>
      </c>
    </row>
    <row r="1494" spans="1:9" hidden="1" x14ac:dyDescent="0.3">
      <c r="A1494" s="2">
        <v>45864</v>
      </c>
      <c r="B1494" t="str">
        <f t="shared" si="69"/>
        <v xml:space="preserve">juli </v>
      </c>
      <c r="C1494">
        <v>-17.72</v>
      </c>
      <c r="D1494" t="str" cm="1">
        <f t="array" ref="D1494">IFERROR(
  _xlfn.XLOOKUP(TRUE, ISNUMBER(FIND(Trefwoorden!$A$2:$A$99, E1494)), Trefwoorden!$B$2:$B$99),
  "Onbekend"
)</f>
        <v>voeding</v>
      </c>
      <c r="E1494" t="s">
        <v>369</v>
      </c>
      <c r="F1494" t="str">
        <f>VLOOKUP(Tabel1[[#This Row],[categorie]],Lijst!A:C,3,FALSE)</f>
        <v>Uitgave</v>
      </c>
      <c r="G1494">
        <f t="shared" si="70"/>
        <v>-17.72</v>
      </c>
      <c r="H1494" t="str">
        <f>VLOOKUP(Tabel1[[#This Row],[categorie]],Lijst!A:B,2,FALSE)</f>
        <v>Vast</v>
      </c>
      <c r="I1494" t="str">
        <f t="shared" si="71"/>
        <v>OK</v>
      </c>
    </row>
    <row r="1495" spans="1:9" hidden="1" x14ac:dyDescent="0.3">
      <c r="A1495" s="2">
        <v>45864</v>
      </c>
      <c r="B1495" t="str">
        <f t="shared" si="69"/>
        <v xml:space="preserve">juli </v>
      </c>
      <c r="C1495">
        <v>-19</v>
      </c>
      <c r="D1495" t="str" cm="1">
        <f t="array" ref="D1495">IFERROR(
  _xlfn.XLOOKUP(TRUE, ISNUMBER(FIND(Trefwoorden!$A$2:$A$99, E1495)), Trefwoorden!$B$2:$B$99),
  "Onbekend"
)</f>
        <v>car wash</v>
      </c>
      <c r="E1495" t="s">
        <v>374</v>
      </c>
      <c r="F1495" t="str">
        <f>VLOOKUP(Tabel1[[#This Row],[categorie]],Lijst!A:C,3,FALSE)</f>
        <v>Uitgave</v>
      </c>
      <c r="G1495">
        <f t="shared" si="70"/>
        <v>-19</v>
      </c>
      <c r="H1495" t="str">
        <f>VLOOKUP(Tabel1[[#This Row],[categorie]],Lijst!A:B,2,FALSE)</f>
        <v>Variabel</v>
      </c>
      <c r="I1495" t="str">
        <f t="shared" si="71"/>
        <v>OK</v>
      </c>
    </row>
    <row r="1496" spans="1:9" hidden="1" x14ac:dyDescent="0.3">
      <c r="A1496" s="2">
        <v>45865</v>
      </c>
      <c r="B1496" t="str">
        <f t="shared" si="69"/>
        <v xml:space="preserve">juli </v>
      </c>
      <c r="C1496">
        <v>-12.31</v>
      </c>
      <c r="D1496" t="str" cm="1">
        <f t="array" ref="D1496">IFERROR(
  _xlfn.XLOOKUP(TRUE, ISNUMBER(FIND(Trefwoorden!$A$2:$A$99, E1496)), Trefwoorden!$B$2:$B$99),
  "Onbekend"
)</f>
        <v>voeding</v>
      </c>
      <c r="E1496" t="s">
        <v>386</v>
      </c>
      <c r="F1496" t="str">
        <f>VLOOKUP(Tabel1[[#This Row],[categorie]],Lijst!A:C,3,FALSE)</f>
        <v>Uitgave</v>
      </c>
      <c r="G1496">
        <f t="shared" si="70"/>
        <v>-12.31</v>
      </c>
      <c r="H1496" t="str">
        <f>VLOOKUP(Tabel1[[#This Row],[categorie]],Lijst!A:B,2,FALSE)</f>
        <v>Vast</v>
      </c>
      <c r="I1496" t="str">
        <f t="shared" si="71"/>
        <v>OK</v>
      </c>
    </row>
    <row r="1497" spans="1:9" hidden="1" x14ac:dyDescent="0.3">
      <c r="A1497" s="2">
        <v>45865</v>
      </c>
      <c r="B1497" t="str">
        <f t="shared" si="69"/>
        <v xml:space="preserve">juli </v>
      </c>
      <c r="C1497">
        <v>-5.95</v>
      </c>
      <c r="D1497" t="s">
        <v>9</v>
      </c>
      <c r="E1497" t="s">
        <v>387</v>
      </c>
      <c r="F1497" t="s">
        <v>18</v>
      </c>
      <c r="G1497">
        <f t="shared" si="70"/>
        <v>-5.95</v>
      </c>
      <c r="H1497" t="str">
        <f>VLOOKUP(Tabel1[[#This Row],[categorie]],Lijst!A:B,2,FALSE)</f>
        <v>Variabel</v>
      </c>
      <c r="I1497" t="str">
        <f t="shared" si="71"/>
        <v>OK</v>
      </c>
    </row>
    <row r="1498" spans="1:9" hidden="1" x14ac:dyDescent="0.3">
      <c r="A1498" s="2">
        <v>45866</v>
      </c>
      <c r="B1498" t="str">
        <f t="shared" si="69"/>
        <v xml:space="preserve">juli </v>
      </c>
      <c r="C1498">
        <v>-10</v>
      </c>
      <c r="D1498" t="str" cm="1">
        <f t="array" ref="D1498">IFERROR(
  _xlfn.XLOOKUP(TRUE, ISNUMBER(FIND(Trefwoorden!$A$2:$A$99, E1498)), Trefwoorden!$B$2:$B$99),
  "Onbekend"
)</f>
        <v>Louis/Vis</v>
      </c>
      <c r="E1498" t="s">
        <v>391</v>
      </c>
      <c r="F1498" t="str">
        <f>VLOOKUP(Tabel1[[#This Row],[categorie]],Lijst!A:C,3,FALSE)</f>
        <v>Uitgave</v>
      </c>
      <c r="G1498">
        <f t="shared" si="70"/>
        <v>-10</v>
      </c>
      <c r="H1498" t="str">
        <f>VLOOKUP(Tabel1[[#This Row],[categorie]],Lijst!A:B,2,FALSE)</f>
        <v>Variabel</v>
      </c>
      <c r="I1498" t="str">
        <f t="shared" si="71"/>
        <v>OK</v>
      </c>
    </row>
    <row r="1499" spans="1:9" hidden="1" x14ac:dyDescent="0.3">
      <c r="A1499" s="2">
        <v>45866</v>
      </c>
      <c r="B1499" t="str">
        <f t="shared" si="69"/>
        <v xml:space="preserve">juli </v>
      </c>
      <c r="C1499">
        <v>-9.66</v>
      </c>
      <c r="D1499" t="str" cm="1">
        <f t="array" ref="D1499">IFERROR(
  _xlfn.XLOOKUP(TRUE, ISNUMBER(FIND(Trefwoorden!$A$2:$A$99, E1499)), Trefwoorden!$B$2:$B$99),
  "Onbekend"
)</f>
        <v>voeding</v>
      </c>
      <c r="E1499" t="s">
        <v>392</v>
      </c>
      <c r="F1499" t="str">
        <f>VLOOKUP(Tabel1[[#This Row],[categorie]],Lijst!A:C,3,FALSE)</f>
        <v>Uitgave</v>
      </c>
      <c r="G1499">
        <f t="shared" si="70"/>
        <v>-9.66</v>
      </c>
      <c r="H1499" t="str">
        <f>VLOOKUP(Tabel1[[#This Row],[categorie]],Lijst!A:B,2,FALSE)</f>
        <v>Vast</v>
      </c>
      <c r="I1499" t="str">
        <f t="shared" si="71"/>
        <v>OK</v>
      </c>
    </row>
    <row r="1500" spans="1:9" hidden="1" x14ac:dyDescent="0.3">
      <c r="A1500" s="2">
        <v>45866</v>
      </c>
      <c r="B1500" t="str">
        <f t="shared" si="69"/>
        <v xml:space="preserve">juli </v>
      </c>
      <c r="C1500">
        <v>-0.9</v>
      </c>
      <c r="D1500" t="str" cm="1">
        <f t="array" ref="D1500">IFERROR(
  _xlfn.XLOOKUP(TRUE, ISNUMBER(FIND(Trefwoorden!$A$2:$A$99, E1500)), Trefwoorden!$B$2:$B$99),
  "Onbekend"
)</f>
        <v>automaat De Lijn</v>
      </c>
      <c r="E1500" t="s">
        <v>393</v>
      </c>
      <c r="F1500" t="str">
        <f>VLOOKUP(Tabel1[[#This Row],[categorie]],Lijst!A:C,3,FALSE)</f>
        <v>Uitgave</v>
      </c>
      <c r="G1500">
        <f t="shared" si="70"/>
        <v>-0.9</v>
      </c>
      <c r="H1500" t="str">
        <f>VLOOKUP(Tabel1[[#This Row],[categorie]],Lijst!A:B,2,FALSE)</f>
        <v>Variabel</v>
      </c>
      <c r="I1500" t="str">
        <f t="shared" si="71"/>
        <v>OK</v>
      </c>
    </row>
    <row r="1501" spans="1:9" hidden="1" x14ac:dyDescent="0.3">
      <c r="A1501" s="2">
        <v>45866</v>
      </c>
      <c r="B1501" t="str">
        <f t="shared" si="69"/>
        <v xml:space="preserve">juli </v>
      </c>
      <c r="C1501">
        <v>-1.5</v>
      </c>
      <c r="D1501" t="str" cm="1">
        <f t="array" ref="D1501">IFERROR(
  _xlfn.XLOOKUP(TRUE, ISNUMBER(FIND(Trefwoorden!$A$2:$A$99, E1501)), Trefwoorden!$B$2:$B$99),
  "Onbekend"
)</f>
        <v>automaat De Lijn</v>
      </c>
      <c r="E1501" t="s">
        <v>394</v>
      </c>
      <c r="F1501" t="str">
        <f>VLOOKUP(Tabel1[[#This Row],[categorie]],Lijst!A:C,3,FALSE)</f>
        <v>Uitgave</v>
      </c>
      <c r="G1501">
        <f t="shared" si="70"/>
        <v>-1.5</v>
      </c>
      <c r="H1501" t="str">
        <f>VLOOKUP(Tabel1[[#This Row],[categorie]],Lijst!A:B,2,FALSE)</f>
        <v>Variabel</v>
      </c>
      <c r="I1501" t="str">
        <f t="shared" si="71"/>
        <v>OK</v>
      </c>
    </row>
    <row r="1502" spans="1:9" hidden="1" x14ac:dyDescent="0.3">
      <c r="A1502" s="2">
        <v>45866</v>
      </c>
      <c r="B1502" t="str">
        <f t="shared" si="69"/>
        <v xml:space="preserve">juli </v>
      </c>
      <c r="C1502">
        <v>-5.33</v>
      </c>
      <c r="D1502" t="str" cm="1">
        <f t="array" ref="D1502">IFERROR(
  _xlfn.XLOOKUP(TRUE, ISNUMBER(FIND(Trefwoorden!$A$2:$A$99, E1502)), Trefwoorden!$B$2:$B$99),
  "Onbekend"
)</f>
        <v>voeding</v>
      </c>
      <c r="E1502" t="s">
        <v>398</v>
      </c>
      <c r="F1502" t="str">
        <f>VLOOKUP(Tabel1[[#This Row],[categorie]],Lijst!A:C,3,FALSE)</f>
        <v>Uitgave</v>
      </c>
      <c r="G1502">
        <f t="shared" si="70"/>
        <v>-5.33</v>
      </c>
      <c r="H1502" t="str">
        <f>VLOOKUP(Tabel1[[#This Row],[categorie]],Lijst!A:B,2,FALSE)</f>
        <v>Vast</v>
      </c>
      <c r="I1502" t="str">
        <f t="shared" si="71"/>
        <v>OK</v>
      </c>
    </row>
    <row r="1503" spans="1:9" hidden="1" x14ac:dyDescent="0.3">
      <c r="A1503" s="2">
        <v>45866</v>
      </c>
      <c r="B1503" t="str">
        <f t="shared" si="69"/>
        <v xml:space="preserve">juli </v>
      </c>
      <c r="C1503">
        <v>-22.4</v>
      </c>
      <c r="D1503" t="str" cm="1">
        <f t="array" ref="D1503">IFERROR(
  _xlfn.XLOOKUP(TRUE, ISNUMBER(FIND(Trefwoorden!$A$2:$A$99, E1503)), Trefwoorden!$B$2:$B$99),
  "Onbekend"
)</f>
        <v>voeding</v>
      </c>
      <c r="E1503" t="s">
        <v>399</v>
      </c>
      <c r="F1503" t="str">
        <f>VLOOKUP(Tabel1[[#This Row],[categorie]],Lijst!A:C,3,FALSE)</f>
        <v>Uitgave</v>
      </c>
      <c r="G1503">
        <f t="shared" si="70"/>
        <v>-22.4</v>
      </c>
      <c r="H1503" t="str">
        <f>VLOOKUP(Tabel1[[#This Row],[categorie]],Lijst!A:B,2,FALSE)</f>
        <v>Vast</v>
      </c>
      <c r="I1503" t="str">
        <f t="shared" si="71"/>
        <v>OK</v>
      </c>
    </row>
    <row r="1504" spans="1:9" hidden="1" x14ac:dyDescent="0.3">
      <c r="A1504" s="2">
        <v>45866</v>
      </c>
      <c r="B1504" t="str">
        <f t="shared" si="69"/>
        <v xml:space="preserve">juli </v>
      </c>
      <c r="C1504">
        <v>-110.1</v>
      </c>
      <c r="D1504" t="s">
        <v>14</v>
      </c>
      <c r="E1504" t="s">
        <v>400</v>
      </c>
      <c r="F1504" t="str">
        <f>VLOOKUP(Tabel1[[#This Row],[categorie]],Lijst!A:C,3,FALSE)</f>
        <v>Uitgave</v>
      </c>
      <c r="G1504">
        <f t="shared" si="70"/>
        <v>-110.1</v>
      </c>
      <c r="H1504" t="str">
        <f>VLOOKUP(Tabel1[[#This Row],[categorie]],Lijst!A:B,2,FALSE)</f>
        <v>Variabel</v>
      </c>
      <c r="I1504" t="str">
        <f t="shared" si="71"/>
        <v>OK</v>
      </c>
    </row>
    <row r="1505" spans="1:9" hidden="1" x14ac:dyDescent="0.3">
      <c r="A1505" s="2">
        <v>45866</v>
      </c>
      <c r="B1505" t="str">
        <f t="shared" si="69"/>
        <v xml:space="preserve">juli </v>
      </c>
      <c r="C1505">
        <v>-7.48</v>
      </c>
      <c r="D1505" t="str" cm="1">
        <f t="array" ref="D1505">IFERROR(
  _xlfn.XLOOKUP(TRUE, ISNUMBER(FIND(Trefwoorden!$A$2:$A$99, E1505)), Trefwoorden!$B$2:$B$99),
  "Onbekend"
)</f>
        <v>Laadbeurt</v>
      </c>
      <c r="E1505" t="s">
        <v>380</v>
      </c>
      <c r="F1505" t="s">
        <v>18</v>
      </c>
      <c r="G1505">
        <f t="shared" si="70"/>
        <v>-7.48</v>
      </c>
      <c r="H1505" t="str">
        <f>VLOOKUP(Tabel1[[#This Row],[categorie]],Lijst!A:B,2,FALSE)</f>
        <v>Vast</v>
      </c>
      <c r="I1505" t="str">
        <f t="shared" si="71"/>
        <v>OK</v>
      </c>
    </row>
    <row r="1506" spans="1:9" hidden="1" x14ac:dyDescent="0.3">
      <c r="A1506" s="2">
        <v>45866</v>
      </c>
      <c r="B1506" t="str">
        <f t="shared" si="69"/>
        <v xml:space="preserve">juli </v>
      </c>
      <c r="C1506">
        <v>-5</v>
      </c>
      <c r="D1506" t="str" cm="1">
        <f t="array" ref="D1506">IFERROR(
  _xlfn.XLOOKUP(TRUE, ISNUMBER(FIND(Trefwoorden!$A$2:$A$99, E1506)), Trefwoorden!$B$2:$B$99),
  "Onbekend"
)</f>
        <v>Laadbeurt</v>
      </c>
      <c r="E1506" t="s">
        <v>380</v>
      </c>
      <c r="F1506" t="s">
        <v>18</v>
      </c>
      <c r="G1506">
        <f t="shared" si="70"/>
        <v>-5</v>
      </c>
      <c r="H1506" t="str">
        <f>VLOOKUP(Tabel1[[#This Row],[categorie]],Lijst!A:B,2,FALSE)</f>
        <v>Vast</v>
      </c>
      <c r="I1506" t="str">
        <f t="shared" si="71"/>
        <v>OK</v>
      </c>
    </row>
    <row r="1507" spans="1:9" hidden="1" x14ac:dyDescent="0.3">
      <c r="A1507" s="2">
        <v>45866</v>
      </c>
      <c r="B1507" t="str">
        <f t="shared" ref="B1507:B1547" si="72">TEXT(A1507,"mmmm ")</f>
        <v xml:space="preserve">juli </v>
      </c>
      <c r="C1507">
        <v>-10.65</v>
      </c>
      <c r="D1507" t="str" cm="1">
        <f t="array" ref="D1507">IFERROR(
  _xlfn.XLOOKUP(TRUE, ISNUMBER(FIND(Trefwoorden!$A$2:$A$99, E1507)), Trefwoorden!$B$2:$B$99),
  "Onbekend"
)</f>
        <v>Laadbeurt</v>
      </c>
      <c r="E1507" t="s">
        <v>381</v>
      </c>
      <c r="F1507" t="s">
        <v>18</v>
      </c>
      <c r="G1507">
        <f t="shared" ref="G1507:G1547" si="73">IF(F1507="Uitgave", -ABS(C1507), ABS(C1507))</f>
        <v>-10.65</v>
      </c>
      <c r="H1507" t="str">
        <f>VLOOKUP(Tabel1[[#This Row],[categorie]],Lijst!A:B,2,FALSE)</f>
        <v>Vast</v>
      </c>
      <c r="I1507" t="str">
        <f t="shared" ref="I1507:I1547" si="74">IF(OR(AND(F1507="Uitgave", C1507&lt;0), AND(F1507="Inkomst", C1507&gt;0)), "OK", "FOUT")</f>
        <v>OK</v>
      </c>
    </row>
    <row r="1508" spans="1:9" hidden="1" x14ac:dyDescent="0.3">
      <c r="A1508" s="2">
        <v>45866</v>
      </c>
      <c r="B1508" t="str">
        <f t="shared" si="72"/>
        <v xml:space="preserve">juli </v>
      </c>
      <c r="C1508">
        <v>-5</v>
      </c>
      <c r="D1508" t="str" cm="1">
        <f t="array" ref="D1508">IFERROR(
  _xlfn.XLOOKUP(TRUE, ISNUMBER(FIND(Trefwoorden!$A$2:$A$99, E1508)), Trefwoorden!$B$2:$B$99),
  "Onbekend"
)</f>
        <v>Laadbeurt</v>
      </c>
      <c r="E1508" t="s">
        <v>381</v>
      </c>
      <c r="F1508" t="s">
        <v>18</v>
      </c>
      <c r="G1508">
        <f t="shared" si="73"/>
        <v>-5</v>
      </c>
      <c r="H1508" t="str">
        <f>VLOOKUP(Tabel1[[#This Row],[categorie]],Lijst!A:B,2,FALSE)</f>
        <v>Vast</v>
      </c>
      <c r="I1508" t="str">
        <f t="shared" si="74"/>
        <v>OK</v>
      </c>
    </row>
    <row r="1509" spans="1:9" hidden="1" x14ac:dyDescent="0.3">
      <c r="A1509" s="2">
        <v>45866</v>
      </c>
      <c r="B1509" t="str">
        <f t="shared" si="72"/>
        <v xml:space="preserve">juli </v>
      </c>
      <c r="C1509">
        <v>-18</v>
      </c>
      <c r="D1509" t="s">
        <v>30</v>
      </c>
      <c r="E1509" t="s">
        <v>382</v>
      </c>
      <c r="F1509" t="s">
        <v>18</v>
      </c>
      <c r="G1509">
        <f t="shared" si="73"/>
        <v>-18</v>
      </c>
      <c r="H1509" t="str">
        <f>VLOOKUP(Tabel1[[#This Row],[categorie]],Lijst!A:B,2,FALSE)</f>
        <v>Vast</v>
      </c>
      <c r="I1509" t="str">
        <f t="shared" si="74"/>
        <v>OK</v>
      </c>
    </row>
    <row r="1510" spans="1:9" hidden="1" x14ac:dyDescent="0.3">
      <c r="A1510" s="2">
        <v>45867</v>
      </c>
      <c r="B1510" t="str">
        <f t="shared" si="72"/>
        <v xml:space="preserve">juli </v>
      </c>
      <c r="C1510">
        <v>-22.48</v>
      </c>
      <c r="D1510" t="str" cm="1">
        <f t="array" ref="D1510">IFERROR(
  _xlfn.XLOOKUP(TRUE, ISNUMBER(FIND(Trefwoorden!$A$2:$A$99, E1510)), Trefwoorden!$B$2:$B$99),
  "Onbekend"
)</f>
        <v>Louis/Vis</v>
      </c>
      <c r="E1510" t="s">
        <v>395</v>
      </c>
      <c r="F1510" t="str">
        <f>VLOOKUP(Tabel1[[#This Row],[categorie]],Lijst!A:C,3,FALSE)</f>
        <v>Uitgave</v>
      </c>
      <c r="G1510">
        <f t="shared" si="73"/>
        <v>-22.48</v>
      </c>
      <c r="H1510" t="str">
        <f>VLOOKUP(Tabel1[[#This Row],[categorie]],Lijst!A:B,2,FALSE)</f>
        <v>Variabel</v>
      </c>
      <c r="I1510" t="str">
        <f t="shared" si="74"/>
        <v>OK</v>
      </c>
    </row>
    <row r="1511" spans="1:9" hidden="1" x14ac:dyDescent="0.3">
      <c r="A1511" s="2">
        <v>45867</v>
      </c>
      <c r="B1511" t="str">
        <f t="shared" si="72"/>
        <v xml:space="preserve">juli </v>
      </c>
      <c r="C1511">
        <v>-27.33</v>
      </c>
      <c r="D1511" t="str" cm="1">
        <f t="array" ref="D1511">IFERROR(
  _xlfn.XLOOKUP(TRUE, ISNUMBER(FIND(Trefwoorden!$A$2:$A$99, E1511)), Trefwoorden!$B$2:$B$99),
  "Onbekend"
)</f>
        <v>voeding</v>
      </c>
      <c r="E1511" t="s">
        <v>396</v>
      </c>
      <c r="F1511" t="str">
        <f>VLOOKUP(Tabel1[[#This Row],[categorie]],Lijst!A:C,3,FALSE)</f>
        <v>Uitgave</v>
      </c>
      <c r="G1511">
        <f t="shared" si="73"/>
        <v>-27.33</v>
      </c>
      <c r="H1511" t="str">
        <f>VLOOKUP(Tabel1[[#This Row],[categorie]],Lijst!A:B,2,FALSE)</f>
        <v>Vast</v>
      </c>
      <c r="I1511" t="str">
        <f t="shared" si="74"/>
        <v>OK</v>
      </c>
    </row>
    <row r="1512" spans="1:9" hidden="1" x14ac:dyDescent="0.3">
      <c r="A1512" s="2">
        <v>45867</v>
      </c>
      <c r="B1512" t="str">
        <f t="shared" si="72"/>
        <v xml:space="preserve">juli </v>
      </c>
      <c r="C1512">
        <v>-15.84</v>
      </c>
      <c r="D1512" t="str" cm="1">
        <f t="array" ref="D1512">IFERROR(
  _xlfn.XLOOKUP(TRUE, ISNUMBER(FIND(Trefwoorden!$A$2:$A$99, E1512)), Trefwoorden!$B$2:$B$99),
  "Onbekend"
)</f>
        <v>Gezondheid</v>
      </c>
      <c r="E1512" t="s">
        <v>397</v>
      </c>
      <c r="F1512" t="s">
        <v>18</v>
      </c>
      <c r="G1512">
        <f t="shared" si="73"/>
        <v>-15.84</v>
      </c>
      <c r="H1512" t="str">
        <f>VLOOKUP(Tabel1[[#This Row],[categorie]],Lijst!A:B,2,FALSE)</f>
        <v>Vast</v>
      </c>
      <c r="I1512" t="str">
        <f t="shared" si="74"/>
        <v>OK</v>
      </c>
    </row>
    <row r="1513" spans="1:9" hidden="1" x14ac:dyDescent="0.3">
      <c r="A1513" s="2">
        <v>45867</v>
      </c>
      <c r="B1513" t="str">
        <f t="shared" si="72"/>
        <v xml:space="preserve">juli </v>
      </c>
      <c r="C1513">
        <v>-5.5</v>
      </c>
      <c r="D1513" t="str" cm="1">
        <f t="array" ref="D1513">IFERROR(
  _xlfn.XLOOKUP(TRUE, ISNUMBER(FIND(Trefwoorden!$A$2:$A$99, E1513)), Trefwoorden!$B$2:$B$99),
  "Onbekend"
)</f>
        <v>Laadbeurt</v>
      </c>
      <c r="E1513" t="s">
        <v>388</v>
      </c>
      <c r="F1513" t="str">
        <f>VLOOKUP(Tabel1[[#This Row],[categorie]],Lijst!A:C,3,FALSE)</f>
        <v>Uitgave</v>
      </c>
      <c r="G1513">
        <f t="shared" si="73"/>
        <v>-5.5</v>
      </c>
      <c r="H1513" t="str">
        <f>VLOOKUP(Tabel1[[#This Row],[categorie]],Lijst!A:B,2,FALSE)</f>
        <v>Vast</v>
      </c>
      <c r="I1513" t="str">
        <f t="shared" si="74"/>
        <v>OK</v>
      </c>
    </row>
    <row r="1514" spans="1:9" hidden="1" x14ac:dyDescent="0.3">
      <c r="A1514" s="2">
        <v>45867</v>
      </c>
      <c r="B1514" t="str">
        <f t="shared" si="72"/>
        <v xml:space="preserve">juli </v>
      </c>
      <c r="C1514">
        <v>-55.11</v>
      </c>
      <c r="D1514" t="s">
        <v>68</v>
      </c>
      <c r="E1514" t="s">
        <v>401</v>
      </c>
      <c r="F1514" t="str">
        <f>VLOOKUP(Tabel1[[#This Row],[categorie]],Lijst!A:C,3,FALSE)</f>
        <v>Uitgave</v>
      </c>
      <c r="G1514">
        <f t="shared" si="73"/>
        <v>-55.11</v>
      </c>
      <c r="H1514" t="str">
        <f>VLOOKUP(Tabel1[[#This Row],[categorie]],Lijst!A:B,2,FALSE)</f>
        <v>Variabel</v>
      </c>
      <c r="I1514" t="str">
        <f t="shared" si="74"/>
        <v>OK</v>
      </c>
    </row>
    <row r="1515" spans="1:9" hidden="1" x14ac:dyDescent="0.3">
      <c r="A1515" s="2">
        <v>45867</v>
      </c>
      <c r="B1515" t="str">
        <f t="shared" si="72"/>
        <v xml:space="preserve">juli </v>
      </c>
      <c r="C1515">
        <v>-3.58</v>
      </c>
      <c r="D1515" t="str" cm="1">
        <f t="array" ref="D1515">IFERROR(
  _xlfn.XLOOKUP(TRUE, ISNUMBER(FIND(Trefwoorden!$A$2:$A$99, E1515)), Trefwoorden!$B$2:$B$99),
  "Onbekend"
)</f>
        <v>voeding</v>
      </c>
      <c r="E1515" t="s">
        <v>418</v>
      </c>
      <c r="F1515" t="str">
        <f>VLOOKUP(Tabel1[[#This Row],[categorie]],Lijst!A:C,3,FALSE)</f>
        <v>Uitgave</v>
      </c>
      <c r="G1515">
        <f t="shared" si="73"/>
        <v>-3.58</v>
      </c>
      <c r="H1515" t="str">
        <f>VLOOKUP(Tabel1[[#This Row],[categorie]],Lijst!A:B,2,FALSE)</f>
        <v>Vast</v>
      </c>
      <c r="I1515" t="str">
        <f t="shared" si="74"/>
        <v>OK</v>
      </c>
    </row>
    <row r="1516" spans="1:9" hidden="1" x14ac:dyDescent="0.3">
      <c r="A1516" s="2">
        <v>45868</v>
      </c>
      <c r="B1516" t="str">
        <f t="shared" si="72"/>
        <v xml:space="preserve">juli </v>
      </c>
      <c r="C1516">
        <v>-200</v>
      </c>
      <c r="D1516" t="str" cm="1">
        <f t="array" ref="D1516">IFERROR(
  _xlfn.XLOOKUP(TRUE, ISNUMBER(FIND(Trefwoorden!$A$2:$A$99, E1516)), Trefwoorden!$B$2:$B$99),
  "Onbekend"
)</f>
        <v>Leasing Auto</v>
      </c>
      <c r="E1516" t="s">
        <v>390</v>
      </c>
      <c r="F1516" t="str">
        <f>VLOOKUP(Tabel1[[#This Row],[categorie]],Lijst!A:C,3,FALSE)</f>
        <v>Uitgave</v>
      </c>
      <c r="G1516">
        <f t="shared" si="73"/>
        <v>-200</v>
      </c>
      <c r="H1516" t="str">
        <f>VLOOKUP(Tabel1[[#This Row],[categorie]],Lijst!A:B,2,FALSE)</f>
        <v>Vast</v>
      </c>
      <c r="I1516" t="str">
        <f t="shared" si="74"/>
        <v>OK</v>
      </c>
    </row>
    <row r="1517" spans="1:9" hidden="1" x14ac:dyDescent="0.3">
      <c r="A1517" s="2">
        <v>45868</v>
      </c>
      <c r="B1517" t="str">
        <f t="shared" si="72"/>
        <v xml:space="preserve">juli </v>
      </c>
      <c r="C1517">
        <v>-10.18</v>
      </c>
      <c r="D1517" t="str" cm="1">
        <f t="array" ref="D1517">IFERROR(
  _xlfn.XLOOKUP(TRUE, ISNUMBER(FIND(Trefwoorden!$A$2:$A$99, E1517)), Trefwoorden!$B$2:$B$99),
  "Onbekend"
)</f>
        <v>voeding</v>
      </c>
      <c r="E1517" t="s">
        <v>402</v>
      </c>
      <c r="F1517" t="str">
        <f>VLOOKUP(Tabel1[[#This Row],[categorie]],Lijst!A:C,3,FALSE)</f>
        <v>Uitgave</v>
      </c>
      <c r="G1517">
        <f t="shared" si="73"/>
        <v>-10.18</v>
      </c>
      <c r="H1517" t="str">
        <f>VLOOKUP(Tabel1[[#This Row],[categorie]],Lijst!A:B,2,FALSE)</f>
        <v>Vast</v>
      </c>
      <c r="I1517" t="str">
        <f t="shared" si="74"/>
        <v>OK</v>
      </c>
    </row>
    <row r="1518" spans="1:9" hidden="1" x14ac:dyDescent="0.3">
      <c r="A1518" s="2">
        <v>45868</v>
      </c>
      <c r="B1518" t="str">
        <f t="shared" si="72"/>
        <v xml:space="preserve">juli </v>
      </c>
      <c r="C1518">
        <v>-6.99</v>
      </c>
      <c r="D1518" t="s">
        <v>82</v>
      </c>
      <c r="E1518" t="s">
        <v>403</v>
      </c>
      <c r="F1518" t="s">
        <v>18</v>
      </c>
      <c r="G1518">
        <f t="shared" si="73"/>
        <v>-6.99</v>
      </c>
      <c r="H1518" t="str">
        <f>VLOOKUP(Tabel1[[#This Row],[categorie]],Lijst!A:B,2,FALSE)</f>
        <v>Vast</v>
      </c>
      <c r="I1518" t="str">
        <f t="shared" si="74"/>
        <v>OK</v>
      </c>
    </row>
    <row r="1519" spans="1:9" hidden="1" x14ac:dyDescent="0.3">
      <c r="A1519" s="2">
        <v>45868</v>
      </c>
      <c r="B1519" t="str">
        <f t="shared" si="72"/>
        <v xml:space="preserve">juli </v>
      </c>
      <c r="C1519">
        <v>-1.6</v>
      </c>
      <c r="D1519" t="s">
        <v>3</v>
      </c>
      <c r="E1519" t="s">
        <v>404</v>
      </c>
      <c r="F1519" t="str">
        <f>VLOOKUP(Tabel1[[#This Row],[categorie]],Lijst!A:C,3,FALSE)</f>
        <v>Uitgave</v>
      </c>
      <c r="G1519">
        <f t="shared" si="73"/>
        <v>-1.6</v>
      </c>
      <c r="H1519" t="str">
        <f>VLOOKUP(Tabel1[[#This Row],[categorie]],Lijst!A:B,2,FALSE)</f>
        <v>Vast</v>
      </c>
      <c r="I1519" t="str">
        <f t="shared" si="74"/>
        <v>OK</v>
      </c>
    </row>
    <row r="1520" spans="1:9" hidden="1" x14ac:dyDescent="0.3">
      <c r="A1520" s="2">
        <v>45868</v>
      </c>
      <c r="B1520" t="str">
        <f t="shared" si="72"/>
        <v xml:space="preserve">juli </v>
      </c>
      <c r="C1520">
        <v>-76.83</v>
      </c>
      <c r="D1520" t="str" cm="1">
        <f t="array" ref="D1520">IFERROR(
  _xlfn.XLOOKUP(TRUE, ISNUMBER(FIND(Trefwoorden!$A$2:$A$99, E1520)), Trefwoorden!$B$2:$B$99),
  "Onbekend"
)</f>
        <v>Telenet</v>
      </c>
      <c r="E1520" t="s">
        <v>405</v>
      </c>
      <c r="F1520" t="str">
        <f>VLOOKUP(Tabel1[[#This Row],[categorie]],Lijst!A:C,3,FALSE)</f>
        <v>Uitgave</v>
      </c>
      <c r="G1520">
        <f t="shared" si="73"/>
        <v>-76.83</v>
      </c>
      <c r="H1520" t="str">
        <f>VLOOKUP(Tabel1[[#This Row],[categorie]],Lijst!A:B,2,FALSE)</f>
        <v>Vast</v>
      </c>
      <c r="I1520" t="str">
        <f t="shared" si="74"/>
        <v>OK</v>
      </c>
    </row>
    <row r="1521" spans="1:9" hidden="1" x14ac:dyDescent="0.3">
      <c r="A1521" s="2">
        <v>45868</v>
      </c>
      <c r="B1521" t="str">
        <f t="shared" si="72"/>
        <v xml:space="preserve">juli </v>
      </c>
      <c r="C1521">
        <v>-386.12</v>
      </c>
      <c r="D1521" t="str" cm="1">
        <f t="array" ref="D1521">IFERROR(
  _xlfn.XLOOKUP(TRUE, ISNUMBER(FIND(Trefwoorden!$A$2:$A$99, E1521)), Trefwoorden!$B$2:$B$99),
  "Onbekend"
)</f>
        <v>Leasing Auto</v>
      </c>
      <c r="E1521" t="s">
        <v>390</v>
      </c>
      <c r="F1521" t="str">
        <f>VLOOKUP(Tabel1[[#This Row],[categorie]],Lijst!A:C,3,FALSE)</f>
        <v>Uitgave</v>
      </c>
      <c r="G1521">
        <f t="shared" si="73"/>
        <v>-386.12</v>
      </c>
      <c r="H1521" t="str">
        <f>VLOOKUP(Tabel1[[#This Row],[categorie]],Lijst!A:B,2,FALSE)</f>
        <v>Vast</v>
      </c>
      <c r="I1521" t="str">
        <f t="shared" si="74"/>
        <v>OK</v>
      </c>
    </row>
    <row r="1522" spans="1:9" hidden="1" x14ac:dyDescent="0.3">
      <c r="A1522" s="2">
        <v>45868</v>
      </c>
      <c r="B1522" t="str">
        <f t="shared" si="72"/>
        <v xml:space="preserve">juli </v>
      </c>
      <c r="C1522">
        <v>-6.23</v>
      </c>
      <c r="D1522" t="str" cm="1">
        <f t="array" ref="D1522">IFERROR(
  _xlfn.XLOOKUP(TRUE, ISNUMBER(FIND(Trefwoorden!$A$2:$A$99, E1522)), Trefwoorden!$B$2:$B$99),
  "Onbekend"
)</f>
        <v>voeding</v>
      </c>
      <c r="E1522" t="s">
        <v>415</v>
      </c>
      <c r="F1522" t="str">
        <f>VLOOKUP(Tabel1[[#This Row],[categorie]],Lijst!A:C,3,FALSE)</f>
        <v>Uitgave</v>
      </c>
      <c r="G1522">
        <f t="shared" si="73"/>
        <v>-6.23</v>
      </c>
      <c r="H1522" t="str">
        <f>VLOOKUP(Tabel1[[#This Row],[categorie]],Lijst!A:B,2,FALSE)</f>
        <v>Vast</v>
      </c>
      <c r="I1522" t="str">
        <f t="shared" si="74"/>
        <v>OK</v>
      </c>
    </row>
    <row r="1523" spans="1:9" hidden="1" x14ac:dyDescent="0.3">
      <c r="A1523" s="2">
        <v>45868</v>
      </c>
      <c r="B1523" t="str">
        <f t="shared" si="72"/>
        <v xml:space="preserve">juli </v>
      </c>
      <c r="C1523">
        <v>-297</v>
      </c>
      <c r="D1523" t="s">
        <v>82</v>
      </c>
      <c r="E1523" t="s">
        <v>416</v>
      </c>
      <c r="F1523" t="s">
        <v>18</v>
      </c>
      <c r="G1523">
        <f t="shared" si="73"/>
        <v>-297</v>
      </c>
      <c r="H1523" t="str">
        <f>VLOOKUP(Tabel1[[#This Row],[categorie]],Lijst!A:B,2,FALSE)</f>
        <v>Vast</v>
      </c>
      <c r="I1523" t="str">
        <f t="shared" si="74"/>
        <v>OK</v>
      </c>
    </row>
    <row r="1524" spans="1:9" hidden="1" x14ac:dyDescent="0.3">
      <c r="A1524" s="2">
        <v>45868</v>
      </c>
      <c r="B1524" t="str">
        <f t="shared" si="72"/>
        <v xml:space="preserve">juli </v>
      </c>
      <c r="C1524">
        <v>-4.59</v>
      </c>
      <c r="D1524" t="str" cm="1">
        <f t="array" ref="D1524">IFERROR(
  _xlfn.XLOOKUP(TRUE, ISNUMBER(FIND(Trefwoorden!$A$2:$A$99, E1524)), Trefwoorden!$B$2:$B$99),
  "Onbekend"
)</f>
        <v>Hema</v>
      </c>
      <c r="E1524" t="s">
        <v>417</v>
      </c>
      <c r="F1524" t="str">
        <f>VLOOKUP(Tabel1[[#This Row],[categorie]],Lijst!A:C,3,FALSE)</f>
        <v>Uitgave</v>
      </c>
      <c r="G1524">
        <f t="shared" si="73"/>
        <v>-4.59</v>
      </c>
      <c r="H1524" t="str">
        <f>VLOOKUP(Tabel1[[#This Row],[categorie]],Lijst!A:B,2,FALSE)</f>
        <v>Variabel</v>
      </c>
      <c r="I1524" t="str">
        <f t="shared" si="74"/>
        <v>OK</v>
      </c>
    </row>
    <row r="1525" spans="1:9" hidden="1" x14ac:dyDescent="0.3">
      <c r="A1525" s="2">
        <v>45868</v>
      </c>
      <c r="B1525" t="str">
        <f t="shared" si="72"/>
        <v xml:space="preserve">juli </v>
      </c>
      <c r="C1525">
        <v>-8.1</v>
      </c>
      <c r="D1525" t="str" cm="1">
        <f t="array" ref="D1525">IFERROR(
  _xlfn.XLOOKUP(TRUE, ISNUMBER(FIND(Trefwoorden!$A$2:$A$99, E1525)), Trefwoorden!$B$2:$B$99),
  "Onbekend"
)</f>
        <v>EuroShop</v>
      </c>
      <c r="E1525" t="s">
        <v>422</v>
      </c>
      <c r="F1525" t="str">
        <f>VLOOKUP(Tabel1[[#This Row],[categorie]],Lijst!A:C,3,FALSE)</f>
        <v>Uitgave</v>
      </c>
      <c r="G1525">
        <f t="shared" si="73"/>
        <v>-8.1</v>
      </c>
      <c r="H1525" t="str">
        <f>VLOOKUP(Tabel1[[#This Row],[categorie]],Lijst!A:B,2,FALSE)</f>
        <v>Variabel</v>
      </c>
      <c r="I1525" t="str">
        <f t="shared" si="74"/>
        <v>OK</v>
      </c>
    </row>
    <row r="1526" spans="1:9" hidden="1" x14ac:dyDescent="0.3">
      <c r="A1526" s="2">
        <v>45868</v>
      </c>
      <c r="B1526" t="str">
        <f t="shared" si="72"/>
        <v xml:space="preserve">juli </v>
      </c>
      <c r="C1526">
        <v>-5.62</v>
      </c>
      <c r="D1526" t="str" cm="1">
        <f t="array" ref="D1526">IFERROR(
  _xlfn.XLOOKUP(TRUE, ISNUMBER(FIND(Trefwoorden!$A$2:$A$99, E1526)), Trefwoorden!$B$2:$B$99),
  "Onbekend"
)</f>
        <v>voeding</v>
      </c>
      <c r="E1526" t="s">
        <v>423</v>
      </c>
      <c r="F1526" t="str">
        <f>VLOOKUP(Tabel1[[#This Row],[categorie]],Lijst!A:C,3,FALSE)</f>
        <v>Uitgave</v>
      </c>
      <c r="G1526">
        <f t="shared" si="73"/>
        <v>-5.62</v>
      </c>
      <c r="H1526" t="str">
        <f>VLOOKUP(Tabel1[[#This Row],[categorie]],Lijst!A:B,2,FALSE)</f>
        <v>Vast</v>
      </c>
      <c r="I1526" t="str">
        <f t="shared" si="74"/>
        <v>OK</v>
      </c>
    </row>
    <row r="1527" spans="1:9" hidden="1" x14ac:dyDescent="0.3">
      <c r="A1527" s="2">
        <v>45869</v>
      </c>
      <c r="B1527" t="str">
        <f t="shared" si="72"/>
        <v xml:space="preserve">juli </v>
      </c>
      <c r="C1527">
        <v>-1.99</v>
      </c>
      <c r="D1527" t="str" cm="1">
        <f t="array" ref="D1527">IFERROR(
  _xlfn.XLOOKUP(TRUE, ISNUMBER(FIND(Trefwoorden!$A$2:$A$99, E1527)), Trefwoorden!$B$2:$B$99),
  "Onbekend"
)</f>
        <v>voeding</v>
      </c>
      <c r="E1527" t="s">
        <v>406</v>
      </c>
      <c r="F1527" t="str">
        <f>VLOOKUP(Tabel1[[#This Row],[categorie]],Lijst!A:C,3,FALSE)</f>
        <v>Uitgave</v>
      </c>
      <c r="G1527">
        <f t="shared" si="73"/>
        <v>-1.99</v>
      </c>
      <c r="H1527" t="str">
        <f>VLOOKUP(Tabel1[[#This Row],[categorie]],Lijst!A:B,2,FALSE)</f>
        <v>Vast</v>
      </c>
      <c r="I1527" t="str">
        <f t="shared" si="74"/>
        <v>OK</v>
      </c>
    </row>
    <row r="1528" spans="1:9" hidden="1" x14ac:dyDescent="0.3">
      <c r="A1528" s="2">
        <v>45869</v>
      </c>
      <c r="B1528" t="str">
        <f t="shared" si="72"/>
        <v xml:space="preserve">juli </v>
      </c>
      <c r="C1528">
        <v>-3.92</v>
      </c>
      <c r="D1528" t="str" cm="1">
        <f t="array" ref="D1528">IFERROR(
  _xlfn.XLOOKUP(TRUE, ISNUMBER(FIND(Trefwoorden!$A$2:$A$99, E1528)), Trefwoorden!$B$2:$B$99),
  "Onbekend"
)</f>
        <v>Laadbeurt</v>
      </c>
      <c r="E1528" t="s">
        <v>407</v>
      </c>
      <c r="F1528" t="str">
        <f>VLOOKUP(Tabel1[[#This Row],[categorie]],Lijst!A:C,3,FALSE)</f>
        <v>Uitgave</v>
      </c>
      <c r="G1528">
        <f t="shared" si="73"/>
        <v>-3.92</v>
      </c>
      <c r="H1528" t="str">
        <f>VLOOKUP(Tabel1[[#This Row],[categorie]],Lijst!A:B,2,FALSE)</f>
        <v>Vast</v>
      </c>
      <c r="I1528" t="str">
        <f t="shared" si="74"/>
        <v>OK</v>
      </c>
    </row>
    <row r="1529" spans="1:9" hidden="1" x14ac:dyDescent="0.3">
      <c r="A1529" s="2">
        <v>45869</v>
      </c>
      <c r="B1529" t="str">
        <f t="shared" si="72"/>
        <v xml:space="preserve">juli </v>
      </c>
      <c r="C1529">
        <v>-50.6</v>
      </c>
      <c r="D1529" t="str" cm="1">
        <f t="array" ref="D1529">IFERROR(
  _xlfn.XLOOKUP(TRUE, ISNUMBER(FIND(Trefwoorden!$A$2:$A$99, E1529)), Trefwoorden!$B$2:$B$99),
  "Onbekend"
)</f>
        <v>Hospitalisatie</v>
      </c>
      <c r="E1529" t="s">
        <v>408</v>
      </c>
      <c r="F1529" t="str">
        <f>VLOOKUP(Tabel1[[#This Row],[categorie]],Lijst!A:C,3,FALSE)</f>
        <v>Uitgave</v>
      </c>
      <c r="G1529">
        <f t="shared" si="73"/>
        <v>-50.6</v>
      </c>
      <c r="H1529" t="str">
        <f>VLOOKUP(Tabel1[[#This Row],[categorie]],Lijst!A:B,2,FALSE)</f>
        <v>Vast</v>
      </c>
      <c r="I1529" t="str">
        <f t="shared" si="74"/>
        <v>OK</v>
      </c>
    </row>
    <row r="1530" spans="1:9" hidden="1" x14ac:dyDescent="0.3">
      <c r="A1530" s="2">
        <v>45869</v>
      </c>
      <c r="B1530" t="str">
        <f t="shared" si="72"/>
        <v xml:space="preserve">juli </v>
      </c>
      <c r="C1530">
        <v>-24</v>
      </c>
      <c r="D1530" t="s">
        <v>36</v>
      </c>
      <c r="E1530" t="s">
        <v>409</v>
      </c>
      <c r="F1530" t="str">
        <f>VLOOKUP(Tabel1[[#This Row],[categorie]],Lijst!A:C,3,FALSE)</f>
        <v>Uitgave</v>
      </c>
      <c r="G1530">
        <f t="shared" si="73"/>
        <v>-24</v>
      </c>
      <c r="H1530" t="str">
        <f>VLOOKUP(Tabel1[[#This Row],[categorie]],Lijst!A:B,2,FALSE)</f>
        <v>Variabel</v>
      </c>
      <c r="I1530" t="str">
        <f t="shared" si="74"/>
        <v>OK</v>
      </c>
    </row>
    <row r="1531" spans="1:9" hidden="1" x14ac:dyDescent="0.3">
      <c r="A1531" s="2">
        <v>45869</v>
      </c>
      <c r="B1531" t="str">
        <f t="shared" si="72"/>
        <v xml:space="preserve">juli </v>
      </c>
      <c r="C1531">
        <v>53.1</v>
      </c>
      <c r="D1531" t="s">
        <v>75</v>
      </c>
      <c r="E1531" t="s">
        <v>411</v>
      </c>
      <c r="F1531" t="s">
        <v>17</v>
      </c>
      <c r="G1531">
        <f t="shared" si="73"/>
        <v>53.1</v>
      </c>
      <c r="H1531" t="str">
        <f>VLOOKUP(Tabel1[[#This Row],[categorie]],Lijst!A:B,2,FALSE)</f>
        <v>Variabel</v>
      </c>
      <c r="I1531" t="str">
        <f t="shared" si="74"/>
        <v>OK</v>
      </c>
    </row>
    <row r="1532" spans="1:9" hidden="1" x14ac:dyDescent="0.3">
      <c r="A1532" s="2">
        <v>45869</v>
      </c>
      <c r="B1532" t="str">
        <f t="shared" si="72"/>
        <v xml:space="preserve">juli </v>
      </c>
      <c r="C1532">
        <v>164.5</v>
      </c>
      <c r="D1532" t="str" cm="1">
        <f t="array" ref="D1532">IFERROR(
  _xlfn.XLOOKUP(TRUE, ISNUMBER(FIND(Trefwoorden!$A$2:$A$99, E1532)), Trefwoorden!$B$2:$B$99),
  "Onbekend"
)</f>
        <v>Gezondheid</v>
      </c>
      <c r="E1532" t="s">
        <v>412</v>
      </c>
      <c r="F1532" t="s">
        <v>17</v>
      </c>
      <c r="G1532">
        <f t="shared" si="73"/>
        <v>164.5</v>
      </c>
      <c r="H1532" t="str">
        <f>VLOOKUP(Tabel1[[#This Row],[categorie]],Lijst!A:B,2,FALSE)</f>
        <v>Vast</v>
      </c>
      <c r="I1532" t="str">
        <f t="shared" si="74"/>
        <v>OK</v>
      </c>
    </row>
    <row r="1533" spans="1:9" hidden="1" x14ac:dyDescent="0.3">
      <c r="A1533" s="2">
        <v>45869</v>
      </c>
      <c r="B1533" t="str">
        <f t="shared" si="72"/>
        <v xml:space="preserve">juli </v>
      </c>
      <c r="C1533">
        <v>-1.5</v>
      </c>
      <c r="D1533" t="str" cm="1">
        <f t="array" ref="D1533">IFERROR(
  _xlfn.XLOOKUP(TRUE, ISNUMBER(FIND(Trefwoorden!$A$2:$A$99, E1533)), Trefwoorden!$B$2:$B$99),
  "Onbekend"
)</f>
        <v>automaat De Lijn</v>
      </c>
      <c r="E1533" t="s">
        <v>413</v>
      </c>
      <c r="F1533" t="str">
        <f>VLOOKUP(Tabel1[[#This Row],[categorie]],Lijst!A:C,3,FALSE)</f>
        <v>Uitgave</v>
      </c>
      <c r="G1533">
        <f t="shared" si="73"/>
        <v>-1.5</v>
      </c>
      <c r="H1533" t="str">
        <f>VLOOKUP(Tabel1[[#This Row],[categorie]],Lijst!A:B,2,FALSE)</f>
        <v>Variabel</v>
      </c>
      <c r="I1533" t="str">
        <f t="shared" si="74"/>
        <v>OK</v>
      </c>
    </row>
    <row r="1534" spans="1:9" hidden="1" x14ac:dyDescent="0.3">
      <c r="A1534" s="2">
        <v>45869</v>
      </c>
      <c r="B1534" t="str">
        <f t="shared" si="72"/>
        <v xml:space="preserve">juli </v>
      </c>
      <c r="C1534">
        <v>-7.04</v>
      </c>
      <c r="D1534" t="s">
        <v>35</v>
      </c>
      <c r="E1534" t="s">
        <v>414</v>
      </c>
      <c r="F1534" t="str">
        <f>VLOOKUP(Tabel1[[#This Row],[categorie]],Lijst!A:C,3,FALSE)</f>
        <v>Uitgave</v>
      </c>
      <c r="G1534">
        <f t="shared" si="73"/>
        <v>-7.04</v>
      </c>
      <c r="H1534" t="str">
        <f>VLOOKUP(Tabel1[[#This Row],[categorie]],Lijst!A:B,2,FALSE)</f>
        <v>Variabel</v>
      </c>
      <c r="I1534" t="str">
        <f t="shared" si="74"/>
        <v>OK</v>
      </c>
    </row>
    <row r="1535" spans="1:9" hidden="1" x14ac:dyDescent="0.3">
      <c r="A1535" s="2">
        <v>45869</v>
      </c>
      <c r="B1535" t="str">
        <f t="shared" si="72"/>
        <v xml:space="preserve">juli </v>
      </c>
      <c r="C1535">
        <v>-23.92</v>
      </c>
      <c r="D1535" t="str" cm="1">
        <f t="array" ref="D1535">IFERROR(
  _xlfn.XLOOKUP(TRUE, ISNUMBER(FIND(Trefwoorden!$A$2:$A$99, E1535)), Trefwoorden!$B$2:$B$99),
  "Onbekend"
)</f>
        <v>voeding</v>
      </c>
      <c r="E1535" t="s">
        <v>432</v>
      </c>
      <c r="F1535" t="str">
        <f>VLOOKUP(Tabel1[[#This Row],[categorie]],Lijst!A:C,3,FALSE)</f>
        <v>Uitgave</v>
      </c>
      <c r="G1535">
        <f t="shared" si="73"/>
        <v>-23.92</v>
      </c>
      <c r="H1535" t="str">
        <f>VLOOKUP(Tabel1[[#This Row],[categorie]],Lijst!A:B,2,FALSE)</f>
        <v>Vast</v>
      </c>
      <c r="I1535" t="str">
        <f t="shared" si="74"/>
        <v>OK</v>
      </c>
    </row>
    <row r="1536" spans="1:9" hidden="1" x14ac:dyDescent="0.3">
      <c r="A1536" s="2">
        <v>45869</v>
      </c>
      <c r="B1536" t="str">
        <f t="shared" si="72"/>
        <v xml:space="preserve">juli </v>
      </c>
      <c r="C1536">
        <v>-5.49</v>
      </c>
      <c r="D1536" t="str" cm="1">
        <f t="array" ref="D1536">IFERROR(
  _xlfn.XLOOKUP(TRUE, ISNUMBER(FIND(Trefwoorden!$A$2:$A$99, E1536)), Trefwoorden!$B$2:$B$99),
  "Onbekend"
)</f>
        <v>voeding</v>
      </c>
      <c r="E1536" t="s">
        <v>434</v>
      </c>
      <c r="F1536" t="str">
        <f>VLOOKUP(Tabel1[[#This Row],[categorie]],Lijst!A:C,3,FALSE)</f>
        <v>Uitgave</v>
      </c>
      <c r="G1536">
        <f t="shared" si="73"/>
        <v>-5.49</v>
      </c>
      <c r="H1536" t="str">
        <f>VLOOKUP(Tabel1[[#This Row],[categorie]],Lijst!A:B,2,FALSE)</f>
        <v>Vast</v>
      </c>
      <c r="I1536" t="str">
        <f t="shared" si="74"/>
        <v>OK</v>
      </c>
    </row>
    <row r="1537" spans="1:9" hidden="1" x14ac:dyDescent="0.3">
      <c r="A1537" s="2">
        <v>45869</v>
      </c>
      <c r="B1537" t="str">
        <f t="shared" si="72"/>
        <v xml:space="preserve">juli </v>
      </c>
      <c r="C1537">
        <v>-1.5</v>
      </c>
      <c r="D1537" t="s">
        <v>19</v>
      </c>
      <c r="E1537" t="s">
        <v>479</v>
      </c>
      <c r="F1537" t="str">
        <f>VLOOKUP(Tabel1[[#This Row],[categorie]],Lijst!A:C,3,FALSE)</f>
        <v>Uitgave</v>
      </c>
      <c r="G1537">
        <f t="shared" si="73"/>
        <v>-1.5</v>
      </c>
      <c r="H1537" t="str">
        <f>VLOOKUP(Tabel1[[#This Row],[categorie]],Lijst!A:B,2,FALSE)</f>
        <v>Vast</v>
      </c>
      <c r="I1537" t="str">
        <f t="shared" si="74"/>
        <v>OK</v>
      </c>
    </row>
    <row r="1538" spans="1:9" hidden="1" x14ac:dyDescent="0.3">
      <c r="A1538" s="2">
        <v>45869</v>
      </c>
      <c r="B1538" t="str">
        <f t="shared" si="72"/>
        <v xml:space="preserve">juli </v>
      </c>
      <c r="C1538">
        <v>-23.92</v>
      </c>
      <c r="D1538" t="str" cm="1">
        <f t="array" ref="D1538">IFERROR(
  _xlfn.XLOOKUP(TRUE, ISNUMBER(FIND(Trefwoorden!$A$2:$A$99, E1538)), Trefwoorden!$B$2:$B$99),
  "Onbekend"
)</f>
        <v>voeding</v>
      </c>
      <c r="E1538" t="s">
        <v>432</v>
      </c>
      <c r="F1538" t="str">
        <f>VLOOKUP(Tabel1[[#This Row],[categorie]],Lijst!A:C,3,FALSE)</f>
        <v>Uitgave</v>
      </c>
      <c r="G1538">
        <f t="shared" si="73"/>
        <v>-23.92</v>
      </c>
      <c r="H1538" t="str">
        <f>VLOOKUP(Tabel1[[#This Row],[categorie]],Lijst!A:B,2,FALSE)</f>
        <v>Vast</v>
      </c>
      <c r="I1538" t="str">
        <f t="shared" si="74"/>
        <v>OK</v>
      </c>
    </row>
    <row r="1539" spans="1:9" hidden="1" x14ac:dyDescent="0.3">
      <c r="A1539" s="2">
        <v>45869</v>
      </c>
      <c r="B1539" t="str">
        <f t="shared" si="72"/>
        <v xml:space="preserve">juli </v>
      </c>
      <c r="C1539">
        <v>-5.49</v>
      </c>
      <c r="D1539" t="str" cm="1">
        <f t="array" ref="D1539">IFERROR(
  _xlfn.XLOOKUP(TRUE, ISNUMBER(FIND(Trefwoorden!$A$2:$A$99, E1539)), Trefwoorden!$B$2:$B$99),
  "Onbekend"
)</f>
        <v>voeding</v>
      </c>
      <c r="E1539" t="s">
        <v>434</v>
      </c>
      <c r="F1539" t="str">
        <f>VLOOKUP(Tabel1[[#This Row],[categorie]],Lijst!A:C,3,FALSE)</f>
        <v>Uitgave</v>
      </c>
      <c r="G1539">
        <f t="shared" si="73"/>
        <v>-5.49</v>
      </c>
      <c r="H1539" t="str">
        <f>VLOOKUP(Tabel1[[#This Row],[categorie]],Lijst!A:B,2,FALSE)</f>
        <v>Vast</v>
      </c>
      <c r="I1539" t="str">
        <f t="shared" si="74"/>
        <v>OK</v>
      </c>
    </row>
    <row r="1540" spans="1:9" hidden="1" x14ac:dyDescent="0.3">
      <c r="A1540" s="2">
        <v>45870</v>
      </c>
      <c r="B1540" t="str">
        <f t="shared" si="72"/>
        <v xml:space="preserve">augustus </v>
      </c>
      <c r="C1540">
        <v>-19.399999999999999</v>
      </c>
      <c r="D1540" t="str" cm="1">
        <f t="array" ref="D1540">IFERROR(
  _xlfn.XLOOKUP(TRUE, ISNUMBER(FIND(Trefwoorden!$A$2:$A$99, E1540)), Trefwoorden!$B$2:$B$99),
  "Onbekend"
)</f>
        <v>Brico</v>
      </c>
      <c r="E1540" t="s">
        <v>426</v>
      </c>
      <c r="F1540" t="str">
        <f>VLOOKUP(Tabel1[[#This Row],[categorie]],Lijst!A:C,3,FALSE)</f>
        <v>Uitgave</v>
      </c>
      <c r="G1540">
        <f t="shared" si="73"/>
        <v>-19.399999999999999</v>
      </c>
      <c r="H1540" t="str">
        <f>VLOOKUP(Tabel1[[#This Row],[categorie]],Lijst!A:B,2,FALSE)</f>
        <v>Variabel</v>
      </c>
      <c r="I1540" t="str">
        <f t="shared" si="74"/>
        <v>OK</v>
      </c>
    </row>
    <row r="1541" spans="1:9" hidden="1" x14ac:dyDescent="0.3">
      <c r="A1541" s="2">
        <v>45870</v>
      </c>
      <c r="B1541" t="str">
        <f t="shared" si="72"/>
        <v xml:space="preserve">augustus </v>
      </c>
      <c r="C1541">
        <v>-5.32</v>
      </c>
      <c r="D1541" t="str" cm="1">
        <f t="array" ref="D1541">IFERROR(
  _xlfn.XLOOKUP(TRUE, ISNUMBER(FIND(Trefwoorden!$A$2:$A$99, E1541)), Trefwoorden!$B$2:$B$99),
  "Onbekend"
)</f>
        <v>voeding</v>
      </c>
      <c r="E1541" t="s">
        <v>427</v>
      </c>
      <c r="F1541" t="str">
        <f>VLOOKUP(Tabel1[[#This Row],[categorie]],Lijst!A:C,3,FALSE)</f>
        <v>Uitgave</v>
      </c>
      <c r="G1541">
        <f t="shared" si="73"/>
        <v>-5.32</v>
      </c>
      <c r="H1541" t="str">
        <f>VLOOKUP(Tabel1[[#This Row],[categorie]],Lijst!A:B,2,FALSE)</f>
        <v>Vast</v>
      </c>
      <c r="I1541" t="str">
        <f t="shared" si="74"/>
        <v>OK</v>
      </c>
    </row>
    <row r="1542" spans="1:9" hidden="1" x14ac:dyDescent="0.3">
      <c r="A1542" s="2">
        <v>45870</v>
      </c>
      <c r="B1542" t="str">
        <f t="shared" si="72"/>
        <v xml:space="preserve">augustus </v>
      </c>
      <c r="C1542">
        <v>-13.99</v>
      </c>
      <c r="D1542" t="str" cm="1">
        <f t="array" ref="D1542">IFERROR(
  _xlfn.XLOOKUP(TRUE, ISNUMBER(FIND(Trefwoorden!$A$2:$A$99, E1542)), Trefwoorden!$B$2:$B$99),
  "Onbekend"
)</f>
        <v>Coolblue</v>
      </c>
      <c r="E1542" t="s">
        <v>430</v>
      </c>
      <c r="F1542" t="str">
        <f>VLOOKUP(Tabel1[[#This Row],[categorie]],Lijst!A:C,3,FALSE)</f>
        <v>Uitgave</v>
      </c>
      <c r="G1542">
        <f t="shared" si="73"/>
        <v>-13.99</v>
      </c>
      <c r="H1542" t="str">
        <f>VLOOKUP(Tabel1[[#This Row],[categorie]],Lijst!A:B,2,FALSE)</f>
        <v>Variabel</v>
      </c>
      <c r="I1542" t="str">
        <f t="shared" si="74"/>
        <v>OK</v>
      </c>
    </row>
    <row r="1543" spans="1:9" hidden="1" x14ac:dyDescent="0.3">
      <c r="A1543" s="2">
        <v>45870</v>
      </c>
      <c r="B1543" t="str">
        <f t="shared" si="72"/>
        <v xml:space="preserve">augustus </v>
      </c>
      <c r="C1543">
        <v>-5</v>
      </c>
      <c r="D1543" t="s">
        <v>30</v>
      </c>
      <c r="E1543" t="s">
        <v>431</v>
      </c>
      <c r="F1543" t="str">
        <f>VLOOKUP(Tabel1[[#This Row],[categorie]],Lijst!A:C,3,FALSE)</f>
        <v>Uitgave</v>
      </c>
      <c r="G1543">
        <f t="shared" si="73"/>
        <v>-5</v>
      </c>
      <c r="H1543" t="str">
        <f>VLOOKUP(Tabel1[[#This Row],[categorie]],Lijst!A:B,2,FALSE)</f>
        <v>Vast</v>
      </c>
      <c r="I1543" t="str">
        <f t="shared" si="74"/>
        <v>OK</v>
      </c>
    </row>
    <row r="1544" spans="1:9" hidden="1" x14ac:dyDescent="0.3">
      <c r="A1544" s="2">
        <v>45870</v>
      </c>
      <c r="B1544" t="str">
        <f t="shared" si="72"/>
        <v xml:space="preserve">augustus </v>
      </c>
      <c r="C1544">
        <v>-0.9</v>
      </c>
      <c r="D1544" t="str" cm="1">
        <f t="array" ref="D1544">IFERROR(
  _xlfn.XLOOKUP(TRUE, ISNUMBER(FIND(Trefwoorden!$A$2:$A$99, E1544)), Trefwoorden!$B$2:$B$99),
  "Onbekend"
)</f>
        <v>automaat De Lijn</v>
      </c>
      <c r="E1544" t="s">
        <v>433</v>
      </c>
      <c r="F1544" t="str">
        <f>VLOOKUP(Tabel1[[#This Row],[categorie]],Lijst!A:C,3,FALSE)</f>
        <v>Uitgave</v>
      </c>
      <c r="G1544">
        <f t="shared" si="73"/>
        <v>-0.9</v>
      </c>
      <c r="H1544" t="str">
        <f>VLOOKUP(Tabel1[[#This Row],[categorie]],Lijst!A:B,2,FALSE)</f>
        <v>Variabel</v>
      </c>
      <c r="I1544" t="str">
        <f t="shared" si="74"/>
        <v>OK</v>
      </c>
    </row>
    <row r="1545" spans="1:9" hidden="1" x14ac:dyDescent="0.3">
      <c r="A1545" s="2">
        <v>45870</v>
      </c>
      <c r="B1545" t="str">
        <f t="shared" si="72"/>
        <v xml:space="preserve">augustus </v>
      </c>
      <c r="C1545">
        <v>-25</v>
      </c>
      <c r="D1545" t="str" cm="1">
        <f t="array" ref="D1545">IFERROR(
  _xlfn.XLOOKUP(TRUE, ISNUMBER(FIND(Trefwoorden!$A$2:$A$99, E1545)), Trefwoorden!$B$2:$B$99),
  "Onbekend"
)</f>
        <v>kapster</v>
      </c>
      <c r="E1545" t="s">
        <v>424</v>
      </c>
      <c r="F1545" t="str">
        <f>VLOOKUP(Tabel1[[#This Row],[categorie]],Lijst!A:C,3,FALSE)</f>
        <v>Uitgave</v>
      </c>
      <c r="G1545">
        <f t="shared" si="73"/>
        <v>-25</v>
      </c>
      <c r="H1545" t="str">
        <f>VLOOKUP(Tabel1[[#This Row],[categorie]],Lijst!A:B,2,FALSE)</f>
        <v>Vast</v>
      </c>
      <c r="I1545" t="str">
        <f t="shared" si="74"/>
        <v>OK</v>
      </c>
    </row>
    <row r="1546" spans="1:9" hidden="1" x14ac:dyDescent="0.3">
      <c r="A1546" s="2">
        <v>45870</v>
      </c>
      <c r="B1546" t="str">
        <f t="shared" si="72"/>
        <v xml:space="preserve">augustus </v>
      </c>
      <c r="C1546">
        <v>-45.25</v>
      </c>
      <c r="D1546" t="str" cm="1">
        <f t="array" ref="D1546">IFERROR(
  _xlfn.XLOOKUP(TRUE, ISNUMBER(FIND(Trefwoorden!$A$2:$A$99, E1546)), Trefwoorden!$B$2:$B$99),
  "Onbekend"
)</f>
        <v>Hospitalisatie</v>
      </c>
      <c r="E1546" t="s">
        <v>419</v>
      </c>
      <c r="F1546" t="str">
        <f>VLOOKUP(Tabel1[[#This Row],[categorie]],Lijst!A:C,3,FALSE)</f>
        <v>Uitgave</v>
      </c>
      <c r="G1546">
        <f t="shared" si="73"/>
        <v>-45.25</v>
      </c>
      <c r="H1546" t="str">
        <f>VLOOKUP(Tabel1[[#This Row],[categorie]],Lijst!A:B,2,FALSE)</f>
        <v>Vast</v>
      </c>
      <c r="I1546" t="str">
        <f t="shared" si="74"/>
        <v>OK</v>
      </c>
    </row>
    <row r="1547" spans="1:9" hidden="1" x14ac:dyDescent="0.3">
      <c r="A1547" s="2">
        <v>45870</v>
      </c>
      <c r="B1547" t="str">
        <f t="shared" si="72"/>
        <v xml:space="preserve">augustus </v>
      </c>
      <c r="C1547">
        <v>-74</v>
      </c>
      <c r="D1547" t="s">
        <v>11</v>
      </c>
      <c r="E1547" t="s">
        <v>420</v>
      </c>
      <c r="F1547" t="s">
        <v>18</v>
      </c>
      <c r="G1547">
        <f t="shared" si="73"/>
        <v>-74</v>
      </c>
      <c r="H1547" t="str">
        <f>VLOOKUP(Tabel1[[#This Row],[categorie]],Lijst!A:B,2,FALSE)</f>
        <v>Vast</v>
      </c>
      <c r="I1547" t="str">
        <f t="shared" si="74"/>
        <v>OK</v>
      </c>
    </row>
    <row r="1548" spans="1:9" hidden="1" x14ac:dyDescent="0.3">
      <c r="A1548" s="2">
        <v>45901</v>
      </c>
      <c r="B1548" t="str">
        <f t="shared" ref="B1548:B1611" si="75">TEXT(A1548,"mmmm ")</f>
        <v xml:space="preserve">september </v>
      </c>
      <c r="C1548">
        <v>-138.66</v>
      </c>
      <c r="D1548" t="s">
        <v>48</v>
      </c>
      <c r="E1548" t="s">
        <v>421</v>
      </c>
      <c r="F1548" t="s">
        <v>18</v>
      </c>
      <c r="G1548">
        <f t="shared" ref="G1548:G1611" si="76">IF(F1548="Uitgave", -ABS(C1548), ABS(C1548))</f>
        <v>-138.66</v>
      </c>
      <c r="H1548" t="str">
        <f>VLOOKUP(Tabel1[[#This Row],[categorie]],Lijst!A:B,2,FALSE)</f>
        <v>Variabel</v>
      </c>
      <c r="I1548" t="str">
        <f t="shared" ref="I1548:I1611" si="77">IF(OR(AND(F1548="Uitgave", C1548&lt;0), AND(F1548="Inkomst", C1548&gt;0)), "OK", "FOUT")</f>
        <v>OK</v>
      </c>
    </row>
    <row r="1549" spans="1:9" hidden="1" x14ac:dyDescent="0.3">
      <c r="A1549" s="2">
        <v>45870</v>
      </c>
      <c r="B1549" t="str">
        <f t="shared" si="75"/>
        <v xml:space="preserve">augustus </v>
      </c>
      <c r="C1549">
        <v>20</v>
      </c>
      <c r="D1549" t="s">
        <v>83</v>
      </c>
      <c r="F1549" t="str">
        <f>VLOOKUP(Tabel1[[#This Row],[categorie]],Lijst!A:C,3,FALSE)</f>
        <v>Inkomst</v>
      </c>
      <c r="G1549">
        <f t="shared" si="76"/>
        <v>20</v>
      </c>
      <c r="H1549" t="s">
        <v>513</v>
      </c>
      <c r="I1549" t="str">
        <f t="shared" si="77"/>
        <v>OK</v>
      </c>
    </row>
    <row r="1550" spans="1:9" hidden="1" x14ac:dyDescent="0.3">
      <c r="A1550" s="2">
        <v>45870</v>
      </c>
      <c r="B1550" t="str">
        <f t="shared" si="75"/>
        <v xml:space="preserve">augustus </v>
      </c>
      <c r="C1550">
        <v>1851.77</v>
      </c>
      <c r="D1550" t="s">
        <v>83</v>
      </c>
      <c r="F1550" t="str">
        <f>VLOOKUP(Tabel1[[#This Row],[categorie]],Lijst!A:C,3,FALSE)</f>
        <v>Inkomst</v>
      </c>
      <c r="G1550">
        <f t="shared" si="76"/>
        <v>1851.77</v>
      </c>
      <c r="H1550" t="s">
        <v>513</v>
      </c>
      <c r="I1550" t="str">
        <f t="shared" si="77"/>
        <v>OK</v>
      </c>
    </row>
    <row r="1551" spans="1:9" hidden="1" x14ac:dyDescent="0.3">
      <c r="A1551" s="2">
        <v>45870</v>
      </c>
      <c r="B1551" t="str">
        <f t="shared" si="75"/>
        <v xml:space="preserve">augustus </v>
      </c>
      <c r="C1551">
        <v>2654.51</v>
      </c>
      <c r="D1551" t="s">
        <v>83</v>
      </c>
      <c r="F1551" t="str">
        <f>VLOOKUP(Tabel1[[#This Row],[categorie]],Lijst!A:C,3,FALSE)</f>
        <v>Inkomst</v>
      </c>
      <c r="G1551">
        <f t="shared" si="76"/>
        <v>2654.51</v>
      </c>
      <c r="H1551" t="s">
        <v>513</v>
      </c>
      <c r="I1551" t="str">
        <f t="shared" si="77"/>
        <v>OK</v>
      </c>
    </row>
    <row r="1552" spans="1:9" hidden="1" x14ac:dyDescent="0.3">
      <c r="A1552" s="2">
        <v>45871</v>
      </c>
      <c r="B1552" t="str">
        <f t="shared" si="75"/>
        <v xml:space="preserve">augustus </v>
      </c>
      <c r="C1552">
        <v>-6.05</v>
      </c>
      <c r="D1552" t="str" cm="1">
        <f t="array" ref="D1552">IFERROR(
  _xlfn.XLOOKUP(TRUE, ISNUMBER(FIND(Trefwoorden!$A$2:$A$99, E1552)), Trefwoorden!$B$2:$B$99),
  "Onbekend"
)</f>
        <v>voeding</v>
      </c>
      <c r="E1552" t="s">
        <v>440</v>
      </c>
      <c r="F1552" t="str">
        <f>VLOOKUP(Tabel1[[#This Row],[categorie]],Lijst!A:C,3,FALSE)</f>
        <v>Uitgave</v>
      </c>
      <c r="G1552">
        <f t="shared" si="76"/>
        <v>-6.05</v>
      </c>
      <c r="H1552" t="str">
        <f>VLOOKUP(Tabel1[[#This Row],[categorie]],Lijst!A:B,2,FALSE)</f>
        <v>Vast</v>
      </c>
      <c r="I1552" t="str">
        <f t="shared" si="77"/>
        <v>OK</v>
      </c>
    </row>
    <row r="1553" spans="1:9" hidden="1" x14ac:dyDescent="0.3">
      <c r="A1553" s="2">
        <v>45871</v>
      </c>
      <c r="B1553" t="str">
        <f t="shared" si="75"/>
        <v xml:space="preserve">augustus </v>
      </c>
      <c r="C1553">
        <v>-1.19</v>
      </c>
      <c r="D1553" t="str" cm="1">
        <f t="array" ref="D1553">IFERROR(
  _xlfn.XLOOKUP(TRUE, ISNUMBER(FIND(Trefwoorden!$A$2:$A$99, E1553)), Trefwoorden!$B$2:$B$99),
  "Onbekend"
)</f>
        <v>voeding</v>
      </c>
      <c r="E1553" t="s">
        <v>442</v>
      </c>
      <c r="F1553" t="str">
        <f>VLOOKUP(Tabel1[[#This Row],[categorie]],Lijst!A:C,3,FALSE)</f>
        <v>Uitgave</v>
      </c>
      <c r="G1553">
        <f t="shared" si="76"/>
        <v>-1.19</v>
      </c>
      <c r="H1553" t="str">
        <f>VLOOKUP(Tabel1[[#This Row],[categorie]],Lijst!A:B,2,FALSE)</f>
        <v>Vast</v>
      </c>
      <c r="I1553" t="str">
        <f t="shared" si="77"/>
        <v>OK</v>
      </c>
    </row>
    <row r="1554" spans="1:9" hidden="1" x14ac:dyDescent="0.3">
      <c r="A1554" s="2">
        <v>45871</v>
      </c>
      <c r="B1554" t="str">
        <f t="shared" si="75"/>
        <v xml:space="preserve">augustus </v>
      </c>
      <c r="C1554">
        <v>-4.59</v>
      </c>
      <c r="D1554" t="str" cm="1">
        <f t="array" ref="D1554">IFERROR(
  _xlfn.XLOOKUP(TRUE, ISNUMBER(FIND(Trefwoorden!$A$2:$A$99, E1554)), Trefwoorden!$B$2:$B$99),
  "Onbekend"
)</f>
        <v>Hema</v>
      </c>
      <c r="E1554" t="s">
        <v>443</v>
      </c>
      <c r="F1554" t="str">
        <f>VLOOKUP(Tabel1[[#This Row],[categorie]],Lijst!A:C,3,FALSE)</f>
        <v>Uitgave</v>
      </c>
      <c r="G1554">
        <f t="shared" si="76"/>
        <v>-4.59</v>
      </c>
      <c r="H1554" t="str">
        <f>VLOOKUP(Tabel1[[#This Row],[categorie]],Lijst!A:B,2,FALSE)</f>
        <v>Variabel</v>
      </c>
      <c r="I1554" t="str">
        <f t="shared" si="77"/>
        <v>OK</v>
      </c>
    </row>
    <row r="1555" spans="1:9" hidden="1" x14ac:dyDescent="0.3">
      <c r="A1555" s="2">
        <v>45871</v>
      </c>
      <c r="B1555" t="str">
        <f t="shared" si="75"/>
        <v xml:space="preserve">augustus </v>
      </c>
      <c r="C1555">
        <v>-58.92</v>
      </c>
      <c r="D1555" t="str" cm="1">
        <f t="array" ref="D1555">IFERROR(
  _xlfn.XLOOKUP(TRUE, ISNUMBER(FIND(Trefwoorden!$A$2:$A$99, E1555)), Trefwoorden!$B$2:$B$99),
  "Onbekend"
)</f>
        <v>voeding</v>
      </c>
      <c r="E1555" t="s">
        <v>451</v>
      </c>
      <c r="F1555" t="str">
        <f>VLOOKUP(Tabel1[[#This Row],[categorie]],Lijst!A:C,3,FALSE)</f>
        <v>Uitgave</v>
      </c>
      <c r="G1555">
        <f t="shared" si="76"/>
        <v>-58.92</v>
      </c>
      <c r="H1555" t="str">
        <f>VLOOKUP(Tabel1[[#This Row],[categorie]],Lijst!A:B,2,FALSE)</f>
        <v>Vast</v>
      </c>
      <c r="I1555" t="str">
        <f t="shared" si="77"/>
        <v>OK</v>
      </c>
    </row>
    <row r="1556" spans="1:9" hidden="1" x14ac:dyDescent="0.3">
      <c r="A1556" s="2">
        <v>45871</v>
      </c>
      <c r="B1556" t="str">
        <f t="shared" si="75"/>
        <v xml:space="preserve">augustus </v>
      </c>
      <c r="C1556">
        <v>-12.53</v>
      </c>
      <c r="D1556" t="s">
        <v>82</v>
      </c>
      <c r="E1556" t="s">
        <v>452</v>
      </c>
      <c r="F1556" t="s">
        <v>18</v>
      </c>
      <c r="G1556">
        <f t="shared" si="76"/>
        <v>-12.53</v>
      </c>
      <c r="H1556" t="str">
        <f>VLOOKUP(Tabel1[[#This Row],[categorie]],Lijst!A:B,2,FALSE)</f>
        <v>Vast</v>
      </c>
      <c r="I1556" t="str">
        <f t="shared" si="77"/>
        <v>OK</v>
      </c>
    </row>
    <row r="1557" spans="1:9" hidden="1" x14ac:dyDescent="0.3">
      <c r="A1557" s="2">
        <v>45871</v>
      </c>
      <c r="B1557" t="str">
        <f t="shared" si="75"/>
        <v xml:space="preserve">augustus </v>
      </c>
      <c r="C1557">
        <v>-14.7</v>
      </c>
      <c r="D1557" t="s">
        <v>21</v>
      </c>
      <c r="E1557" t="s">
        <v>425</v>
      </c>
      <c r="F1557" t="str">
        <f>VLOOKUP(Tabel1[[#This Row],[categorie]],Lijst!A:C,3,FALSE)</f>
        <v>Uitgave</v>
      </c>
      <c r="G1557">
        <f t="shared" si="76"/>
        <v>-14.7</v>
      </c>
      <c r="H1557" t="str">
        <f>VLOOKUP(Tabel1[[#This Row],[categorie]],Lijst!A:B,2,FALSE)</f>
        <v>Variabel</v>
      </c>
      <c r="I1557" t="str">
        <f t="shared" si="77"/>
        <v>OK</v>
      </c>
    </row>
    <row r="1558" spans="1:9" hidden="1" x14ac:dyDescent="0.3">
      <c r="A1558" s="2">
        <v>45871</v>
      </c>
      <c r="B1558" t="str">
        <f t="shared" si="75"/>
        <v xml:space="preserve">augustus </v>
      </c>
      <c r="C1558">
        <v>-2</v>
      </c>
      <c r="D1558" t="s">
        <v>21</v>
      </c>
      <c r="E1558" t="s">
        <v>428</v>
      </c>
      <c r="F1558" t="str">
        <f>VLOOKUP(Tabel1[[#This Row],[categorie]],Lijst!A:C,3,FALSE)</f>
        <v>Uitgave</v>
      </c>
      <c r="G1558">
        <f t="shared" si="76"/>
        <v>-2</v>
      </c>
      <c r="H1558" t="str">
        <f>VLOOKUP(Tabel1[[#This Row],[categorie]],Lijst!A:B,2,FALSE)</f>
        <v>Variabel</v>
      </c>
      <c r="I1558" t="str">
        <f t="shared" si="77"/>
        <v>OK</v>
      </c>
    </row>
    <row r="1559" spans="1:9" hidden="1" x14ac:dyDescent="0.3">
      <c r="A1559" s="2">
        <v>45871</v>
      </c>
      <c r="B1559" t="str">
        <f t="shared" si="75"/>
        <v xml:space="preserve">augustus </v>
      </c>
      <c r="C1559">
        <v>-23.4</v>
      </c>
      <c r="D1559" t="s">
        <v>21</v>
      </c>
      <c r="E1559" t="s">
        <v>429</v>
      </c>
      <c r="F1559" t="str">
        <f>VLOOKUP(Tabel1[[#This Row],[categorie]],Lijst!A:C,3,FALSE)</f>
        <v>Uitgave</v>
      </c>
      <c r="G1559">
        <f t="shared" si="76"/>
        <v>-23.4</v>
      </c>
      <c r="H1559" t="str">
        <f>VLOOKUP(Tabel1[[#This Row],[categorie]],Lijst!A:B,2,FALSE)</f>
        <v>Variabel</v>
      </c>
      <c r="I1559" t="str">
        <f t="shared" si="77"/>
        <v>OK</v>
      </c>
    </row>
    <row r="1560" spans="1:9" hidden="1" x14ac:dyDescent="0.3">
      <c r="A1560" s="2">
        <v>45872</v>
      </c>
      <c r="B1560" t="str">
        <f t="shared" si="75"/>
        <v xml:space="preserve">augustus </v>
      </c>
      <c r="C1560">
        <v>-13.95</v>
      </c>
      <c r="D1560" t="str" cm="1">
        <f t="array" ref="D1560">IFERROR(
  _xlfn.XLOOKUP(TRUE, ISNUMBER(FIND(Trefwoorden!$A$2:$A$99, E1560)), Trefwoorden!$B$2:$B$99),
  "Onbekend"
)</f>
        <v>voeding</v>
      </c>
      <c r="E1560" t="s">
        <v>441</v>
      </c>
      <c r="F1560" t="str">
        <f>VLOOKUP(Tabel1[[#This Row],[categorie]],Lijst!A:C,3,FALSE)</f>
        <v>Uitgave</v>
      </c>
      <c r="G1560">
        <f t="shared" si="76"/>
        <v>-13.95</v>
      </c>
      <c r="H1560" t="str">
        <f>VLOOKUP(Tabel1[[#This Row],[categorie]],Lijst!A:B,2,FALSE)</f>
        <v>Vast</v>
      </c>
      <c r="I1560" t="str">
        <f t="shared" si="77"/>
        <v>OK</v>
      </c>
    </row>
    <row r="1561" spans="1:9" hidden="1" x14ac:dyDescent="0.3">
      <c r="A1561" s="2">
        <v>45873</v>
      </c>
      <c r="B1561" t="str">
        <f t="shared" si="75"/>
        <v xml:space="preserve">augustus </v>
      </c>
      <c r="C1561">
        <v>-19.05</v>
      </c>
      <c r="D1561" t="str" cm="1">
        <f t="array" ref="D1561">IFERROR(
  _xlfn.XLOOKUP(TRUE, ISNUMBER(FIND(Trefwoorden!$A$2:$A$99, E1561)), Trefwoorden!$B$2:$B$99),
  "Onbekend"
)</f>
        <v>Louis/Vis</v>
      </c>
      <c r="E1561" t="s">
        <v>453</v>
      </c>
      <c r="F1561" t="str">
        <f>VLOOKUP(Tabel1[[#This Row],[categorie]],Lijst!A:C,3,FALSE)</f>
        <v>Uitgave</v>
      </c>
      <c r="G1561">
        <f t="shared" si="76"/>
        <v>-19.05</v>
      </c>
      <c r="H1561" t="str">
        <f>VLOOKUP(Tabel1[[#This Row],[categorie]],Lijst!A:B,2,FALSE)</f>
        <v>Variabel</v>
      </c>
      <c r="I1561" t="str">
        <f t="shared" si="77"/>
        <v>OK</v>
      </c>
    </row>
    <row r="1562" spans="1:9" hidden="1" x14ac:dyDescent="0.3">
      <c r="A1562" s="2">
        <v>45873</v>
      </c>
      <c r="B1562" t="str">
        <f t="shared" si="75"/>
        <v xml:space="preserve">augustus </v>
      </c>
      <c r="C1562">
        <v>-10</v>
      </c>
      <c r="D1562" t="str" cm="1">
        <f t="array" ref="D1562">IFERROR(
  _xlfn.XLOOKUP(TRUE, ISNUMBER(FIND(Trefwoorden!$A$2:$A$99, E1562)), Trefwoorden!$B$2:$B$99),
  "Onbekend"
)</f>
        <v>Louis/Vis</v>
      </c>
      <c r="E1562" t="s">
        <v>454</v>
      </c>
      <c r="F1562" t="str">
        <f>VLOOKUP(Tabel1[[#This Row],[categorie]],Lijst!A:C,3,FALSE)</f>
        <v>Uitgave</v>
      </c>
      <c r="G1562">
        <f t="shared" si="76"/>
        <v>-10</v>
      </c>
      <c r="H1562" t="str">
        <f>VLOOKUP(Tabel1[[#This Row],[categorie]],Lijst!A:B,2,FALSE)</f>
        <v>Variabel</v>
      </c>
      <c r="I1562" t="str">
        <f t="shared" si="77"/>
        <v>OK</v>
      </c>
    </row>
    <row r="1563" spans="1:9" hidden="1" x14ac:dyDescent="0.3">
      <c r="A1563" s="2">
        <v>45873</v>
      </c>
      <c r="B1563" t="str">
        <f t="shared" si="75"/>
        <v xml:space="preserve">augustus </v>
      </c>
      <c r="C1563">
        <v>-3.67</v>
      </c>
      <c r="D1563" t="str" cm="1">
        <f t="array" ref="D1563">IFERROR(
  _xlfn.XLOOKUP(TRUE, ISNUMBER(FIND(Trefwoorden!$A$2:$A$99, E1563)), Trefwoorden!$B$2:$B$99),
  "Onbekend"
)</f>
        <v>voeding</v>
      </c>
      <c r="E1563" t="s">
        <v>455</v>
      </c>
      <c r="F1563" t="str">
        <f>VLOOKUP(Tabel1[[#This Row],[categorie]],Lijst!A:C,3,FALSE)</f>
        <v>Uitgave</v>
      </c>
      <c r="G1563">
        <f t="shared" si="76"/>
        <v>-3.67</v>
      </c>
      <c r="H1563" t="str">
        <f>VLOOKUP(Tabel1[[#This Row],[categorie]],Lijst!A:B,2,FALSE)</f>
        <v>Vast</v>
      </c>
      <c r="I1563" t="str">
        <f t="shared" si="77"/>
        <v>OK</v>
      </c>
    </row>
    <row r="1564" spans="1:9" hidden="1" x14ac:dyDescent="0.3">
      <c r="A1564" s="2">
        <v>45873</v>
      </c>
      <c r="B1564" t="str">
        <f t="shared" si="75"/>
        <v xml:space="preserve">augustus </v>
      </c>
      <c r="C1564">
        <v>-11.39</v>
      </c>
      <c r="D1564" t="str" cm="1">
        <f t="array" ref="D1564">IFERROR(
  _xlfn.XLOOKUP(TRUE, ISNUMBER(FIND(Trefwoorden!$A$2:$A$99, E1564)), Trefwoorden!$B$2:$B$99),
  "Onbekend"
)</f>
        <v>voeding</v>
      </c>
      <c r="E1564" t="s">
        <v>456</v>
      </c>
      <c r="F1564" t="str">
        <f>VLOOKUP(Tabel1[[#This Row],[categorie]],Lijst!A:C,3,FALSE)</f>
        <v>Uitgave</v>
      </c>
      <c r="G1564">
        <f t="shared" si="76"/>
        <v>-11.39</v>
      </c>
      <c r="H1564" t="str">
        <f>VLOOKUP(Tabel1[[#This Row],[categorie]],Lijst!A:B,2,FALSE)</f>
        <v>Vast</v>
      </c>
      <c r="I1564" t="str">
        <f t="shared" si="77"/>
        <v>OK</v>
      </c>
    </row>
    <row r="1565" spans="1:9" hidden="1" x14ac:dyDescent="0.3">
      <c r="A1565" s="2">
        <v>45873</v>
      </c>
      <c r="B1565" t="str">
        <f t="shared" si="75"/>
        <v xml:space="preserve">augustus </v>
      </c>
      <c r="C1565">
        <v>-182.8</v>
      </c>
      <c r="D1565" t="s">
        <v>14</v>
      </c>
      <c r="E1565" t="s">
        <v>457</v>
      </c>
      <c r="F1565" t="str">
        <f>VLOOKUP(Tabel1[[#This Row],[categorie]],Lijst!A:C,3,FALSE)</f>
        <v>Uitgave</v>
      </c>
      <c r="G1565">
        <f t="shared" si="76"/>
        <v>-182.8</v>
      </c>
      <c r="H1565" t="str">
        <f>VLOOKUP(Tabel1[[#This Row],[categorie]],Lijst!A:B,2,FALSE)</f>
        <v>Variabel</v>
      </c>
      <c r="I1565" t="str">
        <f t="shared" si="77"/>
        <v>OK</v>
      </c>
    </row>
    <row r="1566" spans="1:9" hidden="1" x14ac:dyDescent="0.3">
      <c r="A1566" s="2">
        <v>45873</v>
      </c>
      <c r="B1566" t="str">
        <f t="shared" si="75"/>
        <v xml:space="preserve">augustus </v>
      </c>
      <c r="C1566">
        <v>-172.5</v>
      </c>
      <c r="D1566" t="s">
        <v>82</v>
      </c>
      <c r="E1566" t="s">
        <v>436</v>
      </c>
      <c r="F1566" t="s">
        <v>18</v>
      </c>
      <c r="G1566">
        <f t="shared" si="76"/>
        <v>-172.5</v>
      </c>
      <c r="H1566" t="str">
        <f>VLOOKUP(Tabel1[[#This Row],[categorie]],Lijst!A:B,2,FALSE)</f>
        <v>Vast</v>
      </c>
      <c r="I1566" t="str">
        <f t="shared" si="77"/>
        <v>OK</v>
      </c>
    </row>
    <row r="1567" spans="1:9" hidden="1" x14ac:dyDescent="0.3">
      <c r="A1567" s="2">
        <v>45873</v>
      </c>
      <c r="B1567" t="str">
        <f t="shared" si="75"/>
        <v xml:space="preserve">augustus </v>
      </c>
      <c r="C1567">
        <v>92.1</v>
      </c>
      <c r="D1567" t="str" cm="1">
        <f t="array" ref="D1567">IFERROR(
  _xlfn.XLOOKUP(TRUE, ISNUMBER(FIND(Trefwoorden!$A$2:$A$99, E1567)), Trefwoorden!$B$2:$B$99),
  "Onbekend"
)</f>
        <v>Gezondheid</v>
      </c>
      <c r="E1567" t="s">
        <v>437</v>
      </c>
      <c r="F1567" t="s">
        <v>17</v>
      </c>
      <c r="G1567">
        <f t="shared" si="76"/>
        <v>92.1</v>
      </c>
      <c r="H1567" t="str">
        <f>VLOOKUP(Tabel1[[#This Row],[categorie]],Lijst!A:B,2,FALSE)</f>
        <v>Vast</v>
      </c>
      <c r="I1567" t="str">
        <f t="shared" si="77"/>
        <v>OK</v>
      </c>
    </row>
    <row r="1568" spans="1:9" hidden="1" x14ac:dyDescent="0.3">
      <c r="A1568" s="2">
        <v>45873</v>
      </c>
      <c r="B1568" t="str">
        <f t="shared" si="75"/>
        <v xml:space="preserve">augustus </v>
      </c>
      <c r="C1568">
        <v>-22.95</v>
      </c>
      <c r="D1568" t="s">
        <v>32</v>
      </c>
      <c r="E1568" t="s">
        <v>438</v>
      </c>
      <c r="F1568" t="str">
        <f>VLOOKUP(Tabel1[[#This Row],[categorie]],Lijst!A:C,3,FALSE)</f>
        <v>Uitgave</v>
      </c>
      <c r="G1568">
        <f t="shared" si="76"/>
        <v>-22.95</v>
      </c>
      <c r="H1568" t="str">
        <f>VLOOKUP(Tabel1[[#This Row],[categorie]],Lijst!A:B,2,FALSE)</f>
        <v>Variabel</v>
      </c>
      <c r="I1568" t="str">
        <f t="shared" si="77"/>
        <v>OK</v>
      </c>
    </row>
    <row r="1569" spans="1:9" hidden="1" x14ac:dyDescent="0.3">
      <c r="A1569" s="2">
        <v>45873</v>
      </c>
      <c r="B1569" t="str">
        <f t="shared" si="75"/>
        <v xml:space="preserve">augustus </v>
      </c>
      <c r="C1569">
        <v>-197.86</v>
      </c>
      <c r="D1569" t="str" cm="1">
        <f t="array" ref="D1569">IFERROR(
  _xlfn.XLOOKUP(TRUE, ISNUMBER(FIND(Trefwoorden!$A$2:$A$99, E1569)), Trefwoorden!$B$2:$B$99),
  "Onbekend"
)</f>
        <v>kledij</v>
      </c>
      <c r="E1569" t="s">
        <v>439</v>
      </c>
      <c r="F1569" t="str">
        <f>VLOOKUP(Tabel1[[#This Row],[categorie]],Lijst!A:C,3,FALSE)</f>
        <v>Uitgave</v>
      </c>
      <c r="G1569">
        <f t="shared" si="76"/>
        <v>-197.86</v>
      </c>
      <c r="H1569" t="str">
        <f>VLOOKUP(Tabel1[[#This Row],[categorie]],Lijst!A:B,2,FALSE)</f>
        <v>Variabel</v>
      </c>
      <c r="I1569" t="str">
        <f t="shared" si="77"/>
        <v>OK</v>
      </c>
    </row>
    <row r="1570" spans="1:9" hidden="1" x14ac:dyDescent="0.3">
      <c r="A1570" s="2">
        <v>45873</v>
      </c>
      <c r="B1570" t="str">
        <f t="shared" si="75"/>
        <v xml:space="preserve">augustus </v>
      </c>
      <c r="C1570">
        <v>-19.8</v>
      </c>
      <c r="D1570" t="s">
        <v>9</v>
      </c>
      <c r="E1570" t="s">
        <v>444</v>
      </c>
      <c r="F1570" t="s">
        <v>18</v>
      </c>
      <c r="G1570">
        <f t="shared" si="76"/>
        <v>-19.8</v>
      </c>
      <c r="H1570" t="str">
        <f>VLOOKUP(Tabel1[[#This Row],[categorie]],Lijst!A:B,2,FALSE)</f>
        <v>Variabel</v>
      </c>
      <c r="I1570" t="str">
        <f t="shared" si="77"/>
        <v>OK</v>
      </c>
    </row>
    <row r="1571" spans="1:9" hidden="1" x14ac:dyDescent="0.3">
      <c r="A1571" s="2">
        <v>45873</v>
      </c>
      <c r="B1571" t="str">
        <f t="shared" si="75"/>
        <v xml:space="preserve">augustus </v>
      </c>
      <c r="C1571">
        <v>-0.6</v>
      </c>
      <c r="D1571" t="s">
        <v>75</v>
      </c>
      <c r="E1571" t="s">
        <v>445</v>
      </c>
      <c r="F1571" t="s">
        <v>18</v>
      </c>
      <c r="G1571">
        <f t="shared" si="76"/>
        <v>-0.6</v>
      </c>
      <c r="H1571" t="str">
        <f>VLOOKUP(Tabel1[[#This Row],[categorie]],Lijst!A:B,2,FALSE)</f>
        <v>Variabel</v>
      </c>
      <c r="I1571" t="str">
        <f t="shared" si="77"/>
        <v>OK</v>
      </c>
    </row>
    <row r="1572" spans="1:9" hidden="1" x14ac:dyDescent="0.3">
      <c r="A1572" s="2">
        <v>45873</v>
      </c>
      <c r="B1572" t="str">
        <f t="shared" si="75"/>
        <v xml:space="preserve">augustus </v>
      </c>
      <c r="C1572">
        <v>-1.1000000000000001</v>
      </c>
      <c r="D1572" t="str" cm="1">
        <f t="array" ref="D1572">IFERROR(
  _xlfn.XLOOKUP(TRUE, ISNUMBER(FIND(Trefwoorden!$A$2:$A$99, E1572)), Trefwoorden!$B$2:$B$99),
  "Onbekend"
)</f>
        <v>automaat De Lijn</v>
      </c>
      <c r="E1572" t="s">
        <v>446</v>
      </c>
      <c r="F1572" t="str">
        <f>VLOOKUP(Tabel1[[#This Row],[categorie]],Lijst!A:C,3,FALSE)</f>
        <v>Uitgave</v>
      </c>
      <c r="G1572">
        <f t="shared" si="76"/>
        <v>-1.1000000000000001</v>
      </c>
      <c r="H1572" t="str">
        <f>VLOOKUP(Tabel1[[#This Row],[categorie]],Lijst!A:B,2,FALSE)</f>
        <v>Variabel</v>
      </c>
      <c r="I1572" t="str">
        <f t="shared" si="77"/>
        <v>OK</v>
      </c>
    </row>
    <row r="1573" spans="1:9" hidden="1" x14ac:dyDescent="0.3">
      <c r="A1573" s="2">
        <v>45873</v>
      </c>
      <c r="B1573" t="str">
        <f t="shared" si="75"/>
        <v xml:space="preserve">augustus </v>
      </c>
      <c r="C1573">
        <v>-1.5</v>
      </c>
      <c r="D1573" t="str" cm="1">
        <f t="array" ref="D1573">IFERROR(
  _xlfn.XLOOKUP(TRUE, ISNUMBER(FIND(Trefwoorden!$A$2:$A$99, E1573)), Trefwoorden!$B$2:$B$99),
  "Onbekend"
)</f>
        <v>automaat De Lijn</v>
      </c>
      <c r="E1573" t="s">
        <v>447</v>
      </c>
      <c r="F1573" t="str">
        <f>VLOOKUP(Tabel1[[#This Row],[categorie]],Lijst!A:C,3,FALSE)</f>
        <v>Uitgave</v>
      </c>
      <c r="G1573">
        <f t="shared" si="76"/>
        <v>-1.5</v>
      </c>
      <c r="H1573" t="str">
        <f>VLOOKUP(Tabel1[[#This Row],[categorie]],Lijst!A:B,2,FALSE)</f>
        <v>Variabel</v>
      </c>
      <c r="I1573" t="str">
        <f t="shared" si="77"/>
        <v>OK</v>
      </c>
    </row>
    <row r="1574" spans="1:9" hidden="1" x14ac:dyDescent="0.3">
      <c r="A1574" s="2">
        <v>45873</v>
      </c>
      <c r="B1574" t="str">
        <f t="shared" si="75"/>
        <v xml:space="preserve">augustus </v>
      </c>
      <c r="C1574">
        <v>-1.5</v>
      </c>
      <c r="D1574" t="str" cm="1">
        <f t="array" ref="D1574">IFERROR(
  _xlfn.XLOOKUP(TRUE, ISNUMBER(FIND(Trefwoorden!$A$2:$A$99, E1574)), Trefwoorden!$B$2:$B$99),
  "Onbekend"
)</f>
        <v>automaat De Lijn</v>
      </c>
      <c r="E1574" t="s">
        <v>448</v>
      </c>
      <c r="F1574" t="str">
        <f>VLOOKUP(Tabel1[[#This Row],[categorie]],Lijst!A:C,3,FALSE)</f>
        <v>Uitgave</v>
      </c>
      <c r="G1574">
        <f t="shared" si="76"/>
        <v>-1.5</v>
      </c>
      <c r="H1574" t="str">
        <f>VLOOKUP(Tabel1[[#This Row],[categorie]],Lijst!A:B,2,FALSE)</f>
        <v>Variabel</v>
      </c>
      <c r="I1574" t="str">
        <f t="shared" si="77"/>
        <v>OK</v>
      </c>
    </row>
    <row r="1575" spans="1:9" hidden="1" x14ac:dyDescent="0.3">
      <c r="A1575" s="2">
        <v>45873</v>
      </c>
      <c r="B1575" t="str">
        <f t="shared" si="75"/>
        <v xml:space="preserve">augustus </v>
      </c>
      <c r="C1575">
        <v>-20.71</v>
      </c>
      <c r="D1575" t="str" cm="1">
        <f t="array" ref="D1575">IFERROR(
  _xlfn.XLOOKUP(TRUE, ISNUMBER(FIND(Trefwoorden!$A$2:$A$99, E1575)), Trefwoorden!$B$2:$B$99),
  "Onbekend"
)</f>
        <v>vakbond</v>
      </c>
      <c r="E1575" t="s">
        <v>449</v>
      </c>
      <c r="F1575" t="s">
        <v>18</v>
      </c>
      <c r="G1575">
        <f t="shared" si="76"/>
        <v>-20.71</v>
      </c>
      <c r="H1575" t="str">
        <f>VLOOKUP(Tabel1[[#This Row],[categorie]],Lijst!A:B,2,FALSE)</f>
        <v>Vast</v>
      </c>
      <c r="I1575" t="str">
        <f t="shared" si="77"/>
        <v>OK</v>
      </c>
    </row>
    <row r="1576" spans="1:9" hidden="1" x14ac:dyDescent="0.3">
      <c r="A1576" s="2">
        <v>45873</v>
      </c>
      <c r="B1576" t="str">
        <f t="shared" si="75"/>
        <v xml:space="preserve">augustus </v>
      </c>
      <c r="C1576">
        <v>-12</v>
      </c>
      <c r="D1576" t="s">
        <v>71</v>
      </c>
      <c r="E1576" t="s">
        <v>450</v>
      </c>
      <c r="F1576" t="str">
        <f>VLOOKUP(Tabel1[[#This Row],[categorie]],Lijst!A:C,3,FALSE)</f>
        <v>Uitgave</v>
      </c>
      <c r="G1576">
        <f t="shared" si="76"/>
        <v>-12</v>
      </c>
      <c r="H1576" t="str">
        <f>VLOOKUP(Tabel1[[#This Row],[categorie]],Lijst!A:B,2,FALSE)</f>
        <v>Variabel</v>
      </c>
      <c r="I1576" t="str">
        <f t="shared" si="77"/>
        <v>OK</v>
      </c>
    </row>
    <row r="1577" spans="1:9" hidden="1" x14ac:dyDescent="0.3">
      <c r="A1577" s="2">
        <v>45874</v>
      </c>
      <c r="B1577" t="str">
        <f t="shared" si="75"/>
        <v xml:space="preserve">augustus </v>
      </c>
      <c r="C1577">
        <v>-240.78</v>
      </c>
      <c r="D1577" t="str" cm="1">
        <f t="array" ref="D1577">IFERROR(
  _xlfn.XLOOKUP(TRUE, ISNUMBER(FIND(Trefwoorden!$A$2:$A$99, E1577)), Trefwoorden!$B$2:$B$99),
  "Onbekend"
)</f>
        <v>Gezondheid</v>
      </c>
      <c r="E1577" t="s">
        <v>463</v>
      </c>
      <c r="F1577" t="s">
        <v>18</v>
      </c>
      <c r="G1577">
        <f t="shared" si="76"/>
        <v>-240.78</v>
      </c>
      <c r="H1577" t="str">
        <f>VLOOKUP(Tabel1[[#This Row],[categorie]],Lijst!A:B,2,FALSE)</f>
        <v>Vast</v>
      </c>
      <c r="I1577" t="str">
        <f t="shared" si="77"/>
        <v>OK</v>
      </c>
    </row>
    <row r="1578" spans="1:9" hidden="1" x14ac:dyDescent="0.3">
      <c r="A1578" s="2">
        <v>45874</v>
      </c>
      <c r="B1578" t="str">
        <f t="shared" si="75"/>
        <v xml:space="preserve">augustus </v>
      </c>
      <c r="C1578">
        <v>-34.99</v>
      </c>
      <c r="D1578" t="s">
        <v>75</v>
      </c>
      <c r="E1578" t="s">
        <v>458</v>
      </c>
      <c r="F1578" t="s">
        <v>18</v>
      </c>
      <c r="G1578">
        <f t="shared" si="76"/>
        <v>-34.99</v>
      </c>
      <c r="H1578" t="str">
        <f>VLOOKUP(Tabel1[[#This Row],[categorie]],Lijst!A:B,2,FALSE)</f>
        <v>Variabel</v>
      </c>
      <c r="I1578" t="str">
        <f t="shared" si="77"/>
        <v>OK</v>
      </c>
    </row>
    <row r="1579" spans="1:9" hidden="1" x14ac:dyDescent="0.3">
      <c r="A1579" s="2">
        <v>45874</v>
      </c>
      <c r="B1579" t="str">
        <f t="shared" si="75"/>
        <v xml:space="preserve">augustus </v>
      </c>
      <c r="C1579">
        <v>-18.07</v>
      </c>
      <c r="D1579" t="str" cm="1">
        <f t="array" ref="D1579">IFERROR(
  _xlfn.XLOOKUP(TRUE, ISNUMBER(FIND(Trefwoorden!$A$2:$A$99, E1579)), Trefwoorden!$B$2:$B$99),
  "Onbekend"
)</f>
        <v>Laadbeurt</v>
      </c>
      <c r="E1579" t="s">
        <v>459</v>
      </c>
      <c r="F1579" t="str">
        <f>VLOOKUP(Tabel1[[#This Row],[categorie]],Lijst!A:C,3,FALSE)</f>
        <v>Uitgave</v>
      </c>
      <c r="G1579">
        <f t="shared" si="76"/>
        <v>-18.07</v>
      </c>
      <c r="H1579" t="str">
        <f>VLOOKUP(Tabel1[[#This Row],[categorie]],Lijst!A:B,2,FALSE)</f>
        <v>Vast</v>
      </c>
      <c r="I1579" t="str">
        <f t="shared" si="77"/>
        <v>OK</v>
      </c>
    </row>
    <row r="1580" spans="1:9" hidden="1" x14ac:dyDescent="0.3">
      <c r="A1580" s="2">
        <v>45874</v>
      </c>
      <c r="B1580" t="str">
        <f t="shared" si="75"/>
        <v xml:space="preserve">augustus </v>
      </c>
      <c r="C1580">
        <v>-27.5</v>
      </c>
      <c r="D1580" t="s">
        <v>48</v>
      </c>
      <c r="E1580" t="s">
        <v>460</v>
      </c>
      <c r="F1580" t="s">
        <v>18</v>
      </c>
      <c r="G1580">
        <f t="shared" si="76"/>
        <v>-27.5</v>
      </c>
      <c r="H1580" t="str">
        <f>VLOOKUP(Tabel1[[#This Row],[categorie]],Lijst!A:B,2,FALSE)</f>
        <v>Variabel</v>
      </c>
      <c r="I1580" t="str">
        <f t="shared" si="77"/>
        <v>OK</v>
      </c>
    </row>
    <row r="1581" spans="1:9" hidden="1" x14ac:dyDescent="0.3">
      <c r="A1581" s="2">
        <v>45875</v>
      </c>
      <c r="B1581" t="str">
        <f t="shared" si="75"/>
        <v xml:space="preserve">augustus </v>
      </c>
      <c r="C1581">
        <v>-7.38</v>
      </c>
      <c r="D1581" t="str" cm="1">
        <f t="array" ref="D1581">IFERROR(
  _xlfn.XLOOKUP(TRUE, ISNUMBER(FIND(Trefwoorden!$A$2:$A$99, E1581)), Trefwoorden!$B$2:$B$99),
  "Onbekend"
)</f>
        <v>voeding</v>
      </c>
      <c r="E1581" t="s">
        <v>471</v>
      </c>
      <c r="F1581" t="str">
        <f>VLOOKUP(Tabel1[[#This Row],[categorie]],Lijst!A:C,3,FALSE)</f>
        <v>Uitgave</v>
      </c>
      <c r="G1581">
        <f t="shared" si="76"/>
        <v>-7.38</v>
      </c>
      <c r="H1581" t="str">
        <f>VLOOKUP(Tabel1[[#This Row],[categorie]],Lijst!A:B,2,FALSE)</f>
        <v>Vast</v>
      </c>
      <c r="I1581" t="str">
        <f t="shared" si="77"/>
        <v>OK</v>
      </c>
    </row>
    <row r="1582" spans="1:9" hidden="1" x14ac:dyDescent="0.3">
      <c r="A1582" s="2">
        <v>45875</v>
      </c>
      <c r="B1582" t="str">
        <f t="shared" si="75"/>
        <v xml:space="preserve">augustus </v>
      </c>
      <c r="C1582">
        <v>-41.6</v>
      </c>
      <c r="D1582" t="s">
        <v>82</v>
      </c>
      <c r="E1582" t="s">
        <v>472</v>
      </c>
      <c r="F1582" t="s">
        <v>18</v>
      </c>
      <c r="G1582">
        <f t="shared" si="76"/>
        <v>-41.6</v>
      </c>
      <c r="H1582" t="str">
        <f>VLOOKUP(Tabel1[[#This Row],[categorie]],Lijst!A:B,2,FALSE)</f>
        <v>Vast</v>
      </c>
      <c r="I1582" t="str">
        <f t="shared" si="77"/>
        <v>OK</v>
      </c>
    </row>
    <row r="1583" spans="1:9" hidden="1" x14ac:dyDescent="0.3">
      <c r="A1583" s="2">
        <v>45875</v>
      </c>
      <c r="B1583" t="str">
        <f t="shared" si="75"/>
        <v xml:space="preserve">augustus </v>
      </c>
      <c r="C1583">
        <v>-1.95</v>
      </c>
      <c r="D1583" t="str" cm="1">
        <f t="array" ref="D1583">IFERROR(
  _xlfn.XLOOKUP(TRUE, ISNUMBER(FIND(Trefwoorden!$A$2:$A$99, E1583)), Trefwoorden!$B$2:$B$99),
  "Onbekend"
)</f>
        <v>voeding</v>
      </c>
      <c r="E1583" t="s">
        <v>473</v>
      </c>
      <c r="F1583" t="str">
        <f>VLOOKUP(Tabel1[[#This Row],[categorie]],Lijst!A:C,3,FALSE)</f>
        <v>Uitgave</v>
      </c>
      <c r="G1583">
        <f t="shared" si="76"/>
        <v>-1.95</v>
      </c>
      <c r="H1583" t="str">
        <f>VLOOKUP(Tabel1[[#This Row],[categorie]],Lijst!A:B,2,FALSE)</f>
        <v>Vast</v>
      </c>
      <c r="I1583" t="str">
        <f t="shared" si="77"/>
        <v>OK</v>
      </c>
    </row>
    <row r="1584" spans="1:9" hidden="1" x14ac:dyDescent="0.3">
      <c r="A1584" s="2">
        <v>45875</v>
      </c>
      <c r="B1584" t="str">
        <f t="shared" si="75"/>
        <v xml:space="preserve">augustus </v>
      </c>
      <c r="C1584">
        <v>-24.95</v>
      </c>
      <c r="D1584" t="s">
        <v>32</v>
      </c>
      <c r="E1584" t="s">
        <v>464</v>
      </c>
      <c r="F1584" t="str">
        <f>VLOOKUP(Tabel1[[#This Row],[categorie]],Lijst!A:C,3,FALSE)</f>
        <v>Uitgave</v>
      </c>
      <c r="G1584">
        <f t="shared" si="76"/>
        <v>-24.95</v>
      </c>
      <c r="H1584" t="str">
        <f>VLOOKUP(Tabel1[[#This Row],[categorie]],Lijst!A:B,2,FALSE)</f>
        <v>Variabel</v>
      </c>
      <c r="I1584" t="str">
        <f t="shared" si="77"/>
        <v>OK</v>
      </c>
    </row>
    <row r="1585" spans="1:9" hidden="1" x14ac:dyDescent="0.3">
      <c r="A1585" s="2">
        <v>45875</v>
      </c>
      <c r="B1585" t="str">
        <f t="shared" si="75"/>
        <v xml:space="preserve">augustus </v>
      </c>
      <c r="C1585">
        <v>-39.119999999999997</v>
      </c>
      <c r="D1585" t="str" cm="1">
        <f t="array" ref="D1585">IFERROR(
  _xlfn.XLOOKUP(TRUE, ISNUMBER(FIND(Trefwoorden!$A$2:$A$99, E1585)), Trefwoorden!$B$2:$B$99),
  "Onbekend"
)</f>
        <v>Gezondheid</v>
      </c>
      <c r="E1585" t="s">
        <v>461</v>
      </c>
      <c r="F1585" t="s">
        <v>18</v>
      </c>
      <c r="G1585">
        <f t="shared" si="76"/>
        <v>-39.119999999999997</v>
      </c>
      <c r="H1585" t="str">
        <f>VLOOKUP(Tabel1[[#This Row],[categorie]],Lijst!A:B,2,FALSE)</f>
        <v>Vast</v>
      </c>
      <c r="I1585" t="str">
        <f t="shared" si="77"/>
        <v>OK</v>
      </c>
    </row>
    <row r="1586" spans="1:9" hidden="1" x14ac:dyDescent="0.3">
      <c r="A1586" s="2">
        <v>45875</v>
      </c>
      <c r="B1586" t="str">
        <f t="shared" si="75"/>
        <v xml:space="preserve">augustus </v>
      </c>
      <c r="C1586">
        <v>-125.81</v>
      </c>
      <c r="D1586" t="s">
        <v>24</v>
      </c>
      <c r="E1586" t="s">
        <v>462</v>
      </c>
      <c r="F1586" t="str">
        <f>VLOOKUP(Tabel1[[#This Row],[categorie]],Lijst!A:C,3,FALSE)</f>
        <v>Uitgave</v>
      </c>
      <c r="G1586">
        <f t="shared" si="76"/>
        <v>-125.81</v>
      </c>
      <c r="H1586" t="str">
        <f>VLOOKUP(Tabel1[[#This Row],[categorie]],Lijst!A:B,2,FALSE)</f>
        <v>Vast</v>
      </c>
      <c r="I1586" t="str">
        <f t="shared" si="77"/>
        <v>OK</v>
      </c>
    </row>
    <row r="1587" spans="1:9" hidden="1" x14ac:dyDescent="0.3">
      <c r="A1587" s="2">
        <v>45876</v>
      </c>
      <c r="B1587" t="str">
        <f t="shared" si="75"/>
        <v xml:space="preserve">augustus </v>
      </c>
      <c r="C1587">
        <v>-82</v>
      </c>
      <c r="D1587" t="str" cm="1">
        <f t="array" ref="D1587">IFERROR(
  _xlfn.XLOOKUP(TRUE, ISNUMBER(FIND(Trefwoorden!$A$2:$A$99, E1587)), Trefwoorden!$B$2:$B$99),
  "Onbekend"
)</f>
        <v>Ouders Bram</v>
      </c>
      <c r="E1587" t="s">
        <v>470</v>
      </c>
      <c r="F1587" t="s">
        <v>18</v>
      </c>
      <c r="G1587">
        <f t="shared" si="76"/>
        <v>-82</v>
      </c>
      <c r="H1587" t="str">
        <f>VLOOKUP(Tabel1[[#This Row],[categorie]],Lijst!A:B,2,FALSE)</f>
        <v>Variabel</v>
      </c>
      <c r="I1587" t="str">
        <f t="shared" si="77"/>
        <v>OK</v>
      </c>
    </row>
    <row r="1588" spans="1:9" hidden="1" x14ac:dyDescent="0.3">
      <c r="A1588" s="2">
        <v>45876</v>
      </c>
      <c r="B1588" t="str">
        <f t="shared" si="75"/>
        <v xml:space="preserve">augustus </v>
      </c>
      <c r="C1588">
        <v>-6.5</v>
      </c>
      <c r="D1588" t="s">
        <v>21</v>
      </c>
      <c r="E1588" t="s">
        <v>474</v>
      </c>
      <c r="F1588" t="str">
        <f>VLOOKUP(Tabel1[[#This Row],[categorie]],Lijst!A:C,3,FALSE)</f>
        <v>Uitgave</v>
      </c>
      <c r="G1588">
        <f t="shared" si="76"/>
        <v>-6.5</v>
      </c>
      <c r="H1588" t="str">
        <f>VLOOKUP(Tabel1[[#This Row],[categorie]],Lijst!A:B,2,FALSE)</f>
        <v>Variabel</v>
      </c>
      <c r="I1588" t="str">
        <f t="shared" si="77"/>
        <v>OK</v>
      </c>
    </row>
    <row r="1589" spans="1:9" hidden="1" x14ac:dyDescent="0.3">
      <c r="A1589" s="2">
        <v>45876</v>
      </c>
      <c r="B1589" t="str">
        <f t="shared" si="75"/>
        <v xml:space="preserve">augustus </v>
      </c>
      <c r="C1589">
        <v>27</v>
      </c>
      <c r="D1589" t="s">
        <v>21</v>
      </c>
      <c r="E1589" t="s">
        <v>475</v>
      </c>
      <c r="F1589" t="s">
        <v>17</v>
      </c>
      <c r="G1589">
        <f t="shared" si="76"/>
        <v>27</v>
      </c>
      <c r="H1589" t="str">
        <f>VLOOKUP(Tabel1[[#This Row],[categorie]],Lijst!A:B,2,FALSE)</f>
        <v>Variabel</v>
      </c>
      <c r="I1589" t="str">
        <f t="shared" si="77"/>
        <v>OK</v>
      </c>
    </row>
    <row r="1590" spans="1:9" hidden="1" x14ac:dyDescent="0.3">
      <c r="A1590" s="2">
        <v>45876</v>
      </c>
      <c r="B1590" t="str">
        <f t="shared" si="75"/>
        <v xml:space="preserve">augustus </v>
      </c>
      <c r="C1590">
        <v>-42</v>
      </c>
      <c r="D1590" t="s">
        <v>21</v>
      </c>
      <c r="E1590" t="s">
        <v>476</v>
      </c>
      <c r="F1590" t="str">
        <f>VLOOKUP(Tabel1[[#This Row],[categorie]],Lijst!A:C,3,FALSE)</f>
        <v>Uitgave</v>
      </c>
      <c r="G1590">
        <f t="shared" si="76"/>
        <v>-42</v>
      </c>
      <c r="H1590" t="str">
        <f>VLOOKUP(Tabel1[[#This Row],[categorie]],Lijst!A:B,2,FALSE)</f>
        <v>Variabel</v>
      </c>
      <c r="I1590" t="str">
        <f t="shared" si="77"/>
        <v>OK</v>
      </c>
    </row>
    <row r="1591" spans="1:9" hidden="1" x14ac:dyDescent="0.3">
      <c r="A1591" s="2">
        <v>45876</v>
      </c>
      <c r="B1591" t="str">
        <f t="shared" si="75"/>
        <v xml:space="preserve">augustus </v>
      </c>
      <c r="C1591">
        <v>-22.95</v>
      </c>
      <c r="D1591" t="s">
        <v>32</v>
      </c>
      <c r="E1591" t="s">
        <v>477</v>
      </c>
      <c r="F1591" t="str">
        <f>VLOOKUP(Tabel1[[#This Row],[categorie]],Lijst!A:C,3,FALSE)</f>
        <v>Uitgave</v>
      </c>
      <c r="G1591">
        <f t="shared" si="76"/>
        <v>-22.95</v>
      </c>
      <c r="H1591" t="str">
        <f>VLOOKUP(Tabel1[[#This Row],[categorie]],Lijst!A:B,2,FALSE)</f>
        <v>Variabel</v>
      </c>
      <c r="I1591" t="str">
        <f t="shared" si="77"/>
        <v>OK</v>
      </c>
    </row>
    <row r="1592" spans="1:9" hidden="1" x14ac:dyDescent="0.3">
      <c r="A1592" s="2">
        <v>45876</v>
      </c>
      <c r="B1592" t="str">
        <f t="shared" si="75"/>
        <v xml:space="preserve">augustus </v>
      </c>
      <c r="C1592">
        <v>-5.87</v>
      </c>
      <c r="D1592" t="str" cm="1">
        <f t="array" ref="D1592">IFERROR(
  _xlfn.XLOOKUP(TRUE, ISNUMBER(FIND(Trefwoorden!$A$2:$A$99, E1592)), Trefwoorden!$B$2:$B$99),
  "Onbekend"
)</f>
        <v>Laadbeurt</v>
      </c>
      <c r="E1592" t="s">
        <v>465</v>
      </c>
      <c r="F1592" t="str">
        <f>VLOOKUP(Tabel1[[#This Row],[categorie]],Lijst!A:C,3,FALSE)</f>
        <v>Uitgave</v>
      </c>
      <c r="G1592">
        <f t="shared" si="76"/>
        <v>-5.87</v>
      </c>
      <c r="H1592" t="str">
        <f>VLOOKUP(Tabel1[[#This Row],[categorie]],Lijst!A:B,2,FALSE)</f>
        <v>Vast</v>
      </c>
      <c r="I1592" t="str">
        <f t="shared" si="77"/>
        <v>OK</v>
      </c>
    </row>
    <row r="1593" spans="1:9" hidden="1" x14ac:dyDescent="0.3">
      <c r="A1593" s="2">
        <v>45876</v>
      </c>
      <c r="B1593" t="str">
        <f t="shared" si="75"/>
        <v xml:space="preserve">augustus </v>
      </c>
      <c r="C1593">
        <v>-5</v>
      </c>
      <c r="D1593" t="str" cm="1">
        <f t="array" ref="D1593">IFERROR(
  _xlfn.XLOOKUP(TRUE, ISNUMBER(FIND(Trefwoorden!$A$2:$A$99, E1593)), Trefwoorden!$B$2:$B$99),
  "Onbekend"
)</f>
        <v>Laadbeurt</v>
      </c>
      <c r="E1593" t="s">
        <v>465</v>
      </c>
      <c r="F1593" t="str">
        <f>VLOOKUP(Tabel1[[#This Row],[categorie]],Lijst!A:C,3,FALSE)</f>
        <v>Uitgave</v>
      </c>
      <c r="G1593">
        <f t="shared" si="76"/>
        <v>-5</v>
      </c>
      <c r="H1593" t="str">
        <f>VLOOKUP(Tabel1[[#This Row],[categorie]],Lijst!A:B,2,FALSE)</f>
        <v>Vast</v>
      </c>
      <c r="I1593" t="str">
        <f t="shared" si="77"/>
        <v>OK</v>
      </c>
    </row>
    <row r="1594" spans="1:9" hidden="1" x14ac:dyDescent="0.3">
      <c r="A1594" s="2">
        <v>45876</v>
      </c>
      <c r="B1594" t="str">
        <f t="shared" si="75"/>
        <v xml:space="preserve">augustus </v>
      </c>
      <c r="C1594">
        <v>-11.94</v>
      </c>
      <c r="D1594" t="str" cm="1">
        <f t="array" ref="D1594">IFERROR(
  _xlfn.XLOOKUP(TRUE, ISNUMBER(FIND(Trefwoorden!$A$2:$A$99, E1594)), Trefwoorden!$B$2:$B$99),
  "Onbekend"
)</f>
        <v>Action</v>
      </c>
      <c r="E1594" t="s">
        <v>466</v>
      </c>
      <c r="F1594" t="str">
        <f>VLOOKUP(Tabel1[[#This Row],[categorie]],Lijst!A:C,3,FALSE)</f>
        <v>Uitgave</v>
      </c>
      <c r="G1594">
        <f t="shared" si="76"/>
        <v>-11.94</v>
      </c>
      <c r="H1594" t="str">
        <f>VLOOKUP(Tabel1[[#This Row],[categorie]],Lijst!A:B,2,FALSE)</f>
        <v>Variabel</v>
      </c>
      <c r="I1594" t="str">
        <f t="shared" si="77"/>
        <v>OK</v>
      </c>
    </row>
    <row r="1595" spans="1:9" hidden="1" x14ac:dyDescent="0.3">
      <c r="A1595" s="2">
        <v>45876</v>
      </c>
      <c r="B1595" t="str">
        <f t="shared" si="75"/>
        <v xml:space="preserve">augustus </v>
      </c>
      <c r="C1595">
        <v>-810.65</v>
      </c>
      <c r="D1595" t="str" cm="1">
        <f t="array" ref="D1595">IFERROR(
  _xlfn.XLOOKUP(TRUE, ISNUMBER(FIND(Trefwoorden!$A$2:$A$99, E1595)), Trefwoorden!$B$2:$B$99),
  "Onbekend"
)</f>
        <v>Hypotheek</v>
      </c>
      <c r="E1595" t="s">
        <v>467</v>
      </c>
      <c r="F1595" t="str">
        <f>VLOOKUP(Tabel1[[#This Row],[categorie]],Lijst!A:C,3,FALSE)</f>
        <v>Uitgave</v>
      </c>
      <c r="G1595">
        <f t="shared" si="76"/>
        <v>-810.65</v>
      </c>
      <c r="H1595" t="str">
        <f>VLOOKUP(Tabel1[[#This Row],[categorie]],Lijst!A:B,2,FALSE)</f>
        <v>Vast</v>
      </c>
      <c r="I1595" t="str">
        <f t="shared" si="77"/>
        <v>OK</v>
      </c>
    </row>
    <row r="1596" spans="1:9" hidden="1" x14ac:dyDescent="0.3">
      <c r="A1596" s="2">
        <v>45877</v>
      </c>
      <c r="B1596" t="str">
        <f t="shared" si="75"/>
        <v xml:space="preserve">augustus </v>
      </c>
      <c r="C1596">
        <v>-24.16</v>
      </c>
      <c r="D1596" t="str" cm="1">
        <f t="array" ref="D1596">IFERROR(
  _xlfn.XLOOKUP(TRUE, ISNUMBER(FIND(Trefwoorden!$A$2:$A$99, E1596)), Trefwoorden!$B$2:$B$99),
  "Onbekend"
)</f>
        <v>voeding</v>
      </c>
      <c r="E1596" t="s">
        <v>500</v>
      </c>
      <c r="F1596" t="str">
        <f>VLOOKUP(Tabel1[[#This Row],[categorie]],Lijst!A:C,3,FALSE)</f>
        <v>Uitgave</v>
      </c>
      <c r="G1596">
        <f t="shared" si="76"/>
        <v>-24.16</v>
      </c>
      <c r="H1596" t="str">
        <f>VLOOKUP(Tabel1[[#This Row],[categorie]],Lijst!A:B,2,FALSE)</f>
        <v>Vast</v>
      </c>
      <c r="I1596" t="str">
        <f t="shared" si="77"/>
        <v>OK</v>
      </c>
    </row>
    <row r="1597" spans="1:9" hidden="1" x14ac:dyDescent="0.3">
      <c r="A1597" s="2">
        <v>45877</v>
      </c>
      <c r="B1597" t="str">
        <f t="shared" si="75"/>
        <v xml:space="preserve">augustus </v>
      </c>
      <c r="C1597">
        <v>-11</v>
      </c>
      <c r="D1597" t="s">
        <v>503</v>
      </c>
      <c r="E1597" t="s">
        <v>501</v>
      </c>
      <c r="F1597" t="str">
        <f>VLOOKUP(Tabel1[[#This Row],[categorie]],Lijst!A:C,3,FALSE)</f>
        <v>Uitgave</v>
      </c>
      <c r="G1597">
        <f t="shared" si="76"/>
        <v>-11</v>
      </c>
      <c r="H1597" t="str">
        <f>VLOOKUP(Tabel1[[#This Row],[categorie]],Lijst!A:B,2,FALSE)</f>
        <v>Variabel</v>
      </c>
      <c r="I1597" t="str">
        <f t="shared" si="77"/>
        <v>OK</v>
      </c>
    </row>
    <row r="1598" spans="1:9" hidden="1" x14ac:dyDescent="0.3">
      <c r="A1598" s="2">
        <v>45877</v>
      </c>
      <c r="B1598" t="str">
        <f t="shared" si="75"/>
        <v xml:space="preserve">augustus </v>
      </c>
      <c r="C1598">
        <v>-23.1</v>
      </c>
      <c r="D1598" t="s">
        <v>9</v>
      </c>
      <c r="E1598" t="s">
        <v>502</v>
      </c>
      <c r="F1598" t="s">
        <v>18</v>
      </c>
      <c r="G1598">
        <f t="shared" si="76"/>
        <v>-23.1</v>
      </c>
      <c r="H1598" t="str">
        <f>VLOOKUP(Tabel1[[#This Row],[categorie]],Lijst!A:B,2,FALSE)</f>
        <v>Variabel</v>
      </c>
      <c r="I1598" t="str">
        <f t="shared" si="77"/>
        <v>OK</v>
      </c>
    </row>
    <row r="1599" spans="1:9" hidden="1" x14ac:dyDescent="0.3">
      <c r="A1599" s="2">
        <v>45877</v>
      </c>
      <c r="B1599" t="str">
        <f t="shared" si="75"/>
        <v xml:space="preserve">augustus </v>
      </c>
      <c r="C1599">
        <v>-38.5</v>
      </c>
      <c r="D1599" t="s">
        <v>21</v>
      </c>
      <c r="E1599" t="s">
        <v>478</v>
      </c>
      <c r="F1599" t="str">
        <f>VLOOKUP(Tabel1[[#This Row],[categorie]],Lijst!A:C,3,FALSE)</f>
        <v>Uitgave</v>
      </c>
      <c r="G1599">
        <f t="shared" si="76"/>
        <v>-38.5</v>
      </c>
      <c r="H1599" t="str">
        <f>VLOOKUP(Tabel1[[#This Row],[categorie]],Lijst!A:B,2,FALSE)</f>
        <v>Variabel</v>
      </c>
      <c r="I1599" t="str">
        <f t="shared" si="77"/>
        <v>OK</v>
      </c>
    </row>
    <row r="1600" spans="1:9" hidden="1" x14ac:dyDescent="0.3">
      <c r="A1600" s="2">
        <v>45877</v>
      </c>
      <c r="B1600" t="str">
        <f t="shared" si="75"/>
        <v xml:space="preserve">augustus </v>
      </c>
      <c r="C1600">
        <v>-2.25</v>
      </c>
      <c r="D1600" t="str" cm="1">
        <f t="array" ref="D1600">IFERROR(
  _xlfn.XLOOKUP(TRUE, ISNUMBER(FIND(Trefwoorden!$A$2:$A$99, E1600)), Trefwoorden!$B$2:$B$99),
  "Onbekend"
)</f>
        <v>Laadbeurt</v>
      </c>
      <c r="E1600" t="s">
        <v>468</v>
      </c>
      <c r="F1600" t="str">
        <f>VLOOKUP(Tabel1[[#This Row],[categorie]],Lijst!A:C,3,FALSE)</f>
        <v>Uitgave</v>
      </c>
      <c r="G1600">
        <f t="shared" si="76"/>
        <v>-2.25</v>
      </c>
      <c r="H1600" t="str">
        <f>VLOOKUP(Tabel1[[#This Row],[categorie]],Lijst!A:B,2,FALSE)</f>
        <v>Vast</v>
      </c>
      <c r="I1600" t="str">
        <f t="shared" si="77"/>
        <v>OK</v>
      </c>
    </row>
    <row r="1601" spans="1:9" hidden="1" x14ac:dyDescent="0.3">
      <c r="A1601" s="2">
        <v>45877</v>
      </c>
      <c r="B1601" t="str">
        <f t="shared" si="75"/>
        <v xml:space="preserve">augustus </v>
      </c>
      <c r="C1601">
        <v>-12.01</v>
      </c>
      <c r="D1601" t="str" cm="1">
        <f t="array" ref="D1601">IFERROR(
  _xlfn.XLOOKUP(TRUE, ISNUMBER(FIND(Trefwoorden!$A$2:$A$99, E1601)), Trefwoorden!$B$2:$B$99),
  "Onbekend"
)</f>
        <v>Euromex</v>
      </c>
      <c r="E1601" t="s">
        <v>469</v>
      </c>
      <c r="F1601" t="str">
        <f>VLOOKUP(Tabel1[[#This Row],[categorie]],Lijst!A:C,3,FALSE)</f>
        <v>Uitgave</v>
      </c>
      <c r="G1601">
        <f t="shared" si="76"/>
        <v>-12.01</v>
      </c>
      <c r="H1601" t="str">
        <f>VLOOKUP(Tabel1[[#This Row],[categorie]],Lijst!A:B,2,FALSE)</f>
        <v>Vast</v>
      </c>
      <c r="I1601" t="str">
        <f t="shared" si="77"/>
        <v>OK</v>
      </c>
    </row>
    <row r="1602" spans="1:9" hidden="1" x14ac:dyDescent="0.3">
      <c r="A1602" s="2">
        <v>45878</v>
      </c>
      <c r="B1602" t="str">
        <f t="shared" si="75"/>
        <v xml:space="preserve">augustus </v>
      </c>
      <c r="C1602">
        <v>-12.97</v>
      </c>
      <c r="D1602" t="s">
        <v>32</v>
      </c>
      <c r="E1602" t="s">
        <v>493</v>
      </c>
      <c r="F1602" t="str">
        <f>VLOOKUP(Tabel1[[#This Row],[categorie]],Lijst!A:C,3,FALSE)</f>
        <v>Uitgave</v>
      </c>
      <c r="G1602">
        <f t="shared" si="76"/>
        <v>-12.97</v>
      </c>
      <c r="H1602" t="str">
        <f>VLOOKUP(Tabel1[[#This Row],[categorie]],Lijst!A:B,2,FALSE)</f>
        <v>Variabel</v>
      </c>
      <c r="I1602" t="str">
        <f t="shared" si="77"/>
        <v>OK</v>
      </c>
    </row>
    <row r="1603" spans="1:9" hidden="1" x14ac:dyDescent="0.3">
      <c r="A1603" s="2">
        <v>45878</v>
      </c>
      <c r="B1603" t="str">
        <f t="shared" si="75"/>
        <v xml:space="preserve">augustus </v>
      </c>
      <c r="C1603">
        <v>-14.95</v>
      </c>
      <c r="D1603" t="str" cm="1">
        <f t="array" ref="D1603">IFERROR(
  _xlfn.XLOOKUP(TRUE, ISNUMBER(FIND(Trefwoorden!$A$2:$A$99, E1603)), Trefwoorden!$B$2:$B$99),
  "Onbekend"
)</f>
        <v>voeding</v>
      </c>
      <c r="E1603" t="s">
        <v>494</v>
      </c>
      <c r="F1603" t="str">
        <f>VLOOKUP(Tabel1[[#This Row],[categorie]],Lijst!A:C,3,FALSE)</f>
        <v>Uitgave</v>
      </c>
      <c r="G1603">
        <f t="shared" si="76"/>
        <v>-14.95</v>
      </c>
      <c r="H1603" t="str">
        <f>VLOOKUP(Tabel1[[#This Row],[categorie]],Lijst!A:B,2,FALSE)</f>
        <v>Vast</v>
      </c>
      <c r="I1603" t="str">
        <f t="shared" si="77"/>
        <v>OK</v>
      </c>
    </row>
    <row r="1604" spans="1:9" hidden="1" x14ac:dyDescent="0.3">
      <c r="A1604" s="2">
        <v>45878</v>
      </c>
      <c r="B1604" t="str">
        <f t="shared" si="75"/>
        <v xml:space="preserve">augustus </v>
      </c>
      <c r="C1604">
        <v>-1.99</v>
      </c>
      <c r="D1604" t="str" cm="1">
        <f t="array" ref="D1604">IFERROR(
  _xlfn.XLOOKUP(TRUE, ISNUMBER(FIND(Trefwoorden!$A$2:$A$99, E1604)), Trefwoorden!$B$2:$B$99),
  "Onbekend"
)</f>
        <v>voeding</v>
      </c>
      <c r="E1604" t="s">
        <v>495</v>
      </c>
      <c r="F1604" t="str">
        <f>VLOOKUP(Tabel1[[#This Row],[categorie]],Lijst!A:C,3,FALSE)</f>
        <v>Uitgave</v>
      </c>
      <c r="G1604">
        <f t="shared" si="76"/>
        <v>-1.99</v>
      </c>
      <c r="H1604" t="str">
        <f>VLOOKUP(Tabel1[[#This Row],[categorie]],Lijst!A:B,2,FALSE)</f>
        <v>Vast</v>
      </c>
      <c r="I1604" t="str">
        <f t="shared" si="77"/>
        <v>OK</v>
      </c>
    </row>
    <row r="1605" spans="1:9" hidden="1" x14ac:dyDescent="0.3">
      <c r="A1605" s="2">
        <v>45878</v>
      </c>
      <c r="B1605" t="str">
        <f t="shared" si="75"/>
        <v xml:space="preserve">augustus </v>
      </c>
      <c r="C1605">
        <v>-2.34</v>
      </c>
      <c r="D1605" t="str" cm="1">
        <f t="array" ref="D1605">IFERROR(
  _xlfn.XLOOKUP(TRUE, ISNUMBER(FIND(Trefwoorden!$A$2:$A$99, E1605)), Trefwoorden!$B$2:$B$99),
  "Onbekend"
)</f>
        <v>Hema</v>
      </c>
      <c r="E1605" t="s">
        <v>496</v>
      </c>
      <c r="F1605" t="str">
        <f>VLOOKUP(Tabel1[[#This Row],[categorie]],Lijst!A:C,3,FALSE)</f>
        <v>Uitgave</v>
      </c>
      <c r="G1605">
        <f t="shared" si="76"/>
        <v>-2.34</v>
      </c>
      <c r="H1605" t="str">
        <f>VLOOKUP(Tabel1[[#This Row],[categorie]],Lijst!A:B,2,FALSE)</f>
        <v>Variabel</v>
      </c>
      <c r="I1605" t="str">
        <f t="shared" si="77"/>
        <v>OK</v>
      </c>
    </row>
    <row r="1606" spans="1:9" hidden="1" x14ac:dyDescent="0.3">
      <c r="A1606" s="2">
        <v>45879</v>
      </c>
      <c r="B1606" t="str">
        <f t="shared" si="75"/>
        <v xml:space="preserve">augustus </v>
      </c>
      <c r="C1606">
        <v>-200</v>
      </c>
      <c r="D1606" t="s">
        <v>503</v>
      </c>
      <c r="E1606" t="s">
        <v>489</v>
      </c>
      <c r="F1606" t="str">
        <f>VLOOKUP(Tabel1[[#This Row],[categorie]],Lijst!A:C,3,FALSE)</f>
        <v>Uitgave</v>
      </c>
      <c r="G1606">
        <f t="shared" si="76"/>
        <v>-200</v>
      </c>
      <c r="H1606" t="str">
        <f>VLOOKUP(Tabel1[[#This Row],[categorie]],Lijst!A:B,2,FALSE)</f>
        <v>Variabel</v>
      </c>
      <c r="I1606" t="str">
        <f t="shared" si="77"/>
        <v>OK</v>
      </c>
    </row>
    <row r="1607" spans="1:9" hidden="1" x14ac:dyDescent="0.3">
      <c r="A1607" s="2">
        <v>45879</v>
      </c>
      <c r="B1607" t="str">
        <f t="shared" si="75"/>
        <v xml:space="preserve">augustus </v>
      </c>
      <c r="C1607">
        <v>-5.5</v>
      </c>
      <c r="D1607" t="s">
        <v>9</v>
      </c>
      <c r="E1607" t="s">
        <v>492</v>
      </c>
      <c r="F1607" t="s">
        <v>18</v>
      </c>
      <c r="G1607">
        <f t="shared" si="76"/>
        <v>-5.5</v>
      </c>
      <c r="H1607" t="str">
        <f>VLOOKUP(Tabel1[[#This Row],[categorie]],Lijst!A:B,2,FALSE)</f>
        <v>Variabel</v>
      </c>
      <c r="I1607" t="str">
        <f t="shared" si="77"/>
        <v>OK</v>
      </c>
    </row>
    <row r="1608" spans="1:9" hidden="1" x14ac:dyDescent="0.3">
      <c r="A1608" s="2">
        <v>45879</v>
      </c>
      <c r="B1608" t="str">
        <f t="shared" si="75"/>
        <v xml:space="preserve">augustus </v>
      </c>
      <c r="C1608">
        <v>-6</v>
      </c>
      <c r="D1608" t="s">
        <v>9</v>
      </c>
      <c r="E1608" t="s">
        <v>497</v>
      </c>
      <c r="F1608" t="s">
        <v>18</v>
      </c>
      <c r="G1608">
        <f t="shared" si="76"/>
        <v>-6</v>
      </c>
      <c r="H1608" t="str">
        <f>VLOOKUP(Tabel1[[#This Row],[categorie]],Lijst!A:B,2,FALSE)</f>
        <v>Variabel</v>
      </c>
      <c r="I1608" t="str">
        <f t="shared" si="77"/>
        <v>OK</v>
      </c>
    </row>
    <row r="1609" spans="1:9" hidden="1" x14ac:dyDescent="0.3">
      <c r="A1609" s="2">
        <v>45879</v>
      </c>
      <c r="B1609" t="str">
        <f t="shared" si="75"/>
        <v xml:space="preserve">augustus </v>
      </c>
      <c r="C1609">
        <v>-56</v>
      </c>
      <c r="D1609" t="s">
        <v>503</v>
      </c>
      <c r="E1609" t="s">
        <v>498</v>
      </c>
      <c r="F1609" t="str">
        <f>VLOOKUP(Tabel1[[#This Row],[categorie]],Lijst!A:C,3,FALSE)</f>
        <v>Uitgave</v>
      </c>
      <c r="G1609">
        <f t="shared" si="76"/>
        <v>-56</v>
      </c>
      <c r="H1609" t="str">
        <f>VLOOKUP(Tabel1[[#This Row],[categorie]],Lijst!A:B,2,FALSE)</f>
        <v>Variabel</v>
      </c>
      <c r="I1609" t="str">
        <f t="shared" si="77"/>
        <v>OK</v>
      </c>
    </row>
    <row r="1610" spans="1:9" hidden="1" x14ac:dyDescent="0.3">
      <c r="A1610" s="2">
        <v>45879</v>
      </c>
      <c r="B1610" t="str">
        <f t="shared" si="75"/>
        <v xml:space="preserve">augustus </v>
      </c>
      <c r="C1610">
        <v>-2</v>
      </c>
      <c r="D1610" t="str" cm="1">
        <f t="array" ref="D1610">IFERROR(
  _xlfn.XLOOKUP(TRUE, ISNUMBER(FIND(Trefwoorden!$A$2:$A$99, E1610)), Trefwoorden!$B$2:$B$99),
  "Onbekend"
)</f>
        <v>decathlon</v>
      </c>
      <c r="E1610" t="s">
        <v>499</v>
      </c>
      <c r="F1610" t="str">
        <f>VLOOKUP(Tabel1[[#This Row],[categorie]],Lijst!A:C,3,FALSE)</f>
        <v>Uitgave</v>
      </c>
      <c r="G1610">
        <f t="shared" si="76"/>
        <v>-2</v>
      </c>
      <c r="H1610" t="str">
        <f>VLOOKUP(Tabel1[[#This Row],[categorie]],Lijst!A:B,2,FALSE)</f>
        <v>Variabel</v>
      </c>
      <c r="I1610" t="str">
        <f t="shared" si="77"/>
        <v>OK</v>
      </c>
    </row>
    <row r="1611" spans="1:9" hidden="1" x14ac:dyDescent="0.3">
      <c r="A1611" s="2">
        <v>45880</v>
      </c>
      <c r="B1611" t="str">
        <f t="shared" si="75"/>
        <v xml:space="preserve">augustus </v>
      </c>
      <c r="C1611">
        <v>-6.68</v>
      </c>
      <c r="D1611" t="str" cm="1">
        <f t="array" ref="D1611">IFERROR(
  _xlfn.XLOOKUP(TRUE, ISNUMBER(FIND(Trefwoorden!$A$2:$A$99, E1611)), Trefwoorden!$B$2:$B$99),
  "Onbekend"
)</f>
        <v>voeding</v>
      </c>
      <c r="E1611" t="s">
        <v>480</v>
      </c>
      <c r="F1611" t="str">
        <f>VLOOKUP(Tabel1[[#This Row],[categorie]],Lijst!A:C,3,FALSE)</f>
        <v>Uitgave</v>
      </c>
      <c r="G1611">
        <f t="shared" si="76"/>
        <v>-6.68</v>
      </c>
      <c r="H1611" t="str">
        <f>VLOOKUP(Tabel1[[#This Row],[categorie]],Lijst!A:B,2,FALSE)</f>
        <v>Vast</v>
      </c>
      <c r="I1611" t="str">
        <f t="shared" si="77"/>
        <v>OK</v>
      </c>
    </row>
    <row r="1612" spans="1:9" hidden="1" x14ac:dyDescent="0.3">
      <c r="A1612" s="2">
        <v>45880</v>
      </c>
      <c r="B1612" t="str">
        <f t="shared" ref="B1612:B1675" si="78">TEXT(A1612,"mmmm ")</f>
        <v xml:space="preserve">augustus </v>
      </c>
      <c r="C1612">
        <v>-26.5</v>
      </c>
      <c r="D1612" t="s">
        <v>44</v>
      </c>
      <c r="E1612" t="s">
        <v>488</v>
      </c>
      <c r="F1612" t="str">
        <f>VLOOKUP(Tabel1[[#This Row],[categorie]],Lijst!A:C,3,FALSE)</f>
        <v>Uitgave</v>
      </c>
      <c r="G1612">
        <f t="shared" ref="G1612:G1675" si="79">IF(F1612="Uitgave", -ABS(C1612), ABS(C1612))</f>
        <v>-26.5</v>
      </c>
      <c r="H1612" t="str">
        <f>VLOOKUP(Tabel1[[#This Row],[categorie]],Lijst!A:B,2,FALSE)</f>
        <v>Variabel</v>
      </c>
      <c r="I1612" t="str">
        <f t="shared" ref="I1612:I1675" si="80">IF(OR(AND(F1612="Uitgave", C1612&lt;0), AND(F1612="Inkomst", C1612&gt;0)), "OK", "FOUT")</f>
        <v>OK</v>
      </c>
    </row>
    <row r="1613" spans="1:9" hidden="1" x14ac:dyDescent="0.3">
      <c r="A1613" s="2">
        <v>45880</v>
      </c>
      <c r="B1613" t="str">
        <f t="shared" si="78"/>
        <v xml:space="preserve">augustus </v>
      </c>
      <c r="C1613">
        <v>-4.42</v>
      </c>
      <c r="D1613" t="str" cm="1">
        <f t="array" ref="D1613">IFERROR(
  _xlfn.XLOOKUP(TRUE, ISNUMBER(FIND(Trefwoorden!$A$2:$A$99, E1613)), Trefwoorden!$B$2:$B$99),
  "Onbekend"
)</f>
        <v>Laadbeurt</v>
      </c>
      <c r="E1613" t="s">
        <v>490</v>
      </c>
      <c r="F1613" t="str">
        <f>VLOOKUP(Tabel1[[#This Row],[categorie]],Lijst!A:C,3,FALSE)</f>
        <v>Uitgave</v>
      </c>
      <c r="G1613">
        <f t="shared" si="79"/>
        <v>-4.42</v>
      </c>
      <c r="H1613" t="str">
        <f>VLOOKUP(Tabel1[[#This Row],[categorie]],Lijst!A:B,2,FALSE)</f>
        <v>Vast</v>
      </c>
      <c r="I1613" t="str">
        <f t="shared" si="80"/>
        <v>OK</v>
      </c>
    </row>
    <row r="1614" spans="1:9" hidden="1" x14ac:dyDescent="0.3">
      <c r="A1614" s="2">
        <v>45880</v>
      </c>
      <c r="B1614" t="str">
        <f t="shared" si="78"/>
        <v xml:space="preserve">augustus </v>
      </c>
      <c r="C1614">
        <v>-5</v>
      </c>
      <c r="D1614" t="str" cm="1">
        <f t="array" ref="D1614">IFERROR(
  _xlfn.XLOOKUP(TRUE, ISNUMBER(FIND(Trefwoorden!$A$2:$A$99, E1614)), Trefwoorden!$B$2:$B$99),
  "Onbekend"
)</f>
        <v>Laadbeurt</v>
      </c>
      <c r="E1614" t="s">
        <v>490</v>
      </c>
      <c r="F1614" t="str">
        <f>VLOOKUP(Tabel1[[#This Row],[categorie]],Lijst!A:C,3,FALSE)</f>
        <v>Uitgave</v>
      </c>
      <c r="G1614">
        <f t="shared" si="79"/>
        <v>-5</v>
      </c>
      <c r="H1614" t="str">
        <f>VLOOKUP(Tabel1[[#This Row],[categorie]],Lijst!A:B,2,FALSE)</f>
        <v>Vast</v>
      </c>
      <c r="I1614" t="str">
        <f t="shared" si="80"/>
        <v>OK</v>
      </c>
    </row>
    <row r="1615" spans="1:9" hidden="1" x14ac:dyDescent="0.3">
      <c r="A1615" s="2">
        <v>45880</v>
      </c>
      <c r="B1615" t="str">
        <f t="shared" si="78"/>
        <v xml:space="preserve">augustus </v>
      </c>
      <c r="C1615">
        <v>-38.159999999999997</v>
      </c>
      <c r="D1615" t="s">
        <v>13</v>
      </c>
      <c r="E1615" t="s">
        <v>491</v>
      </c>
      <c r="F1615" t="str">
        <f>VLOOKUP(Tabel1[[#This Row],[categorie]],Lijst!A:C,3,FALSE)</f>
        <v>Uitgave</v>
      </c>
      <c r="G1615">
        <f t="shared" si="79"/>
        <v>-38.159999999999997</v>
      </c>
      <c r="H1615" t="str">
        <f>VLOOKUP(Tabel1[[#This Row],[categorie]],Lijst!A:B,2,FALSE)</f>
        <v>Vast</v>
      </c>
      <c r="I1615" t="str">
        <f t="shared" si="80"/>
        <v>OK</v>
      </c>
    </row>
    <row r="1616" spans="1:9" hidden="1" x14ac:dyDescent="0.3">
      <c r="A1616" s="2">
        <v>45881</v>
      </c>
      <c r="B1616" t="str">
        <f t="shared" si="78"/>
        <v xml:space="preserve">augustus </v>
      </c>
      <c r="C1616">
        <v>98.93</v>
      </c>
      <c r="D1616" t="str" cm="1">
        <f t="array" ref="D1616">IFERROR(
  _xlfn.XLOOKUP(TRUE, ISNUMBER(FIND(Trefwoorden!$A$2:$A$99, E1616)), Trefwoorden!$B$2:$B$99),
  "Onbekend"
)</f>
        <v>kledij</v>
      </c>
      <c r="E1616" t="s">
        <v>481</v>
      </c>
      <c r="F1616" t="s">
        <v>17</v>
      </c>
      <c r="G1616">
        <f t="shared" si="79"/>
        <v>98.93</v>
      </c>
      <c r="H1616" t="str">
        <f>VLOOKUP(Tabel1[[#This Row],[categorie]],Lijst!A:B,2,FALSE)</f>
        <v>Variabel</v>
      </c>
      <c r="I1616" t="str">
        <f t="shared" si="80"/>
        <v>OK</v>
      </c>
    </row>
    <row r="1617" spans="1:9" hidden="1" x14ac:dyDescent="0.3">
      <c r="A1617" s="2">
        <v>45881</v>
      </c>
      <c r="B1617" t="str">
        <f t="shared" si="78"/>
        <v xml:space="preserve">augustus </v>
      </c>
      <c r="C1617">
        <v>32.950000000000003</v>
      </c>
      <c r="D1617" t="str" cm="1">
        <f t="array" ref="D1617">IFERROR(
  _xlfn.XLOOKUP(TRUE, ISNUMBER(FIND(Trefwoorden!$A$2:$A$99, E1617)), Trefwoorden!$B$2:$B$99),
  "Onbekend"
)</f>
        <v>kledij</v>
      </c>
      <c r="E1617" t="s">
        <v>482</v>
      </c>
      <c r="F1617" t="s">
        <v>17</v>
      </c>
      <c r="G1617">
        <f t="shared" si="79"/>
        <v>32.950000000000003</v>
      </c>
      <c r="H1617" t="str">
        <f>VLOOKUP(Tabel1[[#This Row],[categorie]],Lijst!A:B,2,FALSE)</f>
        <v>Variabel</v>
      </c>
      <c r="I1617" t="str">
        <f t="shared" si="80"/>
        <v>OK</v>
      </c>
    </row>
    <row r="1618" spans="1:9" hidden="1" x14ac:dyDescent="0.3">
      <c r="A1618" s="2">
        <v>45881</v>
      </c>
      <c r="B1618" t="str">
        <f t="shared" si="78"/>
        <v xml:space="preserve">augustus </v>
      </c>
      <c r="C1618">
        <v>-1.5</v>
      </c>
      <c r="D1618" t="str" cm="1">
        <f t="array" ref="D1618">IFERROR(
  _xlfn.XLOOKUP(TRUE, ISNUMBER(FIND(Trefwoorden!$A$2:$A$99, E1618)), Trefwoorden!$B$2:$B$99),
  "Onbekend"
)</f>
        <v>automaat De Lijn</v>
      </c>
      <c r="E1618" t="s">
        <v>483</v>
      </c>
      <c r="F1618" t="str">
        <f>VLOOKUP(Tabel1[[#This Row],[categorie]],Lijst!A:C,3,FALSE)</f>
        <v>Uitgave</v>
      </c>
      <c r="G1618">
        <f t="shared" si="79"/>
        <v>-1.5</v>
      </c>
      <c r="H1618" t="str">
        <f>VLOOKUP(Tabel1[[#This Row],[categorie]],Lijst!A:B,2,FALSE)</f>
        <v>Variabel</v>
      </c>
      <c r="I1618" t="str">
        <f t="shared" si="80"/>
        <v>OK</v>
      </c>
    </row>
    <row r="1619" spans="1:9" hidden="1" x14ac:dyDescent="0.3">
      <c r="A1619" s="2">
        <v>45881</v>
      </c>
      <c r="B1619" t="str">
        <f t="shared" si="78"/>
        <v xml:space="preserve">augustus </v>
      </c>
      <c r="C1619">
        <v>-1.5</v>
      </c>
      <c r="D1619" t="str" cm="1">
        <f t="array" ref="D1619">IFERROR(
  _xlfn.XLOOKUP(TRUE, ISNUMBER(FIND(Trefwoorden!$A$2:$A$99, E1619)), Trefwoorden!$B$2:$B$99),
  "Onbekend"
)</f>
        <v>automaat De Lijn</v>
      </c>
      <c r="E1619" t="s">
        <v>484</v>
      </c>
      <c r="F1619" t="str">
        <f>VLOOKUP(Tabel1[[#This Row],[categorie]],Lijst!A:C,3,FALSE)</f>
        <v>Uitgave</v>
      </c>
      <c r="G1619">
        <f t="shared" si="79"/>
        <v>-1.5</v>
      </c>
      <c r="H1619" t="str">
        <f>VLOOKUP(Tabel1[[#This Row],[categorie]],Lijst!A:B,2,FALSE)</f>
        <v>Variabel</v>
      </c>
      <c r="I1619" t="str">
        <f t="shared" si="80"/>
        <v>OK</v>
      </c>
    </row>
    <row r="1620" spans="1:9" hidden="1" x14ac:dyDescent="0.3">
      <c r="A1620" s="2">
        <v>45881</v>
      </c>
      <c r="B1620" t="str">
        <f t="shared" si="78"/>
        <v xml:space="preserve">augustus </v>
      </c>
      <c r="C1620">
        <v>-1.5</v>
      </c>
      <c r="D1620" t="str" cm="1">
        <f t="array" ref="D1620">IFERROR(
  _xlfn.XLOOKUP(TRUE, ISNUMBER(FIND(Trefwoorden!$A$2:$A$99, E1620)), Trefwoorden!$B$2:$B$99),
  "Onbekend"
)</f>
        <v>automaat De Lijn</v>
      </c>
      <c r="E1620" t="s">
        <v>485</v>
      </c>
      <c r="F1620" t="str">
        <f>VLOOKUP(Tabel1[[#This Row],[categorie]],Lijst!A:C,3,FALSE)</f>
        <v>Uitgave</v>
      </c>
      <c r="G1620">
        <f t="shared" si="79"/>
        <v>-1.5</v>
      </c>
      <c r="H1620" t="str">
        <f>VLOOKUP(Tabel1[[#This Row],[categorie]],Lijst!A:B,2,FALSE)</f>
        <v>Variabel</v>
      </c>
      <c r="I1620" t="str">
        <f t="shared" si="80"/>
        <v>OK</v>
      </c>
    </row>
    <row r="1621" spans="1:9" hidden="1" x14ac:dyDescent="0.3">
      <c r="A1621" s="2">
        <v>45881</v>
      </c>
      <c r="B1621" t="str">
        <f t="shared" si="78"/>
        <v xml:space="preserve">augustus </v>
      </c>
      <c r="C1621">
        <v>-6</v>
      </c>
      <c r="D1621" t="str" cm="1">
        <f t="array" ref="D1621">IFERROR(
  _xlfn.XLOOKUP(TRUE, ISNUMBER(FIND(Trefwoorden!$A$2:$A$99, E1621)), Trefwoorden!$B$2:$B$99),
  "Onbekend"
)</f>
        <v>Laadbeurt</v>
      </c>
      <c r="E1621" t="s">
        <v>486</v>
      </c>
      <c r="F1621" t="str">
        <f>VLOOKUP(Tabel1[[#This Row],[categorie]],Lijst!A:C,3,FALSE)</f>
        <v>Uitgave</v>
      </c>
      <c r="G1621">
        <f t="shared" si="79"/>
        <v>-6</v>
      </c>
      <c r="H1621" t="str">
        <f>VLOOKUP(Tabel1[[#This Row],[categorie]],Lijst!A:B,2,FALSE)</f>
        <v>Vast</v>
      </c>
      <c r="I1621" t="str">
        <f t="shared" si="80"/>
        <v>OK</v>
      </c>
    </row>
    <row r="1622" spans="1:9" hidden="1" x14ac:dyDescent="0.3">
      <c r="A1622" s="2">
        <v>45881</v>
      </c>
      <c r="B1622" t="str">
        <f t="shared" si="78"/>
        <v xml:space="preserve">augustus </v>
      </c>
      <c r="C1622">
        <v>-2.12</v>
      </c>
      <c r="D1622" t="str" cm="1">
        <f t="array" ref="D1622">IFERROR(
  _xlfn.XLOOKUP(TRUE, ISNUMBER(FIND(Trefwoorden!$A$2:$A$99, E1622)), Trefwoorden!$B$2:$B$99),
  "Onbekend"
)</f>
        <v>Laadbeurt</v>
      </c>
      <c r="E1622" t="s">
        <v>487</v>
      </c>
      <c r="F1622" t="str">
        <f>VLOOKUP(Tabel1[[#This Row],[categorie]],Lijst!A:C,3,FALSE)</f>
        <v>Uitgave</v>
      </c>
      <c r="G1622">
        <f t="shared" si="79"/>
        <v>-2.12</v>
      </c>
      <c r="H1622" t="str">
        <f>VLOOKUP(Tabel1[[#This Row],[categorie]],Lijst!A:B,2,FALSE)</f>
        <v>Vast</v>
      </c>
      <c r="I1622" t="str">
        <f t="shared" si="80"/>
        <v>OK</v>
      </c>
    </row>
    <row r="1623" spans="1:9" hidden="1" x14ac:dyDescent="0.3">
      <c r="A1623" s="2">
        <v>45881</v>
      </c>
      <c r="B1623" t="str">
        <f t="shared" si="78"/>
        <v xml:space="preserve">augustus </v>
      </c>
      <c r="C1623">
        <v>-5</v>
      </c>
      <c r="D1623" t="str" cm="1">
        <f t="array" ref="D1623">IFERROR(
  _xlfn.XLOOKUP(TRUE, ISNUMBER(FIND(Trefwoorden!$A$2:$A$99, E1623)), Trefwoorden!$B$2:$B$99),
  "Onbekend"
)</f>
        <v>Laadbeurt</v>
      </c>
      <c r="E1623" t="s">
        <v>487</v>
      </c>
      <c r="F1623" t="str">
        <f>VLOOKUP(Tabel1[[#This Row],[categorie]],Lijst!A:C,3,FALSE)</f>
        <v>Uitgave</v>
      </c>
      <c r="G1623">
        <f t="shared" si="79"/>
        <v>-5</v>
      </c>
      <c r="H1623" t="str">
        <f>VLOOKUP(Tabel1[[#This Row],[categorie]],Lijst!A:B,2,FALSE)</f>
        <v>Vast</v>
      </c>
      <c r="I1623" t="str">
        <f t="shared" si="80"/>
        <v>OK</v>
      </c>
    </row>
    <row r="1624" spans="1:9" hidden="1" x14ac:dyDescent="0.3">
      <c r="A1624" s="2">
        <v>45882</v>
      </c>
      <c r="B1624" t="str">
        <f t="shared" si="78"/>
        <v xml:space="preserve">augustus </v>
      </c>
      <c r="C1624">
        <v>-30</v>
      </c>
      <c r="D1624" t="s">
        <v>35</v>
      </c>
      <c r="E1624" t="s">
        <v>509</v>
      </c>
      <c r="F1624" t="str">
        <f>VLOOKUP(Tabel1[[#This Row],[categorie]],Lijst!A:C,3,FALSE)</f>
        <v>Uitgave</v>
      </c>
      <c r="G1624">
        <f t="shared" si="79"/>
        <v>-30</v>
      </c>
      <c r="H1624" t="str">
        <f>VLOOKUP(Tabel1[[#This Row],[categorie]],Lijst!A:B,2,FALSE)</f>
        <v>Variabel</v>
      </c>
      <c r="I1624" t="str">
        <f t="shared" si="80"/>
        <v>OK</v>
      </c>
    </row>
    <row r="1625" spans="1:9" hidden="1" x14ac:dyDescent="0.3">
      <c r="A1625" s="2">
        <v>45882</v>
      </c>
      <c r="B1625" t="str">
        <f t="shared" si="78"/>
        <v xml:space="preserve">augustus </v>
      </c>
      <c r="C1625">
        <v>-1.5</v>
      </c>
      <c r="D1625" t="str" cm="1">
        <f t="array" ref="D1625">IFERROR(
  _xlfn.XLOOKUP(TRUE, ISNUMBER(FIND(Trefwoorden!$A$2:$A$99, E1625)), Trefwoorden!$B$2:$B$99),
  "Onbekend"
)</f>
        <v>automaat De Lijn</v>
      </c>
      <c r="E1625" t="s">
        <v>510</v>
      </c>
      <c r="F1625" t="str">
        <f>VLOOKUP(Tabel1[[#This Row],[categorie]],Lijst!A:C,3,FALSE)</f>
        <v>Uitgave</v>
      </c>
      <c r="G1625">
        <f t="shared" si="79"/>
        <v>-1.5</v>
      </c>
      <c r="H1625" t="str">
        <f>VLOOKUP(Tabel1[[#This Row],[categorie]],Lijst!A:B,2,FALSE)</f>
        <v>Variabel</v>
      </c>
      <c r="I1625" t="str">
        <f t="shared" si="80"/>
        <v>OK</v>
      </c>
    </row>
    <row r="1626" spans="1:9" hidden="1" x14ac:dyDescent="0.3">
      <c r="A1626" s="2">
        <v>45882</v>
      </c>
      <c r="B1626" t="str">
        <f t="shared" si="78"/>
        <v xml:space="preserve">augustus </v>
      </c>
      <c r="C1626">
        <v>-5.8</v>
      </c>
      <c r="D1626" t="s">
        <v>3</v>
      </c>
      <c r="E1626" t="s">
        <v>511</v>
      </c>
      <c r="F1626" t="str">
        <f>VLOOKUP(Tabel1[[#This Row],[categorie]],Lijst!A:C,3,FALSE)</f>
        <v>Uitgave</v>
      </c>
      <c r="G1626">
        <f t="shared" si="79"/>
        <v>-5.8</v>
      </c>
      <c r="H1626" t="str">
        <f>VLOOKUP(Tabel1[[#This Row],[categorie]],Lijst!A:B,2,FALSE)</f>
        <v>Vast</v>
      </c>
      <c r="I1626" t="str">
        <f t="shared" si="80"/>
        <v>OK</v>
      </c>
    </row>
    <row r="1627" spans="1:9" hidden="1" x14ac:dyDescent="0.3">
      <c r="A1627" s="2">
        <v>45882</v>
      </c>
      <c r="B1627" t="str">
        <f t="shared" si="78"/>
        <v xml:space="preserve">augustus </v>
      </c>
      <c r="C1627">
        <v>-4.68</v>
      </c>
      <c r="D1627" t="str" cm="1">
        <f t="array" ref="D1627">IFERROR(
  _xlfn.XLOOKUP(TRUE, ISNUMBER(FIND(Trefwoorden!$A$2:$A$99, E1627)), Trefwoorden!$B$2:$B$99),
  "Onbekend"
)</f>
        <v>voeding</v>
      </c>
      <c r="E1627" t="s">
        <v>512</v>
      </c>
      <c r="F1627" t="str">
        <f>VLOOKUP(Tabel1[[#This Row],[categorie]],Lijst!A:C,3,FALSE)</f>
        <v>Uitgave</v>
      </c>
      <c r="G1627">
        <f t="shared" si="79"/>
        <v>-4.68</v>
      </c>
      <c r="H1627" t="str">
        <f>VLOOKUP(Tabel1[[#This Row],[categorie]],Lijst!A:B,2,FALSE)</f>
        <v>Vast</v>
      </c>
      <c r="I1627" t="str">
        <f t="shared" si="80"/>
        <v>OK</v>
      </c>
    </row>
    <row r="1628" spans="1:9" hidden="1" x14ac:dyDescent="0.3">
      <c r="A1628" s="2">
        <v>45883</v>
      </c>
      <c r="B1628" t="str">
        <f t="shared" si="78"/>
        <v xml:space="preserve">augustus </v>
      </c>
      <c r="C1628">
        <v>-26.15</v>
      </c>
      <c r="D1628" t="s">
        <v>35</v>
      </c>
      <c r="E1628" t="s">
        <v>504</v>
      </c>
      <c r="F1628" t="str">
        <f>VLOOKUP(Tabel1[[#This Row],[categorie]],Lijst!A:C,3,FALSE)</f>
        <v>Uitgave</v>
      </c>
      <c r="G1628">
        <f t="shared" si="79"/>
        <v>-26.15</v>
      </c>
      <c r="H1628" t="str">
        <f>VLOOKUP(Tabel1[[#This Row],[categorie]],Lijst!A:B,2,FALSE)</f>
        <v>Variabel</v>
      </c>
      <c r="I1628" t="str">
        <f t="shared" si="80"/>
        <v>OK</v>
      </c>
    </row>
    <row r="1629" spans="1:9" hidden="1" x14ac:dyDescent="0.3">
      <c r="A1629" s="2">
        <v>45883</v>
      </c>
      <c r="B1629" t="str">
        <f t="shared" si="78"/>
        <v xml:space="preserve">augustus </v>
      </c>
      <c r="C1629">
        <v>-9</v>
      </c>
      <c r="D1629" t="str" cm="1">
        <f t="array" ref="D1629">IFERROR(
  _xlfn.XLOOKUP(TRUE, ISNUMBER(FIND(Trefwoorden!$A$2:$A$99, E1629)), Trefwoorden!$B$2:$B$99),
  "Onbekend"
)</f>
        <v>Brico</v>
      </c>
      <c r="E1629" t="s">
        <v>505</v>
      </c>
      <c r="F1629" t="str">
        <f>VLOOKUP(Tabel1[[#This Row],[categorie]],Lijst!A:C,3,FALSE)</f>
        <v>Uitgave</v>
      </c>
      <c r="G1629">
        <f t="shared" si="79"/>
        <v>-9</v>
      </c>
      <c r="H1629" t="str">
        <f>VLOOKUP(Tabel1[[#This Row],[categorie]],Lijst!A:B,2,FALSE)</f>
        <v>Variabel</v>
      </c>
      <c r="I1629" t="str">
        <f t="shared" si="80"/>
        <v>OK</v>
      </c>
    </row>
    <row r="1630" spans="1:9" hidden="1" x14ac:dyDescent="0.3">
      <c r="A1630" s="2">
        <v>45883</v>
      </c>
      <c r="B1630" t="str">
        <f t="shared" si="78"/>
        <v xml:space="preserve">augustus </v>
      </c>
      <c r="C1630">
        <v>-1.55</v>
      </c>
      <c r="D1630" t="str" cm="1">
        <f t="array" ref="D1630">IFERROR(
  _xlfn.XLOOKUP(TRUE, ISNUMBER(FIND(Trefwoorden!$A$2:$A$99, E1630)), Trefwoorden!$B$2:$B$99),
  "Onbekend"
)</f>
        <v>voeding</v>
      </c>
      <c r="E1630" t="s">
        <v>506</v>
      </c>
      <c r="F1630" t="str">
        <f>VLOOKUP(Tabel1[[#This Row],[categorie]],Lijst!A:C,3,FALSE)</f>
        <v>Uitgave</v>
      </c>
      <c r="G1630">
        <f t="shared" si="79"/>
        <v>-1.55</v>
      </c>
      <c r="H1630" t="str">
        <f>VLOOKUP(Tabel1[[#This Row],[categorie]],Lijst!A:B,2,FALSE)</f>
        <v>Vast</v>
      </c>
      <c r="I1630" t="str">
        <f t="shared" si="80"/>
        <v>OK</v>
      </c>
    </row>
    <row r="1631" spans="1:9" hidden="1" x14ac:dyDescent="0.3">
      <c r="A1631" s="2">
        <v>45883</v>
      </c>
      <c r="B1631" t="str">
        <f t="shared" si="78"/>
        <v xml:space="preserve">augustus </v>
      </c>
      <c r="C1631">
        <v>-1.5</v>
      </c>
      <c r="D1631" t="str" cm="1">
        <f t="array" ref="D1631">IFERROR(
  _xlfn.XLOOKUP(TRUE, ISNUMBER(FIND(Trefwoorden!$A$2:$A$99, E1631)), Trefwoorden!$B$2:$B$99),
  "Onbekend"
)</f>
        <v>automaat De Lijn</v>
      </c>
      <c r="E1631" t="s">
        <v>508</v>
      </c>
      <c r="F1631" t="str">
        <f>VLOOKUP(Tabel1[[#This Row],[categorie]],Lijst!A:C,3,FALSE)</f>
        <v>Uitgave</v>
      </c>
      <c r="G1631">
        <f t="shared" si="79"/>
        <v>-1.5</v>
      </c>
      <c r="H1631" t="str">
        <f>VLOOKUP(Tabel1[[#This Row],[categorie]],Lijst!A:B,2,FALSE)</f>
        <v>Variabel</v>
      </c>
      <c r="I1631" t="str">
        <f t="shared" si="80"/>
        <v>OK</v>
      </c>
    </row>
    <row r="1632" spans="1:9" hidden="1" x14ac:dyDescent="0.3">
      <c r="A1632" s="2">
        <v>45883</v>
      </c>
      <c r="B1632" t="str">
        <f t="shared" si="78"/>
        <v xml:space="preserve">augustus </v>
      </c>
      <c r="C1632">
        <v>-5.24</v>
      </c>
      <c r="D1632" t="str" cm="1">
        <f t="array" ref="D1632">IFERROR(
  _xlfn.XLOOKUP(TRUE, ISNUMBER(FIND(Trefwoorden!$A$2:$A$99, E1632)), Trefwoorden!$B$2:$B$99),
  "Onbekend"
)</f>
        <v>voeding</v>
      </c>
      <c r="E1632" t="s">
        <v>543</v>
      </c>
      <c r="F1632" t="str">
        <f>VLOOKUP(Tabel1[[#This Row],[categorie]],Lijst!A:C,3,FALSE)</f>
        <v>Uitgave</v>
      </c>
      <c r="G1632">
        <f t="shared" si="79"/>
        <v>-5.24</v>
      </c>
      <c r="H1632" t="str">
        <f>VLOOKUP(Tabel1[[#This Row],[categorie]],Lijst!A:B,2,FALSE)</f>
        <v>Vast</v>
      </c>
      <c r="I1632" t="str">
        <f t="shared" si="80"/>
        <v>OK</v>
      </c>
    </row>
    <row r="1633" spans="1:9" hidden="1" x14ac:dyDescent="0.3">
      <c r="A1633" s="2">
        <v>45884</v>
      </c>
      <c r="B1633" t="str">
        <f t="shared" si="78"/>
        <v xml:space="preserve">augustus </v>
      </c>
      <c r="C1633">
        <v>-10.63</v>
      </c>
      <c r="D1633" t="str" cm="1">
        <f t="array" ref="D1633">IFERROR(
  _xlfn.XLOOKUP(TRUE, ISNUMBER(FIND(Trefwoorden!$A$2:$A$99, E1633)), Trefwoorden!$B$2:$B$99),
  "Onbekend"
)</f>
        <v>voeding</v>
      </c>
      <c r="E1633" t="s">
        <v>555</v>
      </c>
      <c r="F1633" t="str">
        <f>VLOOKUP(Tabel1[[#This Row],[categorie]],Lijst!A:C,3,FALSE)</f>
        <v>Uitgave</v>
      </c>
      <c r="G1633">
        <f t="shared" si="79"/>
        <v>-10.63</v>
      </c>
      <c r="H1633" t="str">
        <f>VLOOKUP(Tabel1[[#This Row],[categorie]],Lijst!A:B,2,FALSE)</f>
        <v>Vast</v>
      </c>
      <c r="I1633" t="str">
        <f t="shared" si="80"/>
        <v>OK</v>
      </c>
    </row>
    <row r="1634" spans="1:9" hidden="1" x14ac:dyDescent="0.3">
      <c r="A1634" s="2">
        <v>45884</v>
      </c>
      <c r="B1634" t="str">
        <f t="shared" si="78"/>
        <v xml:space="preserve">augustus </v>
      </c>
      <c r="C1634">
        <v>35.99</v>
      </c>
      <c r="D1634" t="str" cm="1">
        <f t="array" ref="D1634">IFERROR(
  _xlfn.XLOOKUP(TRUE, ISNUMBER(FIND(Trefwoorden!$A$2:$A$99, E1634)), Trefwoorden!$B$2:$B$99),
  "Onbekend"
)</f>
        <v>kledij</v>
      </c>
      <c r="E1634" t="s">
        <v>507</v>
      </c>
      <c r="F1634" t="s">
        <v>17</v>
      </c>
      <c r="G1634">
        <f t="shared" si="79"/>
        <v>35.99</v>
      </c>
      <c r="H1634" t="str">
        <f>VLOOKUP(Tabel1[[#This Row],[categorie]],Lijst!A:B,2,FALSE)</f>
        <v>Variabel</v>
      </c>
      <c r="I1634" t="str">
        <f t="shared" si="80"/>
        <v>OK</v>
      </c>
    </row>
    <row r="1635" spans="1:9" hidden="1" x14ac:dyDescent="0.3">
      <c r="A1635" s="2">
        <v>45885</v>
      </c>
      <c r="B1635" t="str">
        <f t="shared" si="78"/>
        <v xml:space="preserve">augustus </v>
      </c>
      <c r="C1635">
        <v>-16.28</v>
      </c>
      <c r="D1635" t="str" cm="1">
        <f t="array" ref="D1635">IFERROR(
  _xlfn.XLOOKUP(TRUE, ISNUMBER(FIND(Trefwoorden!$A$2:$A$99, E1635)), Trefwoorden!$B$2:$B$99),
  "Onbekend"
)</f>
        <v>voeding</v>
      </c>
      <c r="E1635" t="s">
        <v>542</v>
      </c>
      <c r="F1635" t="str">
        <f>VLOOKUP(Tabel1[[#This Row],[categorie]],Lijst!A:C,3,FALSE)</f>
        <v>Uitgave</v>
      </c>
      <c r="G1635">
        <f t="shared" si="79"/>
        <v>-16.28</v>
      </c>
      <c r="H1635" t="str">
        <f>VLOOKUP(Tabel1[[#This Row],[categorie]],Lijst!A:B,2,FALSE)</f>
        <v>Vast</v>
      </c>
      <c r="I1635" t="str">
        <f t="shared" si="80"/>
        <v>OK</v>
      </c>
    </row>
    <row r="1636" spans="1:9" hidden="1" x14ac:dyDescent="0.3">
      <c r="A1636" s="2">
        <v>45885</v>
      </c>
      <c r="B1636" t="str">
        <f t="shared" si="78"/>
        <v xml:space="preserve">augustus </v>
      </c>
      <c r="C1636">
        <v>-19.260000000000002</v>
      </c>
      <c r="D1636" t="str" cm="1">
        <f t="array" ref="D1636">IFERROR(
  _xlfn.XLOOKUP(TRUE, ISNUMBER(FIND(Trefwoorden!$A$2:$A$99, E1636)), Trefwoorden!$B$2:$B$99),
  "Onbekend"
)</f>
        <v>voeding</v>
      </c>
      <c r="E1636" t="s">
        <v>554</v>
      </c>
      <c r="F1636" t="str">
        <f>VLOOKUP(Tabel1[[#This Row],[categorie]],Lijst!A:C,3,FALSE)</f>
        <v>Uitgave</v>
      </c>
      <c r="G1636">
        <f t="shared" si="79"/>
        <v>-19.260000000000002</v>
      </c>
      <c r="H1636" t="str">
        <f>VLOOKUP(Tabel1[[#This Row],[categorie]],Lijst!A:B,2,FALSE)</f>
        <v>Vast</v>
      </c>
      <c r="I1636" t="str">
        <f t="shared" si="80"/>
        <v>OK</v>
      </c>
    </row>
    <row r="1637" spans="1:9" hidden="1" x14ac:dyDescent="0.3">
      <c r="A1637" s="2">
        <v>45886</v>
      </c>
      <c r="B1637" t="str">
        <f t="shared" si="78"/>
        <v xml:space="preserve">augustus </v>
      </c>
      <c r="C1637">
        <v>-6.44</v>
      </c>
      <c r="D1637" t="str" cm="1">
        <f t="array" ref="D1637">IFERROR(
  _xlfn.XLOOKUP(TRUE, ISNUMBER(FIND(Trefwoorden!$A$2:$A$99, E1637)), Trefwoorden!$B$2:$B$99),
  "Onbekend"
)</f>
        <v>voeding</v>
      </c>
      <c r="E1637" t="s">
        <v>541</v>
      </c>
      <c r="F1637" t="str">
        <f>VLOOKUP(Tabel1[[#This Row],[categorie]],Lijst!A:C,3,FALSE)</f>
        <v>Uitgave</v>
      </c>
      <c r="G1637">
        <f t="shared" si="79"/>
        <v>-6.44</v>
      </c>
      <c r="H1637" t="str">
        <f>VLOOKUP(Tabel1[[#This Row],[categorie]],Lijst!A:B,2,FALSE)</f>
        <v>Vast</v>
      </c>
      <c r="I1637" t="str">
        <f t="shared" si="80"/>
        <v>OK</v>
      </c>
    </row>
    <row r="1638" spans="1:9" hidden="1" x14ac:dyDescent="0.3">
      <c r="A1638" s="2">
        <v>45886</v>
      </c>
      <c r="B1638" t="str">
        <f t="shared" si="78"/>
        <v xml:space="preserve">augustus </v>
      </c>
      <c r="C1638">
        <v>-8.4600000000000009</v>
      </c>
      <c r="D1638" t="s">
        <v>48</v>
      </c>
      <c r="E1638" t="s">
        <v>552</v>
      </c>
      <c r="F1638" t="s">
        <v>18</v>
      </c>
      <c r="G1638">
        <f t="shared" si="79"/>
        <v>-8.4600000000000009</v>
      </c>
      <c r="H1638" t="str">
        <f>VLOOKUP(Tabel1[[#This Row],[categorie]],Lijst!A:B,2,FALSE)</f>
        <v>Variabel</v>
      </c>
      <c r="I1638" t="str">
        <f t="shared" si="80"/>
        <v>OK</v>
      </c>
    </row>
    <row r="1639" spans="1:9" hidden="1" x14ac:dyDescent="0.3">
      <c r="A1639" s="2">
        <v>45886</v>
      </c>
      <c r="B1639" t="str">
        <f t="shared" si="78"/>
        <v xml:space="preserve">augustus </v>
      </c>
      <c r="C1639">
        <v>-16</v>
      </c>
      <c r="D1639" t="s">
        <v>9</v>
      </c>
      <c r="E1639" t="s">
        <v>553</v>
      </c>
      <c r="F1639" t="s">
        <v>18</v>
      </c>
      <c r="G1639">
        <f t="shared" si="79"/>
        <v>-16</v>
      </c>
      <c r="H1639" t="str">
        <f>VLOOKUP(Tabel1[[#This Row],[categorie]],Lijst!A:B,2,FALSE)</f>
        <v>Variabel</v>
      </c>
      <c r="I1639" t="str">
        <f t="shared" si="80"/>
        <v>OK</v>
      </c>
    </row>
    <row r="1640" spans="1:9" hidden="1" x14ac:dyDescent="0.3">
      <c r="A1640" s="2">
        <v>45887</v>
      </c>
      <c r="B1640" t="str">
        <f t="shared" si="78"/>
        <v xml:space="preserve">augustus </v>
      </c>
      <c r="C1640">
        <v>-9.99</v>
      </c>
      <c r="D1640" t="str" cm="1">
        <f t="array" ref="D1640">IFERROR(
  _xlfn.XLOOKUP(TRUE, ISNUMBER(FIND(Trefwoorden!$A$2:$A$99, E1640)), Trefwoorden!$B$2:$B$99),
  "Onbekend"
)</f>
        <v>Coolblue</v>
      </c>
      <c r="E1640" t="s">
        <v>539</v>
      </c>
      <c r="F1640" t="str">
        <f>VLOOKUP(Tabel1[[#This Row],[categorie]],Lijst!A:C,3,FALSE)</f>
        <v>Uitgave</v>
      </c>
      <c r="G1640">
        <f t="shared" si="79"/>
        <v>-9.99</v>
      </c>
      <c r="H1640" t="str">
        <f>VLOOKUP(Tabel1[[#This Row],[categorie]],Lijst!A:B,2,FALSE)</f>
        <v>Variabel</v>
      </c>
      <c r="I1640" t="str">
        <f t="shared" si="80"/>
        <v>OK</v>
      </c>
    </row>
    <row r="1641" spans="1:9" hidden="1" x14ac:dyDescent="0.3">
      <c r="A1641" s="2">
        <v>45887</v>
      </c>
      <c r="B1641" t="str">
        <f t="shared" si="78"/>
        <v xml:space="preserve">augustus </v>
      </c>
      <c r="C1641">
        <v>-38</v>
      </c>
      <c r="D1641" t="str" cm="1">
        <f t="array" ref="D1641">IFERROR(
  _xlfn.XLOOKUP(TRUE, ISNUMBER(FIND(Trefwoorden!$A$2:$A$99, E1641)), Trefwoorden!$B$2:$B$99),
  "Onbekend"
)</f>
        <v>kledij</v>
      </c>
      <c r="E1641" t="s">
        <v>540</v>
      </c>
      <c r="F1641" t="str">
        <f>VLOOKUP(Tabel1[[#This Row],[categorie]],Lijst!A:C,3,FALSE)</f>
        <v>Uitgave</v>
      </c>
      <c r="G1641">
        <f t="shared" si="79"/>
        <v>-38</v>
      </c>
      <c r="H1641" t="str">
        <f>VLOOKUP(Tabel1[[#This Row],[categorie]],Lijst!A:B,2,FALSE)</f>
        <v>Variabel</v>
      </c>
      <c r="I1641" t="str">
        <f t="shared" si="80"/>
        <v>OK</v>
      </c>
    </row>
    <row r="1642" spans="1:9" hidden="1" x14ac:dyDescent="0.3">
      <c r="A1642" s="2">
        <v>45887</v>
      </c>
      <c r="B1642" t="str">
        <f t="shared" si="78"/>
        <v xml:space="preserve">augustus </v>
      </c>
      <c r="C1642">
        <v>-35.9</v>
      </c>
      <c r="D1642" t="s">
        <v>9</v>
      </c>
      <c r="E1642" t="s">
        <v>544</v>
      </c>
      <c r="F1642" t="s">
        <v>18</v>
      </c>
      <c r="G1642">
        <f t="shared" si="79"/>
        <v>-35.9</v>
      </c>
      <c r="H1642" t="str">
        <f>VLOOKUP(Tabel1[[#This Row],[categorie]],Lijst!A:B,2,FALSE)</f>
        <v>Variabel</v>
      </c>
      <c r="I1642" t="str">
        <f t="shared" si="80"/>
        <v>OK</v>
      </c>
    </row>
    <row r="1643" spans="1:9" hidden="1" x14ac:dyDescent="0.3">
      <c r="A1643" s="2">
        <v>45887</v>
      </c>
      <c r="B1643" t="str">
        <f t="shared" si="78"/>
        <v xml:space="preserve">augustus </v>
      </c>
      <c r="C1643">
        <v>-44</v>
      </c>
      <c r="D1643" t="s">
        <v>32</v>
      </c>
      <c r="E1643" t="s">
        <v>545</v>
      </c>
      <c r="F1643" t="str">
        <f>VLOOKUP(Tabel1[[#This Row],[categorie]],Lijst!A:C,3,FALSE)</f>
        <v>Uitgave</v>
      </c>
      <c r="G1643">
        <f t="shared" si="79"/>
        <v>-44</v>
      </c>
      <c r="H1643" t="str">
        <f>VLOOKUP(Tabel1[[#This Row],[categorie]],Lijst!A:B,2,FALSE)</f>
        <v>Variabel</v>
      </c>
      <c r="I1643" t="str">
        <f t="shared" si="80"/>
        <v>OK</v>
      </c>
    </row>
    <row r="1644" spans="1:9" hidden="1" x14ac:dyDescent="0.3">
      <c r="A1644" s="2">
        <v>45887</v>
      </c>
      <c r="B1644" t="str">
        <f t="shared" si="78"/>
        <v xml:space="preserve">augustus </v>
      </c>
      <c r="C1644">
        <v>-2.7</v>
      </c>
      <c r="D1644" t="str" cm="1">
        <f t="array" ref="D1644">IFERROR(
  _xlfn.XLOOKUP(TRUE, ISNUMBER(FIND(Trefwoorden!$A$2:$A$99, E1644)), Trefwoorden!$B$2:$B$99),
  "Onbekend"
)</f>
        <v>Laadbeurt</v>
      </c>
      <c r="E1644" t="s">
        <v>546</v>
      </c>
      <c r="F1644" t="str">
        <f>VLOOKUP(Tabel1[[#This Row],[categorie]],Lijst!A:C,3,FALSE)</f>
        <v>Uitgave</v>
      </c>
      <c r="G1644">
        <f t="shared" si="79"/>
        <v>-2.7</v>
      </c>
      <c r="H1644" t="str">
        <f>VLOOKUP(Tabel1[[#This Row],[categorie]],Lijst!A:B,2,FALSE)</f>
        <v>Vast</v>
      </c>
      <c r="I1644" t="str">
        <f t="shared" si="80"/>
        <v>OK</v>
      </c>
    </row>
    <row r="1645" spans="1:9" hidden="1" x14ac:dyDescent="0.3">
      <c r="A1645" s="2">
        <v>45887</v>
      </c>
      <c r="B1645" t="str">
        <f t="shared" si="78"/>
        <v xml:space="preserve">augustus </v>
      </c>
      <c r="C1645">
        <v>-1.5</v>
      </c>
      <c r="D1645" t="str" cm="1">
        <f t="array" ref="D1645">IFERROR(
  _xlfn.XLOOKUP(TRUE, ISNUMBER(FIND(Trefwoorden!$A$2:$A$99, E1645)), Trefwoorden!$B$2:$B$99),
  "Onbekend"
)</f>
        <v>automaat De Lijn</v>
      </c>
      <c r="E1645" t="s">
        <v>547</v>
      </c>
      <c r="F1645" t="str">
        <f>VLOOKUP(Tabel1[[#This Row],[categorie]],Lijst!A:C,3,FALSE)</f>
        <v>Uitgave</v>
      </c>
      <c r="G1645">
        <f t="shared" si="79"/>
        <v>-1.5</v>
      </c>
      <c r="H1645" t="str">
        <f>VLOOKUP(Tabel1[[#This Row],[categorie]],Lijst!A:B,2,FALSE)</f>
        <v>Variabel</v>
      </c>
      <c r="I1645" t="str">
        <f t="shared" si="80"/>
        <v>OK</v>
      </c>
    </row>
    <row r="1646" spans="1:9" hidden="1" x14ac:dyDescent="0.3">
      <c r="A1646" s="2">
        <v>45887</v>
      </c>
      <c r="B1646" t="str">
        <f t="shared" si="78"/>
        <v xml:space="preserve">augustus </v>
      </c>
      <c r="C1646">
        <v>-5</v>
      </c>
      <c r="D1646" t="s">
        <v>30</v>
      </c>
      <c r="E1646" t="s">
        <v>548</v>
      </c>
      <c r="F1646" t="str">
        <f>VLOOKUP(Tabel1[[#This Row],[categorie]],Lijst!A:C,3,FALSE)</f>
        <v>Uitgave</v>
      </c>
      <c r="G1646">
        <f t="shared" si="79"/>
        <v>-5</v>
      </c>
      <c r="H1646" t="str">
        <f>VLOOKUP(Tabel1[[#This Row],[categorie]],Lijst!A:B,2,FALSE)</f>
        <v>Vast</v>
      </c>
      <c r="I1646" t="str">
        <f t="shared" si="80"/>
        <v>OK</v>
      </c>
    </row>
    <row r="1647" spans="1:9" hidden="1" x14ac:dyDescent="0.3">
      <c r="A1647" s="2">
        <v>45887</v>
      </c>
      <c r="B1647" t="str">
        <f t="shared" si="78"/>
        <v xml:space="preserve">augustus </v>
      </c>
      <c r="C1647">
        <v>-81.66</v>
      </c>
      <c r="D1647" t="str" cm="1">
        <f t="array" ref="D1647">IFERROR(
  _xlfn.XLOOKUP(TRUE, ISNUMBER(FIND(Trefwoorden!$A$2:$A$99, E1647)), Trefwoorden!$B$2:$B$99),
  "Onbekend"
)</f>
        <v>pensioensparen</v>
      </c>
      <c r="E1647" t="s">
        <v>549</v>
      </c>
      <c r="F1647" t="str">
        <f>VLOOKUP(Tabel1[[#This Row],[categorie]],Lijst!A:C,3,FALSE)</f>
        <v>Uitgave</v>
      </c>
      <c r="G1647">
        <f t="shared" si="79"/>
        <v>-81.66</v>
      </c>
      <c r="H1647" t="str">
        <f>VLOOKUP(Tabel1[[#This Row],[categorie]],Lijst!A:B,2,FALSE)</f>
        <v>Vast</v>
      </c>
      <c r="I1647" t="str">
        <f t="shared" si="80"/>
        <v>OK</v>
      </c>
    </row>
    <row r="1648" spans="1:9" hidden="1" x14ac:dyDescent="0.3">
      <c r="A1648" s="2">
        <v>45887</v>
      </c>
      <c r="B1648" t="str">
        <f t="shared" si="78"/>
        <v xml:space="preserve">augustus </v>
      </c>
      <c r="C1648">
        <v>-33.549999999999997</v>
      </c>
      <c r="D1648" t="str" cm="1">
        <f t="array" ref="D1648">IFERROR(
  _xlfn.XLOOKUP(TRUE, ISNUMBER(FIND(Trefwoorden!$A$2:$A$99, E1648)), Trefwoorden!$B$2:$B$99),
  "Onbekend"
)</f>
        <v>Cardif</v>
      </c>
      <c r="E1648" t="s">
        <v>550</v>
      </c>
      <c r="F1648" t="str">
        <f>VLOOKUP(Tabel1[[#This Row],[categorie]],Lijst!A:C,3,FALSE)</f>
        <v>Uitgave</v>
      </c>
      <c r="G1648">
        <f t="shared" si="79"/>
        <v>-33.549999999999997</v>
      </c>
      <c r="H1648" t="str">
        <f>VLOOKUP(Tabel1[[#This Row],[categorie]],Lijst!A:B,2,FALSE)</f>
        <v>Vast</v>
      </c>
      <c r="I1648" t="str">
        <f t="shared" si="80"/>
        <v>OK</v>
      </c>
    </row>
    <row r="1649" spans="1:9" hidden="1" x14ac:dyDescent="0.3">
      <c r="A1649" s="2">
        <v>45887</v>
      </c>
      <c r="B1649" t="str">
        <f t="shared" si="78"/>
        <v xml:space="preserve">augustus </v>
      </c>
      <c r="C1649">
        <v>-90</v>
      </c>
      <c r="D1649" t="str" cm="1">
        <f t="array" ref="D1649">IFERROR(
  _xlfn.XLOOKUP(TRUE, ISNUMBER(FIND(Trefwoorden!$A$2:$A$99, E1649)), Trefwoorden!$B$2:$B$99),
  "Onbekend"
)</f>
        <v>pensioensparen</v>
      </c>
      <c r="E1649" t="s">
        <v>551</v>
      </c>
      <c r="F1649" t="str">
        <f>VLOOKUP(Tabel1[[#This Row],[categorie]],Lijst!A:C,3,FALSE)</f>
        <v>Uitgave</v>
      </c>
      <c r="G1649">
        <f t="shared" si="79"/>
        <v>-90</v>
      </c>
      <c r="H1649" t="str">
        <f>VLOOKUP(Tabel1[[#This Row],[categorie]],Lijst!A:B,2,FALSE)</f>
        <v>Vast</v>
      </c>
      <c r="I1649" t="str">
        <f t="shared" si="80"/>
        <v>OK</v>
      </c>
    </row>
    <row r="1650" spans="1:9" hidden="1" x14ac:dyDescent="0.3">
      <c r="A1650" s="2">
        <v>45888</v>
      </c>
      <c r="B1650" t="str">
        <f t="shared" si="78"/>
        <v xml:space="preserve">augustus </v>
      </c>
      <c r="C1650">
        <v>-7.96</v>
      </c>
      <c r="D1650" t="str" cm="1">
        <f t="array" ref="D1650">IFERROR(
  _xlfn.XLOOKUP(TRUE, ISNUMBER(FIND(Trefwoorden!$A$2:$A$99, E1650)), Trefwoorden!$B$2:$B$99),
  "Onbekend"
)</f>
        <v>voeding</v>
      </c>
      <c r="E1650" t="s">
        <v>533</v>
      </c>
      <c r="F1650" t="str">
        <f>VLOOKUP(Tabel1[[#This Row],[categorie]],Lijst!A:C,3,FALSE)</f>
        <v>Uitgave</v>
      </c>
      <c r="G1650">
        <f t="shared" si="79"/>
        <v>-7.96</v>
      </c>
      <c r="H1650" t="str">
        <f>VLOOKUP(Tabel1[[#This Row],[categorie]],Lijst!A:B,2,FALSE)</f>
        <v>Vast</v>
      </c>
      <c r="I1650" t="str">
        <f t="shared" si="80"/>
        <v>OK</v>
      </c>
    </row>
    <row r="1651" spans="1:9" hidden="1" x14ac:dyDescent="0.3">
      <c r="A1651" s="2">
        <v>45888</v>
      </c>
      <c r="B1651" t="str">
        <f t="shared" si="78"/>
        <v xml:space="preserve">augustus </v>
      </c>
      <c r="C1651">
        <v>-24.3</v>
      </c>
      <c r="D1651" t="str" cm="1">
        <f t="array" ref="D1651">IFERROR(
  _xlfn.XLOOKUP(TRUE, ISNUMBER(FIND(Trefwoorden!$A$2:$A$99, E1651)), Trefwoorden!$B$2:$B$99),
  "Onbekend"
)</f>
        <v>voeding</v>
      </c>
      <c r="E1651" t="s">
        <v>534</v>
      </c>
      <c r="F1651" t="str">
        <f>VLOOKUP(Tabel1[[#This Row],[categorie]],Lijst!A:C,3,FALSE)</f>
        <v>Uitgave</v>
      </c>
      <c r="G1651">
        <f t="shared" si="79"/>
        <v>-24.3</v>
      </c>
      <c r="H1651" t="str">
        <f>VLOOKUP(Tabel1[[#This Row],[categorie]],Lijst!A:B,2,FALSE)</f>
        <v>Vast</v>
      </c>
      <c r="I1651" t="str">
        <f t="shared" si="80"/>
        <v>OK</v>
      </c>
    </row>
    <row r="1652" spans="1:9" hidden="1" x14ac:dyDescent="0.3">
      <c r="A1652" s="2">
        <v>45888</v>
      </c>
      <c r="B1652" t="str">
        <f t="shared" si="78"/>
        <v xml:space="preserve">augustus </v>
      </c>
      <c r="C1652">
        <v>10</v>
      </c>
      <c r="D1652" t="str" cm="1">
        <f t="array" ref="D1652">IFERROR(
  _xlfn.XLOOKUP(TRUE, ISNUMBER(FIND(Trefwoorden!$A$2:$A$99, E1652)), Trefwoorden!$B$2:$B$99),
  "Onbekend"
)</f>
        <v>Gezondheid</v>
      </c>
      <c r="E1652" t="s">
        <v>536</v>
      </c>
      <c r="F1652" t="s">
        <v>17</v>
      </c>
      <c r="G1652">
        <f t="shared" si="79"/>
        <v>10</v>
      </c>
      <c r="H1652" t="str">
        <f>VLOOKUP(Tabel1[[#This Row],[categorie]],Lijst!A:B,2,FALSE)</f>
        <v>Vast</v>
      </c>
      <c r="I1652" t="str">
        <f t="shared" si="80"/>
        <v>OK</v>
      </c>
    </row>
    <row r="1653" spans="1:9" hidden="1" x14ac:dyDescent="0.3">
      <c r="A1653" s="2">
        <v>45888</v>
      </c>
      <c r="B1653" t="str">
        <f t="shared" si="78"/>
        <v xml:space="preserve">augustus </v>
      </c>
      <c r="C1653">
        <v>10</v>
      </c>
      <c r="D1653" t="str" cm="1">
        <f t="array" ref="D1653">IFERROR(
  _xlfn.XLOOKUP(TRUE, ISNUMBER(FIND(Trefwoorden!$A$2:$A$99, E1653)), Trefwoorden!$B$2:$B$99),
  "Onbekend"
)</f>
        <v>Gezondheid</v>
      </c>
      <c r="E1653" t="s">
        <v>537</v>
      </c>
      <c r="F1653" t="s">
        <v>17</v>
      </c>
      <c r="G1653">
        <f t="shared" si="79"/>
        <v>10</v>
      </c>
      <c r="H1653" t="str">
        <f>VLOOKUP(Tabel1[[#This Row],[categorie]],Lijst!A:B,2,FALSE)</f>
        <v>Vast</v>
      </c>
      <c r="I1653" t="str">
        <f t="shared" si="80"/>
        <v>OK</v>
      </c>
    </row>
    <row r="1654" spans="1:9" hidden="1" x14ac:dyDescent="0.3">
      <c r="A1654" s="2">
        <v>45888</v>
      </c>
      <c r="B1654" t="str">
        <f t="shared" si="78"/>
        <v xml:space="preserve">augustus </v>
      </c>
      <c r="C1654">
        <v>-1.5</v>
      </c>
      <c r="D1654" t="str" cm="1">
        <f t="array" ref="D1654">IFERROR(
  _xlfn.XLOOKUP(TRUE, ISNUMBER(FIND(Trefwoorden!$A$2:$A$99, E1654)), Trefwoorden!$B$2:$B$99),
  "Onbekend"
)</f>
        <v>automaat De Lijn</v>
      </c>
      <c r="E1654" t="s">
        <v>538</v>
      </c>
      <c r="F1654" t="str">
        <f>VLOOKUP(Tabel1[[#This Row],[categorie]],Lijst!A:C,3,FALSE)</f>
        <v>Uitgave</v>
      </c>
      <c r="G1654">
        <f t="shared" si="79"/>
        <v>-1.5</v>
      </c>
      <c r="H1654" t="str">
        <f>VLOOKUP(Tabel1[[#This Row],[categorie]],Lijst!A:B,2,FALSE)</f>
        <v>Variabel</v>
      </c>
      <c r="I1654" t="str">
        <f t="shared" si="80"/>
        <v>OK</v>
      </c>
    </row>
    <row r="1655" spans="1:9" hidden="1" x14ac:dyDescent="0.3">
      <c r="A1655" s="2">
        <v>45889</v>
      </c>
      <c r="B1655" t="str">
        <f t="shared" si="78"/>
        <v xml:space="preserve">augustus </v>
      </c>
      <c r="C1655">
        <v>-19.28</v>
      </c>
      <c r="D1655" t="str" cm="1">
        <f t="array" ref="D1655">IFERROR(
  _xlfn.XLOOKUP(TRUE, ISNUMBER(FIND(Trefwoorden!$A$2:$A$99, E1655)), Trefwoorden!$B$2:$B$99),
  "Onbekend"
)</f>
        <v>voeding</v>
      </c>
      <c r="E1655" t="s">
        <v>527</v>
      </c>
      <c r="F1655" t="str">
        <f>VLOOKUP(Tabel1[[#This Row],[categorie]],Lijst!A:C,3,FALSE)</f>
        <v>Uitgave</v>
      </c>
      <c r="G1655">
        <f t="shared" si="79"/>
        <v>-19.28</v>
      </c>
      <c r="H1655" t="str">
        <f>VLOOKUP(Tabel1[[#This Row],[categorie]],Lijst!A:B,2,FALSE)</f>
        <v>Vast</v>
      </c>
      <c r="I1655" t="str">
        <f t="shared" si="80"/>
        <v>OK</v>
      </c>
    </row>
    <row r="1656" spans="1:9" hidden="1" x14ac:dyDescent="0.3">
      <c r="A1656" s="2">
        <v>45889</v>
      </c>
      <c r="B1656" t="str">
        <f t="shared" si="78"/>
        <v xml:space="preserve">augustus </v>
      </c>
      <c r="C1656">
        <v>-5</v>
      </c>
      <c r="D1656" t="s">
        <v>31</v>
      </c>
      <c r="E1656" t="s">
        <v>532</v>
      </c>
      <c r="F1656" t="str">
        <f>VLOOKUP(Tabel1[[#This Row],[categorie]],Lijst!A:C,3,FALSE)</f>
        <v>Uitgave</v>
      </c>
      <c r="G1656">
        <f t="shared" si="79"/>
        <v>-5</v>
      </c>
      <c r="H1656" t="str">
        <f>VLOOKUP(Tabel1[[#This Row],[categorie]],Lijst!A:B,2,FALSE)</f>
        <v>Vast</v>
      </c>
      <c r="I1656" t="str">
        <f t="shared" si="80"/>
        <v>OK</v>
      </c>
    </row>
    <row r="1657" spans="1:9" hidden="1" x14ac:dyDescent="0.3">
      <c r="A1657" s="2">
        <v>45889</v>
      </c>
      <c r="B1657" t="str">
        <f t="shared" si="78"/>
        <v xml:space="preserve">augustus </v>
      </c>
      <c r="C1657">
        <v>-1.5</v>
      </c>
      <c r="D1657" t="str" cm="1">
        <f t="array" ref="D1657">IFERROR(
  _xlfn.XLOOKUP(TRUE, ISNUMBER(FIND(Trefwoorden!$A$2:$A$99, E1657)), Trefwoorden!$B$2:$B$99),
  "Onbekend"
)</f>
        <v>automaat De Lijn</v>
      </c>
      <c r="E1657" t="s">
        <v>535</v>
      </c>
      <c r="F1657" t="str">
        <f>VLOOKUP(Tabel1[[#This Row],[categorie]],Lijst!A:C,3,FALSE)</f>
        <v>Uitgave</v>
      </c>
      <c r="G1657">
        <f t="shared" si="79"/>
        <v>-1.5</v>
      </c>
      <c r="H1657" t="str">
        <f>VLOOKUP(Tabel1[[#This Row],[categorie]],Lijst!A:B,2,FALSE)</f>
        <v>Variabel</v>
      </c>
      <c r="I1657" t="str">
        <f t="shared" si="80"/>
        <v>OK</v>
      </c>
    </row>
    <row r="1658" spans="1:9" hidden="1" x14ac:dyDescent="0.3">
      <c r="A1658" s="2">
        <v>45890</v>
      </c>
      <c r="B1658" t="str">
        <f t="shared" si="78"/>
        <v xml:space="preserve">augustus </v>
      </c>
      <c r="C1658">
        <v>-46.86</v>
      </c>
      <c r="D1658" t="str" cm="1">
        <f t="array" ref="D1658">IFERROR(
  _xlfn.XLOOKUP(TRUE, ISNUMBER(FIND(Trefwoorden!$A$2:$A$99, E1658)), Trefwoorden!$B$2:$B$99),
  "Onbekend"
)</f>
        <v>voeding</v>
      </c>
      <c r="E1658" t="s">
        <v>528</v>
      </c>
      <c r="F1658" t="str">
        <f>VLOOKUP(Tabel1[[#This Row],[categorie]],Lijst!A:C,3,FALSE)</f>
        <v>Uitgave</v>
      </c>
      <c r="G1658">
        <f t="shared" si="79"/>
        <v>-46.86</v>
      </c>
      <c r="H1658" t="str">
        <f>VLOOKUP(Tabel1[[#This Row],[categorie]],Lijst!A:B,2,FALSE)</f>
        <v>Vast</v>
      </c>
      <c r="I1658" t="str">
        <f t="shared" si="80"/>
        <v>OK</v>
      </c>
    </row>
    <row r="1659" spans="1:9" hidden="1" x14ac:dyDescent="0.3">
      <c r="A1659" s="2">
        <v>45890</v>
      </c>
      <c r="B1659" t="str">
        <f t="shared" si="78"/>
        <v xml:space="preserve">augustus </v>
      </c>
      <c r="C1659">
        <v>-1.5</v>
      </c>
      <c r="D1659" t="str" cm="1">
        <f t="array" ref="D1659">IFERROR(
  _xlfn.XLOOKUP(TRUE, ISNUMBER(FIND(Trefwoorden!$A$2:$A$99, E1659)), Trefwoorden!$B$2:$B$99),
  "Onbekend"
)</f>
        <v>automaat De Lijn</v>
      </c>
      <c r="E1659" t="s">
        <v>529</v>
      </c>
      <c r="F1659" t="str">
        <f>VLOOKUP(Tabel1[[#This Row],[categorie]],Lijst!A:C,3,FALSE)</f>
        <v>Uitgave</v>
      </c>
      <c r="G1659">
        <f t="shared" si="79"/>
        <v>-1.5</v>
      </c>
      <c r="H1659" t="str">
        <f>VLOOKUP(Tabel1[[#This Row],[categorie]],Lijst!A:B,2,FALSE)</f>
        <v>Variabel</v>
      </c>
      <c r="I1659" t="str">
        <f t="shared" si="80"/>
        <v>OK</v>
      </c>
    </row>
    <row r="1660" spans="1:9" hidden="1" x14ac:dyDescent="0.3">
      <c r="A1660" s="2">
        <v>45890</v>
      </c>
      <c r="B1660" t="str">
        <f t="shared" si="78"/>
        <v xml:space="preserve">augustus </v>
      </c>
      <c r="C1660">
        <v>-14</v>
      </c>
      <c r="D1660" t="s">
        <v>75</v>
      </c>
      <c r="E1660" t="s">
        <v>530</v>
      </c>
      <c r="F1660" t="s">
        <v>18</v>
      </c>
      <c r="G1660">
        <f t="shared" si="79"/>
        <v>-14</v>
      </c>
      <c r="H1660" t="str">
        <f>VLOOKUP(Tabel1[[#This Row],[categorie]],Lijst!A:B,2,FALSE)</f>
        <v>Variabel</v>
      </c>
      <c r="I1660" t="str">
        <f t="shared" si="80"/>
        <v>OK</v>
      </c>
    </row>
    <row r="1661" spans="1:9" hidden="1" x14ac:dyDescent="0.3">
      <c r="A1661" s="2">
        <v>45890</v>
      </c>
      <c r="B1661" t="str">
        <f t="shared" si="78"/>
        <v xml:space="preserve">augustus </v>
      </c>
      <c r="C1661">
        <v>-50</v>
      </c>
      <c r="D1661" t="s">
        <v>75</v>
      </c>
      <c r="E1661" t="s">
        <v>531</v>
      </c>
      <c r="F1661" t="s">
        <v>18</v>
      </c>
      <c r="G1661">
        <f t="shared" si="79"/>
        <v>-50</v>
      </c>
      <c r="H1661" t="str">
        <f>VLOOKUP(Tabel1[[#This Row],[categorie]],Lijst!A:B,2,FALSE)</f>
        <v>Variabel</v>
      </c>
      <c r="I1661" t="str">
        <f t="shared" si="80"/>
        <v>OK</v>
      </c>
    </row>
    <row r="1662" spans="1:9" hidden="1" x14ac:dyDescent="0.3">
      <c r="A1662" s="2">
        <v>45891</v>
      </c>
      <c r="B1662" t="str">
        <f t="shared" si="78"/>
        <v xml:space="preserve">augustus </v>
      </c>
      <c r="C1662">
        <v>-14</v>
      </c>
      <c r="D1662" t="str" cm="1">
        <f t="array" ref="D1662">IFERROR(
  _xlfn.XLOOKUP(TRUE, ISNUMBER(FIND(Trefwoorden!$A$2:$A$99, E1662)), Trefwoorden!$B$2:$B$99),
  "Onbekend"
)</f>
        <v>voeding</v>
      </c>
      <c r="E1662" t="s">
        <v>523</v>
      </c>
      <c r="F1662" t="str">
        <f>VLOOKUP(Tabel1[[#This Row],[categorie]],Lijst!A:C,3,FALSE)</f>
        <v>Uitgave</v>
      </c>
      <c r="G1662">
        <f t="shared" si="79"/>
        <v>-14</v>
      </c>
      <c r="H1662" t="str">
        <f>VLOOKUP(Tabel1[[#This Row],[categorie]],Lijst!A:B,2,FALSE)</f>
        <v>Vast</v>
      </c>
      <c r="I1662" t="str">
        <f t="shared" si="80"/>
        <v>OK</v>
      </c>
    </row>
    <row r="1663" spans="1:9" hidden="1" x14ac:dyDescent="0.3">
      <c r="A1663" s="2">
        <v>45891</v>
      </c>
      <c r="B1663" t="str">
        <f t="shared" si="78"/>
        <v xml:space="preserve">augustus </v>
      </c>
      <c r="C1663">
        <v>-4.75</v>
      </c>
      <c r="D1663" t="str" cm="1">
        <f t="array" ref="D1663">IFERROR(
  _xlfn.XLOOKUP(TRUE, ISNUMBER(FIND(Trefwoorden!$A$2:$A$99, E1663)), Trefwoorden!$B$2:$B$99),
  "Onbekend"
)</f>
        <v>voeding</v>
      </c>
      <c r="E1663" t="s">
        <v>524</v>
      </c>
      <c r="F1663" t="str">
        <f>VLOOKUP(Tabel1[[#This Row],[categorie]],Lijst!A:C,3,FALSE)</f>
        <v>Uitgave</v>
      </c>
      <c r="G1663">
        <f t="shared" si="79"/>
        <v>-4.75</v>
      </c>
      <c r="H1663" t="str">
        <f>VLOOKUP(Tabel1[[#This Row],[categorie]],Lijst!A:B,2,FALSE)</f>
        <v>Vast</v>
      </c>
      <c r="I1663" t="str">
        <f t="shared" si="80"/>
        <v>OK</v>
      </c>
    </row>
    <row r="1664" spans="1:9" hidden="1" x14ac:dyDescent="0.3">
      <c r="A1664" s="2">
        <v>45891</v>
      </c>
      <c r="B1664" t="str">
        <f t="shared" si="78"/>
        <v xml:space="preserve">augustus </v>
      </c>
      <c r="C1664">
        <v>-25</v>
      </c>
      <c r="D1664" t="s">
        <v>35</v>
      </c>
      <c r="E1664" t="s">
        <v>525</v>
      </c>
      <c r="F1664" t="str">
        <f>VLOOKUP(Tabel1[[#This Row],[categorie]],Lijst!A:C,3,FALSE)</f>
        <v>Uitgave</v>
      </c>
      <c r="G1664">
        <f t="shared" si="79"/>
        <v>-25</v>
      </c>
      <c r="H1664" t="str">
        <f>VLOOKUP(Tabel1[[#This Row],[categorie]],Lijst!A:B,2,FALSE)</f>
        <v>Variabel</v>
      </c>
      <c r="I1664" t="str">
        <f t="shared" si="80"/>
        <v>OK</v>
      </c>
    </row>
    <row r="1665" spans="1:9" hidden="1" x14ac:dyDescent="0.3">
      <c r="A1665" s="2">
        <v>45891</v>
      </c>
      <c r="B1665" t="str">
        <f t="shared" si="78"/>
        <v xml:space="preserve">augustus </v>
      </c>
      <c r="C1665">
        <v>-53.29</v>
      </c>
      <c r="D1665" t="str" cm="1">
        <f t="array" ref="D1665">IFERROR(
  _xlfn.XLOOKUP(TRUE, ISNUMBER(FIND(Trefwoorden!$A$2:$A$99, E1665)), Trefwoorden!$B$2:$B$99),
  "Onbekend"
)</f>
        <v>AXA</v>
      </c>
      <c r="E1665" t="s">
        <v>526</v>
      </c>
      <c r="F1665" t="str">
        <f>VLOOKUP(Tabel1[[#This Row],[categorie]],Lijst!A:C,3,FALSE)</f>
        <v>Uitgave</v>
      </c>
      <c r="G1665">
        <f t="shared" si="79"/>
        <v>-53.29</v>
      </c>
      <c r="H1665" t="str">
        <f>VLOOKUP(Tabel1[[#This Row],[categorie]],Lijst!A:B,2,FALSE)</f>
        <v>Vast</v>
      </c>
      <c r="I1665" t="str">
        <f t="shared" si="80"/>
        <v>OK</v>
      </c>
    </row>
    <row r="1666" spans="1:9" hidden="1" x14ac:dyDescent="0.3">
      <c r="A1666" s="2">
        <v>45892</v>
      </c>
      <c r="B1666" t="str">
        <f t="shared" si="78"/>
        <v xml:space="preserve">augustus </v>
      </c>
      <c r="C1666">
        <v>-25.99</v>
      </c>
      <c r="D1666" t="s">
        <v>32</v>
      </c>
      <c r="E1666" t="s">
        <v>515</v>
      </c>
      <c r="F1666" t="str">
        <f>VLOOKUP(Tabel1[[#This Row],[categorie]],Lijst!A:C,3,FALSE)</f>
        <v>Uitgave</v>
      </c>
      <c r="G1666">
        <f t="shared" si="79"/>
        <v>-25.99</v>
      </c>
      <c r="H1666" t="str">
        <f>VLOOKUP(Tabel1[[#This Row],[categorie]],Lijst!A:B,2,FALSE)</f>
        <v>Variabel</v>
      </c>
      <c r="I1666" t="str">
        <f t="shared" si="80"/>
        <v>OK</v>
      </c>
    </row>
    <row r="1667" spans="1:9" hidden="1" x14ac:dyDescent="0.3">
      <c r="A1667" s="2">
        <v>45892</v>
      </c>
      <c r="B1667" t="str">
        <f t="shared" si="78"/>
        <v xml:space="preserve">augustus </v>
      </c>
      <c r="C1667">
        <v>-6.39</v>
      </c>
      <c r="D1667" t="s">
        <v>82</v>
      </c>
      <c r="E1667" t="s">
        <v>520</v>
      </c>
      <c r="F1667" t="s">
        <v>18</v>
      </c>
      <c r="G1667">
        <f t="shared" si="79"/>
        <v>-6.39</v>
      </c>
      <c r="H1667" t="str">
        <f>VLOOKUP(Tabel1[[#This Row],[categorie]],Lijst!A:B,2,FALSE)</f>
        <v>Vast</v>
      </c>
      <c r="I1667" t="str">
        <f t="shared" si="80"/>
        <v>OK</v>
      </c>
    </row>
    <row r="1668" spans="1:9" hidden="1" x14ac:dyDescent="0.3">
      <c r="A1668" s="2">
        <v>45892</v>
      </c>
      <c r="B1668" t="str">
        <f t="shared" si="78"/>
        <v xml:space="preserve">augustus </v>
      </c>
      <c r="C1668">
        <v>-5.66</v>
      </c>
      <c r="D1668" t="str" cm="1">
        <f t="array" ref="D1668">IFERROR(
  _xlfn.XLOOKUP(TRUE, ISNUMBER(FIND(Trefwoorden!$A$2:$A$99, E1668)), Trefwoorden!$B$2:$B$99),
  "Onbekend"
)</f>
        <v>voeding</v>
      </c>
      <c r="E1668" t="s">
        <v>521</v>
      </c>
      <c r="F1668" t="str">
        <f>VLOOKUP(Tabel1[[#This Row],[categorie]],Lijst!A:C,3,FALSE)</f>
        <v>Uitgave</v>
      </c>
      <c r="G1668">
        <f t="shared" si="79"/>
        <v>-5.66</v>
      </c>
      <c r="H1668" t="str">
        <f>VLOOKUP(Tabel1[[#This Row],[categorie]],Lijst!A:B,2,FALSE)</f>
        <v>Vast</v>
      </c>
      <c r="I1668" t="str">
        <f t="shared" si="80"/>
        <v>OK</v>
      </c>
    </row>
    <row r="1669" spans="1:9" hidden="1" x14ac:dyDescent="0.3">
      <c r="A1669" s="2">
        <v>45892</v>
      </c>
      <c r="B1669" t="str">
        <f t="shared" si="78"/>
        <v xml:space="preserve">augustus </v>
      </c>
      <c r="C1669">
        <v>-154.75</v>
      </c>
      <c r="D1669" t="s">
        <v>9</v>
      </c>
      <c r="E1669" t="s">
        <v>522</v>
      </c>
      <c r="F1669" t="s">
        <v>18</v>
      </c>
      <c r="G1669">
        <f t="shared" si="79"/>
        <v>-154.75</v>
      </c>
      <c r="H1669" t="str">
        <f>VLOOKUP(Tabel1[[#This Row],[categorie]],Lijst!A:B,2,FALSE)</f>
        <v>Variabel</v>
      </c>
      <c r="I1669" t="str">
        <f t="shared" si="80"/>
        <v>OK</v>
      </c>
    </row>
    <row r="1670" spans="1:9" hidden="1" x14ac:dyDescent="0.3">
      <c r="A1670" s="2">
        <v>45894</v>
      </c>
      <c r="B1670" t="str">
        <f t="shared" si="78"/>
        <v xml:space="preserve">augustus </v>
      </c>
      <c r="C1670">
        <v>-1.95</v>
      </c>
      <c r="D1670" t="str" cm="1">
        <f t="array" ref="D1670">IFERROR(
  _xlfn.XLOOKUP(TRUE, ISNUMBER(FIND(Trefwoorden!$A$2:$A$99, E1670)), Trefwoorden!$B$2:$B$99),
  "Onbekend"
)</f>
        <v>voeding</v>
      </c>
      <c r="E1670" t="s">
        <v>514</v>
      </c>
      <c r="F1670" t="str">
        <f>VLOOKUP(Tabel1[[#This Row],[categorie]],Lijst!A:C,3,FALSE)</f>
        <v>Uitgave</v>
      </c>
      <c r="G1670">
        <f t="shared" si="79"/>
        <v>-1.95</v>
      </c>
      <c r="H1670" t="str">
        <f>VLOOKUP(Tabel1[[#This Row],[categorie]],Lijst!A:B,2,FALSE)</f>
        <v>Vast</v>
      </c>
      <c r="I1670" t="str">
        <f t="shared" si="80"/>
        <v>OK</v>
      </c>
    </row>
    <row r="1671" spans="1:9" hidden="1" x14ac:dyDescent="0.3">
      <c r="A1671" s="2">
        <v>45894</v>
      </c>
      <c r="B1671" t="str">
        <f t="shared" si="78"/>
        <v xml:space="preserve">augustus </v>
      </c>
      <c r="C1671">
        <v>-10.16</v>
      </c>
      <c r="D1671" t="str" cm="1">
        <f t="array" ref="D1671">IFERROR(
  _xlfn.XLOOKUP(TRUE, ISNUMBER(FIND(Trefwoorden!$A$2:$A$99, E1671)), Trefwoorden!$B$2:$B$99),
  "Onbekend"
)</f>
        <v>Laadbeurt</v>
      </c>
      <c r="E1671" t="s">
        <v>516</v>
      </c>
      <c r="F1671" t="str">
        <f>VLOOKUP(Tabel1[[#This Row],[categorie]],Lijst!A:C,3,FALSE)</f>
        <v>Uitgave</v>
      </c>
      <c r="G1671">
        <f t="shared" si="79"/>
        <v>-10.16</v>
      </c>
      <c r="H1671" t="str">
        <f>VLOOKUP(Tabel1[[#This Row],[categorie]],Lijst!A:B,2,FALSE)</f>
        <v>Vast</v>
      </c>
      <c r="I1671" t="str">
        <f t="shared" si="80"/>
        <v>OK</v>
      </c>
    </row>
    <row r="1672" spans="1:9" hidden="1" x14ac:dyDescent="0.3">
      <c r="A1672" s="2">
        <v>45894</v>
      </c>
      <c r="B1672" t="str">
        <f t="shared" si="78"/>
        <v xml:space="preserve">augustus </v>
      </c>
      <c r="C1672">
        <v>-5</v>
      </c>
      <c r="D1672" t="str" cm="1">
        <f t="array" ref="D1672">IFERROR(
  _xlfn.XLOOKUP(TRUE, ISNUMBER(FIND(Trefwoorden!$A$2:$A$99, E1672)), Trefwoorden!$B$2:$B$99),
  "Onbekend"
)</f>
        <v>Laadbeurt</v>
      </c>
      <c r="E1672" t="s">
        <v>516</v>
      </c>
      <c r="F1672" t="str">
        <f>VLOOKUP(Tabel1[[#This Row],[categorie]],Lijst!A:C,3,FALSE)</f>
        <v>Uitgave</v>
      </c>
      <c r="G1672">
        <f t="shared" si="79"/>
        <v>-5</v>
      </c>
      <c r="H1672" t="str">
        <f>VLOOKUP(Tabel1[[#This Row],[categorie]],Lijst!A:B,2,FALSE)</f>
        <v>Vast</v>
      </c>
      <c r="I1672" t="str">
        <f t="shared" si="80"/>
        <v>OK</v>
      </c>
    </row>
    <row r="1673" spans="1:9" hidden="1" x14ac:dyDescent="0.3">
      <c r="A1673" s="2">
        <v>45894</v>
      </c>
      <c r="B1673" t="str">
        <f t="shared" si="78"/>
        <v xml:space="preserve">augustus </v>
      </c>
      <c r="C1673">
        <v>-1.35</v>
      </c>
      <c r="D1673" t="str" cm="1">
        <f t="array" ref="D1673">IFERROR(
  _xlfn.XLOOKUP(TRUE, ISNUMBER(FIND(Trefwoorden!$A$2:$A$99, E1673)), Trefwoorden!$B$2:$B$99),
  "Onbekend"
)</f>
        <v>Laadbeurt</v>
      </c>
      <c r="E1673" t="s">
        <v>517</v>
      </c>
      <c r="F1673" t="str">
        <f>VLOOKUP(Tabel1[[#This Row],[categorie]],Lijst!A:C,3,FALSE)</f>
        <v>Uitgave</v>
      </c>
      <c r="G1673">
        <f t="shared" si="79"/>
        <v>-1.35</v>
      </c>
      <c r="H1673" t="str">
        <f>VLOOKUP(Tabel1[[#This Row],[categorie]],Lijst!A:B,2,FALSE)</f>
        <v>Vast</v>
      </c>
      <c r="I1673" t="str">
        <f t="shared" si="80"/>
        <v>OK</v>
      </c>
    </row>
    <row r="1674" spans="1:9" hidden="1" x14ac:dyDescent="0.3">
      <c r="A1674" s="2">
        <v>45894</v>
      </c>
      <c r="B1674" t="str">
        <f t="shared" si="78"/>
        <v xml:space="preserve">augustus </v>
      </c>
      <c r="C1674">
        <v>-4.2300000000000004</v>
      </c>
      <c r="D1674" t="str" cm="1">
        <f t="array" ref="D1674">IFERROR(
  _xlfn.XLOOKUP(TRUE, ISNUMBER(FIND(Trefwoorden!$A$2:$A$99, E1674)), Trefwoorden!$B$2:$B$99),
  "Onbekend"
)</f>
        <v>Laadbeurt</v>
      </c>
      <c r="E1674" t="s">
        <v>518</v>
      </c>
      <c r="F1674" t="str">
        <f>VLOOKUP(Tabel1[[#This Row],[categorie]],Lijst!A:C,3,FALSE)</f>
        <v>Uitgave</v>
      </c>
      <c r="G1674">
        <f t="shared" si="79"/>
        <v>-4.2300000000000004</v>
      </c>
      <c r="H1674" t="str">
        <f>VLOOKUP(Tabel1[[#This Row],[categorie]],Lijst!A:B,2,FALSE)</f>
        <v>Vast</v>
      </c>
      <c r="I1674" t="str">
        <f t="shared" si="80"/>
        <v>OK</v>
      </c>
    </row>
    <row r="1675" spans="1:9" hidden="1" x14ac:dyDescent="0.3">
      <c r="A1675" s="2">
        <v>45894</v>
      </c>
      <c r="B1675" t="str">
        <f t="shared" si="78"/>
        <v xml:space="preserve">augustus </v>
      </c>
      <c r="C1675">
        <v>-1.1000000000000001</v>
      </c>
      <c r="D1675" t="str" cm="1">
        <f t="array" ref="D1675">IFERROR(
  _xlfn.XLOOKUP(TRUE, ISNUMBER(FIND(Trefwoorden!$A$2:$A$99, E1675)), Trefwoorden!$B$2:$B$99),
  "Onbekend"
)</f>
        <v>automaat De Lijn</v>
      </c>
      <c r="E1675" t="s">
        <v>519</v>
      </c>
      <c r="F1675" t="str">
        <f>VLOOKUP(Tabel1[[#This Row],[categorie]],Lijst!A:C,3,FALSE)</f>
        <v>Uitgave</v>
      </c>
      <c r="G1675">
        <f t="shared" si="79"/>
        <v>-1.1000000000000001</v>
      </c>
      <c r="H1675" t="str">
        <f>VLOOKUP(Tabel1[[#This Row],[categorie]],Lijst!A:B,2,FALSE)</f>
        <v>Variabel</v>
      </c>
      <c r="I1675" t="str">
        <f t="shared" si="80"/>
        <v>OK</v>
      </c>
    </row>
    <row r="1676" spans="1:9" hidden="1" x14ac:dyDescent="0.3">
      <c r="A1676" s="2">
        <v>45894</v>
      </c>
      <c r="B1676" t="str">
        <f t="shared" ref="B1676:B1739" si="81">TEXT(A1676,"mmmm ")</f>
        <v xml:space="preserve">augustus </v>
      </c>
      <c r="C1676">
        <v>-8.5500000000000007</v>
      </c>
      <c r="D1676" t="str" cm="1">
        <f t="array" ref="D1676">IFERROR(
  _xlfn.XLOOKUP(TRUE, ISNUMBER(FIND(Trefwoorden!$A$2:$A$99, E1676)), Trefwoorden!$B$2:$B$99),
  "Onbekend"
)</f>
        <v>voeding</v>
      </c>
      <c r="E1676" t="s">
        <v>566</v>
      </c>
      <c r="F1676" t="str">
        <f>VLOOKUP(Tabel1[[#This Row],[categorie]],Lijst!A:C,3,FALSE)</f>
        <v>Uitgave</v>
      </c>
      <c r="G1676">
        <f t="shared" ref="G1676:G1739" si="82">IF(F1676="Uitgave", -ABS(C1676), ABS(C1676))</f>
        <v>-8.5500000000000007</v>
      </c>
      <c r="H1676" t="str">
        <f>VLOOKUP(Tabel1[[#This Row],[categorie]],Lijst!A:B,2,FALSE)</f>
        <v>Vast</v>
      </c>
      <c r="I1676" t="str">
        <f t="shared" ref="I1676:I1739" si="83">IF(OR(AND(F1676="Uitgave", C1676&lt;0), AND(F1676="Inkomst", C1676&gt;0)), "OK", "FOUT")</f>
        <v>OK</v>
      </c>
    </row>
    <row r="1677" spans="1:9" hidden="1" x14ac:dyDescent="0.3">
      <c r="A1677" s="2">
        <v>45894</v>
      </c>
      <c r="B1677" t="str">
        <f t="shared" si="81"/>
        <v xml:space="preserve">augustus </v>
      </c>
      <c r="C1677">
        <v>-55</v>
      </c>
      <c r="D1677" t="s">
        <v>14</v>
      </c>
      <c r="E1677" t="s">
        <v>567</v>
      </c>
      <c r="F1677" t="str">
        <f>VLOOKUP(Tabel1[[#This Row],[categorie]],Lijst!A:C,3,FALSE)</f>
        <v>Uitgave</v>
      </c>
      <c r="G1677">
        <f t="shared" si="82"/>
        <v>-55</v>
      </c>
      <c r="H1677" t="str">
        <f>VLOOKUP(Tabel1[[#This Row],[categorie]],Lijst!A:B,2,FALSE)</f>
        <v>Variabel</v>
      </c>
      <c r="I1677" t="str">
        <f t="shared" si="83"/>
        <v>OK</v>
      </c>
    </row>
    <row r="1678" spans="1:9" hidden="1" x14ac:dyDescent="0.3">
      <c r="A1678" s="2">
        <v>45895</v>
      </c>
      <c r="B1678" t="str">
        <f t="shared" si="81"/>
        <v xml:space="preserve">augustus </v>
      </c>
      <c r="C1678">
        <v>-21.36</v>
      </c>
      <c r="D1678" t="str" cm="1">
        <f t="array" ref="D1678">IFERROR(
  _xlfn.XLOOKUP(TRUE, ISNUMBER(FIND(Trefwoorden!$A$2:$A$99, E1678)), Trefwoorden!$B$2:$B$99),
  "Onbekend"
)</f>
        <v>voeding</v>
      </c>
      <c r="E1678" t="s">
        <v>563</v>
      </c>
      <c r="F1678" t="str">
        <f>VLOOKUP(Tabel1[[#This Row],[categorie]],Lijst!A:C,3,FALSE)</f>
        <v>Uitgave</v>
      </c>
      <c r="G1678">
        <f t="shared" si="82"/>
        <v>-21.36</v>
      </c>
      <c r="H1678" t="str">
        <f>VLOOKUP(Tabel1[[#This Row],[categorie]],Lijst!A:B,2,FALSE)</f>
        <v>Vast</v>
      </c>
      <c r="I1678" t="str">
        <f t="shared" si="83"/>
        <v>OK</v>
      </c>
    </row>
    <row r="1679" spans="1:9" hidden="1" x14ac:dyDescent="0.3">
      <c r="A1679" s="2">
        <v>45895</v>
      </c>
      <c r="B1679" t="str">
        <f t="shared" si="81"/>
        <v xml:space="preserve">augustus </v>
      </c>
      <c r="C1679">
        <v>-10.44</v>
      </c>
      <c r="D1679" t="str" cm="1">
        <f t="array" ref="D1679">IFERROR(
  _xlfn.XLOOKUP(TRUE, ISNUMBER(FIND(Trefwoorden!$A$2:$A$99, E1679)), Trefwoorden!$B$2:$B$99),
  "Onbekend"
)</f>
        <v>voeding</v>
      </c>
      <c r="E1679" t="s">
        <v>564</v>
      </c>
      <c r="F1679" t="str">
        <f>VLOOKUP(Tabel1[[#This Row],[categorie]],Lijst!A:C,3,FALSE)</f>
        <v>Uitgave</v>
      </c>
      <c r="G1679">
        <f t="shared" si="82"/>
        <v>-10.44</v>
      </c>
      <c r="H1679" t="str">
        <f>VLOOKUP(Tabel1[[#This Row],[categorie]],Lijst!A:B,2,FALSE)</f>
        <v>Vast</v>
      </c>
      <c r="I1679" t="str">
        <f t="shared" si="83"/>
        <v>OK</v>
      </c>
    </row>
    <row r="1680" spans="1:9" hidden="1" x14ac:dyDescent="0.3">
      <c r="A1680" s="2">
        <v>45895</v>
      </c>
      <c r="B1680" t="str">
        <f t="shared" si="81"/>
        <v xml:space="preserve">augustus </v>
      </c>
      <c r="C1680">
        <v>-26.99</v>
      </c>
      <c r="D1680" t="s">
        <v>48</v>
      </c>
      <c r="E1680" t="s">
        <v>565</v>
      </c>
      <c r="F1680" t="s">
        <v>18</v>
      </c>
      <c r="G1680">
        <f t="shared" si="82"/>
        <v>-26.99</v>
      </c>
      <c r="H1680" t="str">
        <f>VLOOKUP(Tabel1[[#This Row],[categorie]],Lijst!A:B,2,FALSE)</f>
        <v>Variabel</v>
      </c>
      <c r="I1680" t="str">
        <f t="shared" si="83"/>
        <v>OK</v>
      </c>
    </row>
    <row r="1681" spans="1:9" hidden="1" x14ac:dyDescent="0.3">
      <c r="A1681" s="2">
        <v>45895</v>
      </c>
      <c r="B1681" t="str">
        <f t="shared" si="81"/>
        <v xml:space="preserve">augustus </v>
      </c>
      <c r="C1681">
        <v>-6.45</v>
      </c>
      <c r="D1681" t="str" cm="1">
        <f t="array" ref="D1681">IFERROR(
  _xlfn.XLOOKUP(TRUE, ISNUMBER(FIND(Trefwoorden!$A$2:$A$99, E1681)), Trefwoorden!$B$2:$B$99),
  "Onbekend"
)</f>
        <v>Gezondheid</v>
      </c>
      <c r="E1681" t="s">
        <v>568</v>
      </c>
      <c r="F1681" t="s">
        <v>18</v>
      </c>
      <c r="G1681">
        <f t="shared" si="82"/>
        <v>-6.45</v>
      </c>
      <c r="H1681" t="str">
        <f>VLOOKUP(Tabel1[[#This Row],[categorie]],Lijst!A:B,2,FALSE)</f>
        <v>Vast</v>
      </c>
      <c r="I1681" t="str">
        <f t="shared" si="83"/>
        <v>OK</v>
      </c>
    </row>
    <row r="1682" spans="1:9" hidden="1" x14ac:dyDescent="0.3">
      <c r="A1682" s="2">
        <v>45895</v>
      </c>
      <c r="B1682" t="str">
        <f t="shared" si="81"/>
        <v xml:space="preserve">augustus </v>
      </c>
      <c r="C1682">
        <v>-113.49</v>
      </c>
      <c r="D1682" t="str" cm="1">
        <f t="array" ref="D1682">IFERROR(
  _xlfn.XLOOKUP(TRUE, ISNUMBER(FIND(Trefwoorden!$A$2:$A$99, E1682)), Trefwoorden!$B$2:$B$99),
  "Onbekend"
)</f>
        <v>AXA</v>
      </c>
      <c r="E1682" t="s">
        <v>569</v>
      </c>
      <c r="F1682" t="str">
        <f>VLOOKUP(Tabel1[[#This Row],[categorie]],Lijst!A:C,3,FALSE)</f>
        <v>Uitgave</v>
      </c>
      <c r="G1682">
        <f t="shared" si="82"/>
        <v>-113.49</v>
      </c>
      <c r="H1682" t="str">
        <f>VLOOKUP(Tabel1[[#This Row],[categorie]],Lijst!A:B,2,FALSE)</f>
        <v>Vast</v>
      </c>
      <c r="I1682" t="str">
        <f t="shared" si="83"/>
        <v>OK</v>
      </c>
    </row>
    <row r="1683" spans="1:9" hidden="1" x14ac:dyDescent="0.3">
      <c r="A1683" s="2">
        <v>45896</v>
      </c>
      <c r="B1683" t="str">
        <f t="shared" si="81"/>
        <v xml:space="preserve">augustus </v>
      </c>
      <c r="C1683">
        <v>-5.85</v>
      </c>
      <c r="D1683" t="str" cm="1">
        <f t="array" ref="D1683">IFERROR(
  _xlfn.XLOOKUP(TRUE, ISNUMBER(FIND(Trefwoorden!$A$2:$A$99, E1683)), Trefwoorden!$B$2:$B$99),
  "Onbekend"
)</f>
        <v>Action</v>
      </c>
      <c r="E1683" t="s">
        <v>559</v>
      </c>
      <c r="F1683" t="s">
        <v>18</v>
      </c>
      <c r="G1683">
        <f t="shared" si="82"/>
        <v>-5.85</v>
      </c>
      <c r="H1683" t="str">
        <f>VLOOKUP(Tabel1[[#This Row],[categorie]],Lijst!A:B,2,FALSE)</f>
        <v>Variabel</v>
      </c>
      <c r="I1683" t="str">
        <f t="shared" si="83"/>
        <v>OK</v>
      </c>
    </row>
    <row r="1684" spans="1:9" hidden="1" x14ac:dyDescent="0.3">
      <c r="A1684" s="2">
        <v>45896</v>
      </c>
      <c r="B1684" t="str">
        <f t="shared" si="81"/>
        <v xml:space="preserve">augustus </v>
      </c>
      <c r="C1684">
        <v>20</v>
      </c>
      <c r="D1684" t="s">
        <v>48</v>
      </c>
      <c r="E1684" t="s">
        <v>562</v>
      </c>
      <c r="F1684" t="s">
        <v>17</v>
      </c>
      <c r="G1684">
        <f t="shared" si="82"/>
        <v>20</v>
      </c>
      <c r="H1684" t="str">
        <f>VLOOKUP(Tabel1[[#This Row],[categorie]],Lijst!A:B,2,FALSE)</f>
        <v>Variabel</v>
      </c>
      <c r="I1684" t="str">
        <f t="shared" si="83"/>
        <v>OK</v>
      </c>
    </row>
    <row r="1685" spans="1:9" hidden="1" x14ac:dyDescent="0.3">
      <c r="A1685" s="2">
        <v>45897</v>
      </c>
      <c r="B1685" t="str">
        <f t="shared" si="81"/>
        <v xml:space="preserve">augustus </v>
      </c>
      <c r="C1685">
        <v>-10.63</v>
      </c>
      <c r="D1685" t="s">
        <v>9</v>
      </c>
      <c r="E1685" t="s">
        <v>556</v>
      </c>
      <c r="F1685" t="s">
        <v>18</v>
      </c>
      <c r="G1685">
        <f t="shared" si="82"/>
        <v>-10.63</v>
      </c>
      <c r="H1685" t="str">
        <f>VLOOKUP(Tabel1[[#This Row],[categorie]],Lijst!A:B,2,FALSE)</f>
        <v>Variabel</v>
      </c>
      <c r="I1685" t="str">
        <f t="shared" si="83"/>
        <v>OK</v>
      </c>
    </row>
    <row r="1686" spans="1:9" hidden="1" x14ac:dyDescent="0.3">
      <c r="A1686" s="2">
        <v>45897</v>
      </c>
      <c r="B1686" t="str">
        <f t="shared" si="81"/>
        <v xml:space="preserve">augustus </v>
      </c>
      <c r="C1686">
        <v>-4.7</v>
      </c>
      <c r="D1686" t="s">
        <v>3</v>
      </c>
      <c r="E1686" t="s">
        <v>557</v>
      </c>
      <c r="F1686" t="str">
        <f>VLOOKUP(Tabel1[[#This Row],[categorie]],Lijst!A:C,3,FALSE)</f>
        <v>Uitgave</v>
      </c>
      <c r="G1686">
        <f t="shared" si="82"/>
        <v>-4.7</v>
      </c>
      <c r="H1686" t="str">
        <f>VLOOKUP(Tabel1[[#This Row],[categorie]],Lijst!A:B,2,FALSE)</f>
        <v>Vast</v>
      </c>
      <c r="I1686" t="str">
        <f t="shared" si="83"/>
        <v>OK</v>
      </c>
    </row>
    <row r="1687" spans="1:9" hidden="1" x14ac:dyDescent="0.3">
      <c r="A1687" s="2">
        <v>45897</v>
      </c>
      <c r="B1687" t="str">
        <f t="shared" si="81"/>
        <v xml:space="preserve">augustus </v>
      </c>
      <c r="C1687">
        <v>-30.4</v>
      </c>
      <c r="D1687" t="s">
        <v>25</v>
      </c>
      <c r="E1687" t="s">
        <v>558</v>
      </c>
      <c r="F1687" t="str">
        <f>VLOOKUP(Tabel1[[#This Row],[categorie]],Lijst!A:C,3,FALSE)</f>
        <v>Uitgave</v>
      </c>
      <c r="G1687">
        <f t="shared" si="82"/>
        <v>-30.4</v>
      </c>
      <c r="H1687" t="str">
        <f>VLOOKUP(Tabel1[[#This Row],[categorie]],Lijst!A:B,2,FALSE)</f>
        <v>Variabel</v>
      </c>
      <c r="I1687" t="str">
        <f t="shared" si="83"/>
        <v>OK</v>
      </c>
    </row>
    <row r="1688" spans="1:9" hidden="1" x14ac:dyDescent="0.3">
      <c r="A1688" s="2">
        <v>45897</v>
      </c>
      <c r="B1688" t="str">
        <f t="shared" si="81"/>
        <v xml:space="preserve">augustus </v>
      </c>
      <c r="C1688">
        <v>-24</v>
      </c>
      <c r="D1688" t="s">
        <v>36</v>
      </c>
      <c r="E1688" t="s">
        <v>560</v>
      </c>
      <c r="F1688" t="str">
        <f>VLOOKUP(Tabel1[[#This Row],[categorie]],Lijst!A:C,3,FALSE)</f>
        <v>Uitgave</v>
      </c>
      <c r="G1688">
        <f t="shared" si="82"/>
        <v>-24</v>
      </c>
      <c r="H1688" t="str">
        <f>VLOOKUP(Tabel1[[#This Row],[categorie]],Lijst!A:B,2,FALSE)</f>
        <v>Variabel</v>
      </c>
      <c r="I1688" t="str">
        <f t="shared" si="83"/>
        <v>OK</v>
      </c>
    </row>
    <row r="1689" spans="1:9" hidden="1" x14ac:dyDescent="0.3">
      <c r="A1689" s="2">
        <v>45897</v>
      </c>
      <c r="B1689" t="str">
        <f t="shared" si="81"/>
        <v xml:space="preserve">augustus </v>
      </c>
      <c r="C1689">
        <v>-4</v>
      </c>
      <c r="D1689" t="str" cm="1">
        <f t="array" ref="D1689">IFERROR(
  _xlfn.XLOOKUP(TRUE, ISNUMBER(FIND(Trefwoorden!$A$2:$A$99, E1689)), Trefwoorden!$B$2:$B$99),
  "Onbekend"
)</f>
        <v>Gezondheid</v>
      </c>
      <c r="E1689" t="s">
        <v>561</v>
      </c>
      <c r="F1689" t="s">
        <v>18</v>
      </c>
      <c r="G1689">
        <f t="shared" si="82"/>
        <v>-4</v>
      </c>
      <c r="H1689" t="str">
        <f>VLOOKUP(Tabel1[[#This Row],[categorie]],Lijst!A:B,2,FALSE)</f>
        <v>Vast</v>
      </c>
      <c r="I1689" t="str">
        <f t="shared" si="83"/>
        <v>OK</v>
      </c>
    </row>
    <row r="1690" spans="1:9" hidden="1" x14ac:dyDescent="0.3">
      <c r="A1690" s="2">
        <v>45897</v>
      </c>
      <c r="B1690" t="str">
        <f t="shared" si="81"/>
        <v xml:space="preserve">augustus </v>
      </c>
      <c r="C1690">
        <v>-17.399999999999999</v>
      </c>
      <c r="D1690" t="s">
        <v>9</v>
      </c>
      <c r="E1690" t="s">
        <v>580</v>
      </c>
      <c r="F1690" t="s">
        <v>18</v>
      </c>
      <c r="G1690">
        <f t="shared" si="82"/>
        <v>-17.399999999999999</v>
      </c>
      <c r="H1690" t="str">
        <f>VLOOKUP(Tabel1[[#This Row],[categorie]],Lijst!A:B,2,FALSE)</f>
        <v>Variabel</v>
      </c>
      <c r="I1690" t="str">
        <f t="shared" si="83"/>
        <v>OK</v>
      </c>
    </row>
    <row r="1691" spans="1:9" hidden="1" x14ac:dyDescent="0.3">
      <c r="A1691" s="2">
        <v>45898</v>
      </c>
      <c r="B1691" t="str">
        <f t="shared" si="81"/>
        <v xml:space="preserve">augustus </v>
      </c>
      <c r="C1691">
        <v>-18.14</v>
      </c>
      <c r="D1691" t="str" cm="1">
        <f t="array" ref="D1691">IFERROR(
  _xlfn.XLOOKUP(TRUE, ISNUMBER(FIND(Trefwoorden!$A$2:$A$99, E1691)), Trefwoorden!$B$2:$B$99),
  "Onbekend"
)</f>
        <v>voeding</v>
      </c>
      <c r="E1691" t="s">
        <v>576</v>
      </c>
      <c r="F1691" t="str">
        <f>VLOOKUP(Tabel1[[#This Row],[categorie]],Lijst!A:C,3,FALSE)</f>
        <v>Uitgave</v>
      </c>
      <c r="G1691">
        <f t="shared" si="82"/>
        <v>-18.14</v>
      </c>
      <c r="H1691" t="str">
        <f>VLOOKUP(Tabel1[[#This Row],[categorie]],Lijst!A:B,2,FALSE)</f>
        <v>Vast</v>
      </c>
      <c r="I1691" t="str">
        <f t="shared" si="83"/>
        <v>OK</v>
      </c>
    </row>
    <row r="1692" spans="1:9" hidden="1" x14ac:dyDescent="0.3">
      <c r="A1692" s="2">
        <v>45898</v>
      </c>
      <c r="B1692" t="str">
        <f t="shared" si="81"/>
        <v xml:space="preserve">augustus </v>
      </c>
      <c r="C1692">
        <v>-34.520000000000003</v>
      </c>
      <c r="D1692" t="str" cm="1">
        <f t="array" ref="D1692">IFERROR(
  _xlfn.XLOOKUP(TRUE, ISNUMBER(FIND(Trefwoorden!$A$2:$A$99, E1692)), Trefwoorden!$B$2:$B$99),
  "Onbekend"
)</f>
        <v>voeding</v>
      </c>
      <c r="E1692" t="s">
        <v>577</v>
      </c>
      <c r="F1692" t="str">
        <f>VLOOKUP(Tabel1[[#This Row],[categorie]],Lijst!A:C,3,FALSE)</f>
        <v>Uitgave</v>
      </c>
      <c r="G1692">
        <f t="shared" si="82"/>
        <v>-34.520000000000003</v>
      </c>
      <c r="H1692" t="str">
        <f>VLOOKUP(Tabel1[[#This Row],[categorie]],Lijst!A:B,2,FALSE)</f>
        <v>Vast</v>
      </c>
      <c r="I1692" t="str">
        <f t="shared" si="83"/>
        <v>OK</v>
      </c>
    </row>
    <row r="1693" spans="1:9" hidden="1" x14ac:dyDescent="0.3">
      <c r="A1693" s="2">
        <v>45898</v>
      </c>
      <c r="B1693" t="str">
        <f t="shared" si="81"/>
        <v xml:space="preserve">augustus </v>
      </c>
      <c r="C1693">
        <v>-1.5</v>
      </c>
      <c r="D1693" t="s">
        <v>19</v>
      </c>
      <c r="E1693" t="s">
        <v>579</v>
      </c>
      <c r="F1693" t="str">
        <f>VLOOKUP(Tabel1[[#This Row],[categorie]],Lijst!A:C,3,FALSE)</f>
        <v>Uitgave</v>
      </c>
      <c r="G1693">
        <f t="shared" si="82"/>
        <v>-1.5</v>
      </c>
      <c r="H1693" t="str">
        <f>VLOOKUP(Tabel1[[#This Row],[categorie]],Lijst!A:B,2,FALSE)</f>
        <v>Vast</v>
      </c>
      <c r="I1693" t="str">
        <f t="shared" si="83"/>
        <v>OK</v>
      </c>
    </row>
    <row r="1694" spans="1:9" hidden="1" x14ac:dyDescent="0.3">
      <c r="A1694" s="2">
        <v>45898</v>
      </c>
      <c r="B1694" t="str">
        <f t="shared" si="81"/>
        <v xml:space="preserve">augustus </v>
      </c>
      <c r="C1694">
        <v>-299</v>
      </c>
      <c r="D1694" t="s">
        <v>35</v>
      </c>
      <c r="E1694" t="s">
        <v>581</v>
      </c>
      <c r="F1694" t="str">
        <f>VLOOKUP(Tabel1[[#This Row],[categorie]],Lijst!A:C,3,FALSE)</f>
        <v>Uitgave</v>
      </c>
      <c r="G1694">
        <f t="shared" si="82"/>
        <v>-299</v>
      </c>
      <c r="H1694" t="str">
        <f>VLOOKUP(Tabel1[[#This Row],[categorie]],Lijst!A:B,2,FALSE)</f>
        <v>Variabel</v>
      </c>
      <c r="I1694" t="str">
        <f t="shared" si="83"/>
        <v>OK</v>
      </c>
    </row>
    <row r="1695" spans="1:9" hidden="1" x14ac:dyDescent="0.3">
      <c r="A1695" s="2">
        <v>45898</v>
      </c>
      <c r="B1695" t="str">
        <f t="shared" si="81"/>
        <v xml:space="preserve">augustus </v>
      </c>
      <c r="C1695">
        <v>-10.37</v>
      </c>
      <c r="D1695" t="s">
        <v>11</v>
      </c>
      <c r="E1695" t="s">
        <v>585</v>
      </c>
      <c r="F1695" t="s">
        <v>18</v>
      </c>
      <c r="G1695">
        <f t="shared" si="82"/>
        <v>-10.37</v>
      </c>
      <c r="H1695" t="str">
        <f>VLOOKUP(Tabel1[[#This Row],[categorie]],Lijst!A:B,2,FALSE)</f>
        <v>Vast</v>
      </c>
      <c r="I1695" t="str">
        <f t="shared" si="83"/>
        <v>OK</v>
      </c>
    </row>
    <row r="1696" spans="1:9" hidden="1" x14ac:dyDescent="0.3">
      <c r="A1696" s="2">
        <v>45899</v>
      </c>
      <c r="B1696" t="str">
        <f t="shared" si="81"/>
        <v xml:space="preserve">augustus </v>
      </c>
      <c r="C1696">
        <v>-586.12</v>
      </c>
      <c r="D1696" t="str" cm="1">
        <f t="array" ref="D1696">IFERROR(
  _xlfn.XLOOKUP(TRUE, ISNUMBER(FIND(Trefwoorden!$A$2:$A$99, E1696)), Trefwoorden!$B$2:$B$99),
  "Onbekend"
)</f>
        <v>Leasing Auto</v>
      </c>
      <c r="E1696" t="s">
        <v>570</v>
      </c>
      <c r="F1696" t="str">
        <f>VLOOKUP(Tabel1[[#This Row],[categorie]],Lijst!A:C,3,FALSE)</f>
        <v>Uitgave</v>
      </c>
      <c r="G1696">
        <f t="shared" si="82"/>
        <v>-586.12</v>
      </c>
      <c r="H1696" t="str">
        <f>VLOOKUP(Tabel1[[#This Row],[categorie]],Lijst!A:B,2,FALSE)</f>
        <v>Vast</v>
      </c>
      <c r="I1696" t="str">
        <f t="shared" si="83"/>
        <v>OK</v>
      </c>
    </row>
    <row r="1697" spans="1:9" hidden="1" x14ac:dyDescent="0.3">
      <c r="A1697" s="2">
        <v>45899</v>
      </c>
      <c r="B1697" t="str">
        <f t="shared" si="81"/>
        <v xml:space="preserve">augustus </v>
      </c>
      <c r="C1697">
        <v>-79.989999999999995</v>
      </c>
      <c r="D1697" t="s">
        <v>32</v>
      </c>
      <c r="E1697" t="s">
        <v>571</v>
      </c>
      <c r="F1697" t="str">
        <f>VLOOKUP(Tabel1[[#This Row],[categorie]],Lijst!A:C,3,FALSE)</f>
        <v>Uitgave</v>
      </c>
      <c r="G1697">
        <f t="shared" si="82"/>
        <v>-79.989999999999995</v>
      </c>
      <c r="H1697" t="str">
        <f>VLOOKUP(Tabel1[[#This Row],[categorie]],Lijst!A:B,2,FALSE)</f>
        <v>Variabel</v>
      </c>
      <c r="I1697" t="str">
        <f t="shared" si="83"/>
        <v>OK</v>
      </c>
    </row>
    <row r="1698" spans="1:9" hidden="1" x14ac:dyDescent="0.3">
      <c r="A1698" s="2">
        <v>45899</v>
      </c>
      <c r="B1698" t="str">
        <f t="shared" si="81"/>
        <v xml:space="preserve">augustus </v>
      </c>
      <c r="C1698">
        <v>-7.12</v>
      </c>
      <c r="D1698" t="str" cm="1">
        <f t="array" ref="D1698">IFERROR(
  _xlfn.XLOOKUP(TRUE, ISNUMBER(FIND(Trefwoorden!$A$2:$A$99, E1698)), Trefwoorden!$B$2:$B$99),
  "Onbekend"
)</f>
        <v>voeding</v>
      </c>
      <c r="E1698" t="s">
        <v>572</v>
      </c>
      <c r="F1698" t="str">
        <f>VLOOKUP(Tabel1[[#This Row],[categorie]],Lijst!A:C,3,FALSE)</f>
        <v>Uitgave</v>
      </c>
      <c r="G1698">
        <f t="shared" si="82"/>
        <v>-7.12</v>
      </c>
      <c r="H1698" t="str">
        <f>VLOOKUP(Tabel1[[#This Row],[categorie]],Lijst!A:B,2,FALSE)</f>
        <v>Vast</v>
      </c>
      <c r="I1698" t="str">
        <f t="shared" si="83"/>
        <v>OK</v>
      </c>
    </row>
    <row r="1699" spans="1:9" hidden="1" x14ac:dyDescent="0.3">
      <c r="A1699" s="2">
        <v>45899</v>
      </c>
      <c r="B1699" t="str">
        <f t="shared" si="81"/>
        <v xml:space="preserve">augustus </v>
      </c>
      <c r="C1699">
        <v>-18.5</v>
      </c>
      <c r="D1699" t="str" cm="1">
        <f t="array" ref="D1699">IFERROR(
  _xlfn.XLOOKUP(TRUE, ISNUMBER(FIND(Trefwoorden!$A$2:$A$99, E1699)), Trefwoorden!$B$2:$B$99),
  "Onbekend"
)</f>
        <v>Louis/Vis</v>
      </c>
      <c r="E1699" t="s">
        <v>573</v>
      </c>
      <c r="F1699" t="str">
        <f>VLOOKUP(Tabel1[[#This Row],[categorie]],Lijst!A:C,3,FALSE)</f>
        <v>Uitgave</v>
      </c>
      <c r="G1699">
        <f t="shared" si="82"/>
        <v>-18.5</v>
      </c>
      <c r="H1699" t="str">
        <f>VLOOKUP(Tabel1[[#This Row],[categorie]],Lijst!A:B,2,FALSE)</f>
        <v>Variabel</v>
      </c>
      <c r="I1699" t="str">
        <f t="shared" si="83"/>
        <v>OK</v>
      </c>
    </row>
    <row r="1700" spans="1:9" hidden="1" x14ac:dyDescent="0.3">
      <c r="A1700" s="2">
        <v>45899</v>
      </c>
      <c r="B1700" t="str">
        <f t="shared" si="81"/>
        <v xml:space="preserve">augustus </v>
      </c>
      <c r="C1700">
        <v>-13</v>
      </c>
      <c r="D1700" t="str" cm="1">
        <f t="array" ref="D1700">IFERROR(
  _xlfn.XLOOKUP(TRUE, ISNUMBER(FIND(Trefwoorden!$A$2:$A$99, E1700)), Trefwoorden!$B$2:$B$99),
  "Onbekend"
)</f>
        <v>Louis/Vis</v>
      </c>
      <c r="E1700" t="s">
        <v>574</v>
      </c>
      <c r="F1700" t="str">
        <f>VLOOKUP(Tabel1[[#This Row],[categorie]],Lijst!A:C,3,FALSE)</f>
        <v>Uitgave</v>
      </c>
      <c r="G1700">
        <f t="shared" si="82"/>
        <v>-13</v>
      </c>
      <c r="H1700" t="str">
        <f>VLOOKUP(Tabel1[[#This Row],[categorie]],Lijst!A:B,2,FALSE)</f>
        <v>Variabel</v>
      </c>
      <c r="I1700" t="str">
        <f t="shared" si="83"/>
        <v>OK</v>
      </c>
    </row>
    <row r="1701" spans="1:9" hidden="1" x14ac:dyDescent="0.3">
      <c r="A1701" s="2">
        <v>45899</v>
      </c>
      <c r="B1701" t="str">
        <f t="shared" si="81"/>
        <v xml:space="preserve">augustus </v>
      </c>
      <c r="C1701">
        <v>-72</v>
      </c>
      <c r="D1701" t="s">
        <v>9</v>
      </c>
      <c r="E1701" t="s">
        <v>575</v>
      </c>
      <c r="F1701" t="s">
        <v>18</v>
      </c>
      <c r="G1701">
        <f t="shared" si="82"/>
        <v>-72</v>
      </c>
      <c r="H1701" t="str">
        <f>VLOOKUP(Tabel1[[#This Row],[categorie]],Lijst!A:B,2,FALSE)</f>
        <v>Variabel</v>
      </c>
      <c r="I1701" t="str">
        <f t="shared" si="83"/>
        <v>OK</v>
      </c>
    </row>
    <row r="1702" spans="1:9" hidden="1" x14ac:dyDescent="0.3">
      <c r="A1702" s="2">
        <v>45899</v>
      </c>
      <c r="B1702" t="str">
        <f t="shared" si="81"/>
        <v xml:space="preserve">augustus </v>
      </c>
      <c r="C1702">
        <v>-25</v>
      </c>
      <c r="D1702" t="str" cm="1">
        <f t="array" ref="D1702">IFERROR(
  _xlfn.XLOOKUP(TRUE, ISNUMBER(FIND(Trefwoorden!$A$2:$A$99, E1702)), Trefwoorden!$B$2:$B$99),
  "Onbekend"
)</f>
        <v>kapster</v>
      </c>
      <c r="E1702" t="s">
        <v>578</v>
      </c>
      <c r="F1702" t="str">
        <f>VLOOKUP(Tabel1[[#This Row],[categorie]],Lijst!A:C,3,FALSE)</f>
        <v>Uitgave</v>
      </c>
      <c r="G1702">
        <f t="shared" si="82"/>
        <v>-25</v>
      </c>
      <c r="H1702" t="str">
        <f>VLOOKUP(Tabel1[[#This Row],[categorie]],Lijst!A:B,2,FALSE)</f>
        <v>Vast</v>
      </c>
      <c r="I1702" t="str">
        <f t="shared" si="83"/>
        <v>OK</v>
      </c>
    </row>
    <row r="1703" spans="1:9" hidden="1" x14ac:dyDescent="0.3">
      <c r="A1703" s="2">
        <v>45901</v>
      </c>
      <c r="B1703" t="str">
        <f t="shared" si="81"/>
        <v xml:space="preserve">september </v>
      </c>
      <c r="C1703">
        <v>20</v>
      </c>
      <c r="D1703" t="str" cm="1">
        <f t="array" ref="D1703">IFERROR(
  _xlfn.XLOOKUP(TRUE, ISNUMBER(FIND(Trefwoorden!$A$2:$A$99, E1703)), Trefwoorden!$B$2:$B$99),
  "Onbekend"
)</f>
        <v>Inkomsten Loon</v>
      </c>
      <c r="E1703" t="s">
        <v>584</v>
      </c>
      <c r="F1703" t="str">
        <f>VLOOKUP(Tabel1[[#This Row],[categorie]],Lijst!A:C,3,FALSE)</f>
        <v>Inkomst</v>
      </c>
      <c r="G1703">
        <f t="shared" si="82"/>
        <v>20</v>
      </c>
      <c r="H1703" t="str">
        <f>VLOOKUP(Tabel1[[#This Row],[categorie]],Lijst!A:B,2,FALSE)</f>
        <v>Inkomsten</v>
      </c>
      <c r="I1703" t="str">
        <f t="shared" si="83"/>
        <v>OK</v>
      </c>
    </row>
    <row r="1704" spans="1:9" hidden="1" x14ac:dyDescent="0.3">
      <c r="A1704" s="2">
        <v>45899</v>
      </c>
      <c r="B1704" t="str">
        <f t="shared" si="81"/>
        <v xml:space="preserve">augustus </v>
      </c>
      <c r="C1704">
        <v>-1.1499999999999999</v>
      </c>
      <c r="D1704" t="str" cm="1">
        <f t="array" ref="D1704">IFERROR(
  _xlfn.XLOOKUP(TRUE, ISNUMBER(FIND(Trefwoorden!$A$2:$A$99, E1704)), Trefwoorden!$B$2:$B$99),
  "Onbekend"
)</f>
        <v>voeding</v>
      </c>
      <c r="E1704" t="s">
        <v>659</v>
      </c>
      <c r="F1704" t="str">
        <f>VLOOKUP(Tabel1[[#This Row],[categorie]],Lijst!A:C,3,FALSE)</f>
        <v>Uitgave</v>
      </c>
      <c r="G1704">
        <f t="shared" si="82"/>
        <v>-1.1499999999999999</v>
      </c>
      <c r="H1704" t="str">
        <f>VLOOKUP(Tabel1[[#This Row],[categorie]],Lijst!A:B,2,FALSE)</f>
        <v>Vast</v>
      </c>
      <c r="I1704" t="str">
        <f t="shared" si="83"/>
        <v>OK</v>
      </c>
    </row>
    <row r="1705" spans="1:9" hidden="1" x14ac:dyDescent="0.3">
      <c r="A1705" s="2">
        <v>45900</v>
      </c>
      <c r="B1705" t="str">
        <f t="shared" si="81"/>
        <v xml:space="preserve">augustus </v>
      </c>
      <c r="C1705">
        <v>-10.93</v>
      </c>
      <c r="D1705" t="str" cm="1">
        <f t="array" ref="D1705">IFERROR(
  _xlfn.XLOOKUP(TRUE, ISNUMBER(FIND(Trefwoorden!$A$2:$A$99, E1705)), Trefwoorden!$B$2:$B$99),
  "Onbekend"
)</f>
        <v>voeding</v>
      </c>
      <c r="E1705" t="s">
        <v>658</v>
      </c>
      <c r="F1705" t="str">
        <f>VLOOKUP(Tabel1[[#This Row],[categorie]],Lijst!A:C,3,FALSE)</f>
        <v>Uitgave</v>
      </c>
      <c r="G1705">
        <f t="shared" si="82"/>
        <v>-10.93</v>
      </c>
      <c r="H1705" t="str">
        <f>VLOOKUP(Tabel1[[#This Row],[categorie]],Lijst!A:B,2,FALSE)</f>
        <v>Vast</v>
      </c>
      <c r="I1705" t="str">
        <f t="shared" si="83"/>
        <v>OK</v>
      </c>
    </row>
    <row r="1706" spans="1:9" hidden="1" x14ac:dyDescent="0.3">
      <c r="A1706" s="2">
        <v>45900</v>
      </c>
      <c r="B1706" t="str">
        <f t="shared" si="81"/>
        <v xml:space="preserve">augustus </v>
      </c>
      <c r="C1706">
        <v>-20.95</v>
      </c>
      <c r="D1706" t="str" cm="1">
        <f t="array" ref="D1706">IFERROR(
  _xlfn.XLOOKUP(TRUE, ISNUMBER(FIND(Trefwoorden!$A$2:$A$99, E1706)), Trefwoorden!$B$2:$B$99),
  "Onbekend"
)</f>
        <v>EuroShop</v>
      </c>
      <c r="E1706" t="s">
        <v>660</v>
      </c>
      <c r="F1706" t="str">
        <f>VLOOKUP(Tabel1[[#This Row],[categorie]],Lijst!A:C,3,FALSE)</f>
        <v>Uitgave</v>
      </c>
      <c r="G1706">
        <f t="shared" si="82"/>
        <v>-20.95</v>
      </c>
      <c r="H1706" t="str">
        <f>VLOOKUP(Tabel1[[#This Row],[categorie]],Lijst!A:B,2,FALSE)</f>
        <v>Variabel</v>
      </c>
      <c r="I1706" t="str">
        <f t="shared" si="83"/>
        <v>OK</v>
      </c>
    </row>
    <row r="1707" spans="1:9" hidden="1" x14ac:dyDescent="0.3">
      <c r="A1707" s="2">
        <v>45901</v>
      </c>
      <c r="B1707" t="str">
        <f t="shared" si="81"/>
        <v xml:space="preserve">september </v>
      </c>
      <c r="C1707">
        <v>2668.83</v>
      </c>
      <c r="D1707" t="str" cm="1">
        <f t="array" ref="D1707">IFERROR(
  _xlfn.XLOOKUP(TRUE, ISNUMBER(FIND(Trefwoorden!$A$2:$A$99, E1707)), Trefwoorden!$B$2:$B$99),
  "Onbekend"
)</f>
        <v>Inkomsten Loon</v>
      </c>
      <c r="E1707" t="s">
        <v>582</v>
      </c>
      <c r="F1707" t="str">
        <f>VLOOKUP(Tabel1[[#This Row],[categorie]],Lijst!A:C,3,FALSE)</f>
        <v>Inkomst</v>
      </c>
      <c r="G1707">
        <f t="shared" si="82"/>
        <v>2668.83</v>
      </c>
      <c r="H1707" t="str">
        <f>VLOOKUP(Tabel1[[#This Row],[categorie]],Lijst!A:B,2,FALSE)</f>
        <v>Inkomsten</v>
      </c>
      <c r="I1707" t="str">
        <f t="shared" si="83"/>
        <v>OK</v>
      </c>
    </row>
    <row r="1708" spans="1:9" hidden="1" x14ac:dyDescent="0.3">
      <c r="A1708" s="2">
        <v>45901</v>
      </c>
      <c r="B1708" t="str">
        <f t="shared" si="81"/>
        <v xml:space="preserve">september </v>
      </c>
      <c r="C1708">
        <v>2849.25</v>
      </c>
      <c r="D1708" t="str" cm="1">
        <f t="array" ref="D1708">IFERROR(
  _xlfn.XLOOKUP(TRUE, ISNUMBER(FIND(Trefwoorden!$A$2:$A$99, E1708)), Trefwoorden!$B$2:$B$99),
  "Onbekend"
)</f>
        <v>Inkomsten Loon</v>
      </c>
      <c r="E1708" t="s">
        <v>583</v>
      </c>
      <c r="F1708" t="str">
        <f>VLOOKUP(Tabel1[[#This Row],[categorie]],Lijst!A:C,3,FALSE)</f>
        <v>Inkomst</v>
      </c>
      <c r="G1708">
        <f t="shared" si="82"/>
        <v>2849.25</v>
      </c>
      <c r="H1708" t="str">
        <f>VLOOKUP(Tabel1[[#This Row],[categorie]],Lijst!A:B,2,FALSE)</f>
        <v>Inkomsten</v>
      </c>
      <c r="I1708" t="str">
        <f t="shared" si="83"/>
        <v>OK</v>
      </c>
    </row>
    <row r="1709" spans="1:9" hidden="1" x14ac:dyDescent="0.3">
      <c r="A1709" s="2">
        <v>45901</v>
      </c>
      <c r="B1709" t="str">
        <f t="shared" si="81"/>
        <v xml:space="preserve">september </v>
      </c>
      <c r="C1709">
        <v>-4.1399999999999997</v>
      </c>
      <c r="D1709" t="str" cm="1">
        <f t="array" ref="D1709">IFERROR(
  _xlfn.XLOOKUP(TRUE, ISNUMBER(FIND(Trefwoorden!$A$2:$A$99, E1709)), Trefwoorden!$B$2:$B$99),
  "Onbekend"
)</f>
        <v>voeding</v>
      </c>
      <c r="E1709" t="s">
        <v>647</v>
      </c>
      <c r="F1709" t="str">
        <f>VLOOKUP(Tabel1[[#This Row],[categorie]],Lijst!A:C,3,FALSE)</f>
        <v>Uitgave</v>
      </c>
      <c r="G1709">
        <f t="shared" si="82"/>
        <v>-4.1399999999999997</v>
      </c>
      <c r="H1709" t="str">
        <f>VLOOKUP(Tabel1[[#This Row],[categorie]],Lijst!A:B,2,FALSE)</f>
        <v>Vast</v>
      </c>
      <c r="I1709" t="str">
        <f t="shared" si="83"/>
        <v>OK</v>
      </c>
    </row>
    <row r="1710" spans="1:9" hidden="1" x14ac:dyDescent="0.3">
      <c r="A1710" s="2">
        <v>45901</v>
      </c>
      <c r="B1710" t="str">
        <f t="shared" si="81"/>
        <v xml:space="preserve">september </v>
      </c>
      <c r="C1710">
        <v>-40.19</v>
      </c>
      <c r="D1710" t="str" cm="1">
        <f t="array" ref="D1710">IFERROR(
  _xlfn.XLOOKUP(TRUE, ISNUMBER(FIND(Trefwoorden!$A$2:$A$99, E1710)), Trefwoorden!$B$2:$B$99),
  "Onbekend"
)</f>
        <v>kledij</v>
      </c>
      <c r="E1710" t="s">
        <v>648</v>
      </c>
      <c r="F1710" t="str">
        <f>VLOOKUP(Tabel1[[#This Row],[categorie]],Lijst!A:C,3,FALSE)</f>
        <v>Uitgave</v>
      </c>
      <c r="G1710">
        <f t="shared" si="82"/>
        <v>-40.19</v>
      </c>
      <c r="H1710" t="str">
        <f>VLOOKUP(Tabel1[[#This Row],[categorie]],Lijst!A:B,2,FALSE)</f>
        <v>Variabel</v>
      </c>
      <c r="I1710" t="str">
        <f t="shared" si="83"/>
        <v>OK</v>
      </c>
    </row>
    <row r="1711" spans="1:9" hidden="1" x14ac:dyDescent="0.3">
      <c r="A1711" s="2">
        <v>45901</v>
      </c>
      <c r="B1711" t="str">
        <f t="shared" si="81"/>
        <v xml:space="preserve">september </v>
      </c>
      <c r="C1711">
        <v>-5.99</v>
      </c>
      <c r="D1711" t="str" cm="1">
        <f t="array" ref="D1711">IFERROR(
  _xlfn.XLOOKUP(TRUE, ISNUMBER(FIND(Trefwoorden!$A$2:$A$99, E1711)), Trefwoorden!$B$2:$B$99),
  "Onbekend"
)</f>
        <v>Gezondheid</v>
      </c>
      <c r="E1711" t="s">
        <v>649</v>
      </c>
      <c r="F1711" t="str">
        <f>VLOOKUP(Tabel1[[#This Row],[categorie]],Lijst!A:C,3,FALSE)</f>
        <v>Te Bepalen</v>
      </c>
      <c r="G1711">
        <f t="shared" si="82"/>
        <v>5.99</v>
      </c>
      <c r="H1711" t="str">
        <f>VLOOKUP(Tabel1[[#This Row],[categorie]],Lijst!A:B,2,FALSE)</f>
        <v>Vast</v>
      </c>
      <c r="I1711" t="str">
        <f t="shared" si="83"/>
        <v>FOUT</v>
      </c>
    </row>
    <row r="1712" spans="1:9" hidden="1" x14ac:dyDescent="0.3">
      <c r="A1712" s="2">
        <v>45901</v>
      </c>
      <c r="B1712" t="str">
        <f t="shared" si="81"/>
        <v xml:space="preserve">september </v>
      </c>
      <c r="C1712">
        <v>-12.02</v>
      </c>
      <c r="D1712" t="str" cm="1">
        <f t="array" ref="D1712">IFERROR(
  _xlfn.XLOOKUP(TRUE, ISNUMBER(FIND(Trefwoorden!$A$2:$A$99, E1712)), Trefwoorden!$B$2:$B$99),
  "Onbekend"
)</f>
        <v>voeding</v>
      </c>
      <c r="E1712" t="s">
        <v>650</v>
      </c>
      <c r="F1712" t="str">
        <f>VLOOKUP(Tabel1[[#This Row],[categorie]],Lijst!A:C,3,FALSE)</f>
        <v>Uitgave</v>
      </c>
      <c r="G1712">
        <f t="shared" si="82"/>
        <v>-12.02</v>
      </c>
      <c r="H1712" t="str">
        <f>VLOOKUP(Tabel1[[#This Row],[categorie]],Lijst!A:B,2,FALSE)</f>
        <v>Vast</v>
      </c>
      <c r="I1712" t="str">
        <f t="shared" si="83"/>
        <v>OK</v>
      </c>
    </row>
    <row r="1713" spans="1:9" hidden="1" x14ac:dyDescent="0.3">
      <c r="A1713" s="2">
        <v>45901</v>
      </c>
      <c r="B1713" t="str">
        <f t="shared" si="81"/>
        <v xml:space="preserve">september </v>
      </c>
      <c r="C1713">
        <v>-4</v>
      </c>
      <c r="D1713" t="str" cm="1">
        <f t="array" ref="D1713">IFERROR(
  _xlfn.XLOOKUP(TRUE, ISNUMBER(FIND(Trefwoorden!$A$2:$A$99, E1713)), Trefwoorden!$B$2:$B$99),
  "Onbekend"
)</f>
        <v>Gezondheid</v>
      </c>
      <c r="E1713" t="s">
        <v>657</v>
      </c>
      <c r="F1713" t="str">
        <f>VLOOKUP(Tabel1[[#This Row],[categorie]],Lijst!A:C,3,FALSE)</f>
        <v>Te Bepalen</v>
      </c>
      <c r="G1713">
        <f t="shared" si="82"/>
        <v>4</v>
      </c>
      <c r="H1713" t="str">
        <f>VLOOKUP(Tabel1[[#This Row],[categorie]],Lijst!A:B,2,FALSE)</f>
        <v>Vast</v>
      </c>
      <c r="I1713" t="str">
        <f t="shared" si="83"/>
        <v>FOUT</v>
      </c>
    </row>
    <row r="1714" spans="1:9" hidden="1" x14ac:dyDescent="0.3">
      <c r="A1714" s="2">
        <v>45901</v>
      </c>
      <c r="B1714" t="str">
        <f t="shared" si="81"/>
        <v xml:space="preserve">september </v>
      </c>
      <c r="C1714">
        <v>-8.4600000000000009</v>
      </c>
      <c r="D1714" t="str" cm="1">
        <f t="array" ref="D1714">IFERROR(
  _xlfn.XLOOKUP(TRUE, ISNUMBER(FIND(Trefwoorden!$A$2:$A$99, E1714)), Trefwoorden!$B$2:$B$99),
  "Onbekend"
)</f>
        <v>ICT</v>
      </c>
      <c r="E1714" t="s">
        <v>661</v>
      </c>
      <c r="F1714" t="str">
        <f>VLOOKUP(Tabel1[[#This Row],[categorie]],Lijst!A:C,3,FALSE)</f>
        <v>Te Bepalen</v>
      </c>
      <c r="G1714">
        <f t="shared" si="82"/>
        <v>8.4600000000000009</v>
      </c>
      <c r="H1714" t="str">
        <f>VLOOKUP(Tabel1[[#This Row],[categorie]],Lijst!A:B,2,FALSE)</f>
        <v>Variabel</v>
      </c>
      <c r="I1714" t="str">
        <f t="shared" si="83"/>
        <v>FOUT</v>
      </c>
    </row>
    <row r="1715" spans="1:9" hidden="1" x14ac:dyDescent="0.3">
      <c r="A1715" s="2">
        <v>45901</v>
      </c>
      <c r="B1715" t="str">
        <f t="shared" si="81"/>
        <v xml:space="preserve">september </v>
      </c>
      <c r="C1715">
        <v>-43</v>
      </c>
      <c r="D1715" t="s">
        <v>9</v>
      </c>
      <c r="E1715" t="s">
        <v>662</v>
      </c>
      <c r="F1715" t="str">
        <f>VLOOKUP(Tabel1[[#This Row],[categorie]],Lijst!A:C,3,FALSE)</f>
        <v>Te Bepalen</v>
      </c>
      <c r="G1715">
        <f t="shared" si="82"/>
        <v>43</v>
      </c>
      <c r="H1715" t="str">
        <f>VLOOKUP(Tabel1[[#This Row],[categorie]],Lijst!A:B,2,FALSE)</f>
        <v>Variabel</v>
      </c>
      <c r="I1715" t="str">
        <f t="shared" si="83"/>
        <v>FOUT</v>
      </c>
    </row>
    <row r="1716" spans="1:9" hidden="1" x14ac:dyDescent="0.3">
      <c r="A1716" s="2">
        <v>45901</v>
      </c>
      <c r="B1716" t="str">
        <f t="shared" si="81"/>
        <v xml:space="preserve">september </v>
      </c>
      <c r="C1716">
        <v>-5</v>
      </c>
      <c r="D1716" t="str" cm="1">
        <f t="array" ref="D1716">IFERROR(
  _xlfn.XLOOKUP(TRUE, ISNUMBER(FIND(Trefwoorden!$A$2:$A$99, E1716)), Trefwoorden!$B$2:$B$99),
  "Onbekend"
)</f>
        <v>Laadbeurt</v>
      </c>
      <c r="E1716" t="s">
        <v>663</v>
      </c>
      <c r="F1716" t="str">
        <f>VLOOKUP(Tabel1[[#This Row],[categorie]],Lijst!A:C,3,FALSE)</f>
        <v>Uitgave</v>
      </c>
      <c r="G1716">
        <f t="shared" si="82"/>
        <v>-5</v>
      </c>
      <c r="H1716" t="str">
        <f>VLOOKUP(Tabel1[[#This Row],[categorie]],Lijst!A:B,2,FALSE)</f>
        <v>Vast</v>
      </c>
      <c r="I1716" t="str">
        <f t="shared" si="83"/>
        <v>OK</v>
      </c>
    </row>
    <row r="1717" spans="1:9" hidden="1" x14ac:dyDescent="0.3">
      <c r="A1717" s="2">
        <v>45901</v>
      </c>
      <c r="B1717" t="str">
        <f t="shared" si="81"/>
        <v xml:space="preserve">september </v>
      </c>
      <c r="C1717">
        <v>-2.56</v>
      </c>
      <c r="D1717" t="str" cm="1">
        <f t="array" ref="D1717">IFERROR(
  _xlfn.XLOOKUP(TRUE, ISNUMBER(FIND(Trefwoorden!$A$2:$A$99, E1717)), Trefwoorden!$B$2:$B$99),
  "Onbekend"
)</f>
        <v>Laadbeurt</v>
      </c>
      <c r="E1717" t="s">
        <v>664</v>
      </c>
      <c r="F1717" t="str">
        <f>VLOOKUP(Tabel1[[#This Row],[categorie]],Lijst!A:C,3,FALSE)</f>
        <v>Uitgave</v>
      </c>
      <c r="G1717">
        <f t="shared" si="82"/>
        <v>-2.56</v>
      </c>
      <c r="H1717" t="str">
        <f>VLOOKUP(Tabel1[[#This Row],[categorie]],Lijst!A:B,2,FALSE)</f>
        <v>Vast</v>
      </c>
      <c r="I1717" t="str">
        <f t="shared" si="83"/>
        <v>OK</v>
      </c>
    </row>
    <row r="1718" spans="1:9" hidden="1" x14ac:dyDescent="0.3">
      <c r="A1718" s="2">
        <v>45901</v>
      </c>
      <c r="B1718" t="str">
        <f t="shared" si="81"/>
        <v xml:space="preserve">september </v>
      </c>
      <c r="C1718">
        <v>-5</v>
      </c>
      <c r="D1718" t="str" cm="1">
        <f t="array" ref="D1718">IFERROR(
  _xlfn.XLOOKUP(TRUE, ISNUMBER(FIND(Trefwoorden!$A$2:$A$99, E1718)), Trefwoorden!$B$2:$B$99),
  "Onbekend"
)</f>
        <v>Laadbeurt</v>
      </c>
      <c r="E1718" t="s">
        <v>664</v>
      </c>
      <c r="F1718" t="str">
        <f>VLOOKUP(Tabel1[[#This Row],[categorie]],Lijst!A:C,3,FALSE)</f>
        <v>Uitgave</v>
      </c>
      <c r="G1718">
        <f t="shared" si="82"/>
        <v>-5</v>
      </c>
      <c r="H1718" t="str">
        <f>VLOOKUP(Tabel1[[#This Row],[categorie]],Lijst!A:B,2,FALSE)</f>
        <v>Vast</v>
      </c>
      <c r="I1718" t="str">
        <f t="shared" si="83"/>
        <v>OK</v>
      </c>
    </row>
    <row r="1719" spans="1:9" hidden="1" x14ac:dyDescent="0.3">
      <c r="A1719" s="2">
        <v>45901</v>
      </c>
      <c r="B1719" t="str">
        <f t="shared" si="81"/>
        <v xml:space="preserve">september </v>
      </c>
      <c r="C1719">
        <v>-6.81</v>
      </c>
      <c r="D1719" t="str" cm="1">
        <f t="array" ref="D1719">IFERROR(
  _xlfn.XLOOKUP(TRUE, ISNUMBER(FIND(Trefwoorden!$A$2:$A$99, E1719)), Trefwoorden!$B$2:$B$99),
  "Onbekend"
)</f>
        <v>Laadbeurt</v>
      </c>
      <c r="E1719" t="s">
        <v>665</v>
      </c>
      <c r="F1719" t="str">
        <f>VLOOKUP(Tabel1[[#This Row],[categorie]],Lijst!A:C,3,FALSE)</f>
        <v>Uitgave</v>
      </c>
      <c r="G1719">
        <f t="shared" si="82"/>
        <v>-6.81</v>
      </c>
      <c r="H1719" t="str">
        <f>VLOOKUP(Tabel1[[#This Row],[categorie]],Lijst!A:B,2,FALSE)</f>
        <v>Vast</v>
      </c>
      <c r="I1719" t="str">
        <f t="shared" si="83"/>
        <v>OK</v>
      </c>
    </row>
    <row r="1720" spans="1:9" hidden="1" x14ac:dyDescent="0.3">
      <c r="A1720" s="2">
        <v>45901</v>
      </c>
      <c r="B1720" t="str">
        <f t="shared" si="81"/>
        <v xml:space="preserve">september </v>
      </c>
      <c r="C1720">
        <v>-49.25</v>
      </c>
      <c r="D1720" t="str" cm="1">
        <f t="array" ref="D1720">IFERROR(
  _xlfn.XLOOKUP(TRUE, ISNUMBER(FIND(Trefwoorden!$A$2:$A$99, E1720)), Trefwoorden!$B$2:$B$99),
  "Onbekend"
)</f>
        <v>Telenet</v>
      </c>
      <c r="E1720" t="s">
        <v>666</v>
      </c>
      <c r="F1720" t="str">
        <f>VLOOKUP(Tabel1[[#This Row],[categorie]],Lijst!A:C,3,FALSE)</f>
        <v>Uitgave</v>
      </c>
      <c r="G1720">
        <f t="shared" si="82"/>
        <v>-49.25</v>
      </c>
      <c r="H1720" t="str">
        <f>VLOOKUP(Tabel1[[#This Row],[categorie]],Lijst!A:B,2,FALSE)</f>
        <v>Vast</v>
      </c>
      <c r="I1720" t="str">
        <f t="shared" si="83"/>
        <v>OK</v>
      </c>
    </row>
    <row r="1721" spans="1:9" hidden="1" x14ac:dyDescent="0.3">
      <c r="A1721" s="2">
        <v>45901</v>
      </c>
      <c r="B1721" t="str">
        <f t="shared" si="81"/>
        <v xml:space="preserve">september </v>
      </c>
      <c r="C1721">
        <v>-37.9</v>
      </c>
      <c r="D1721" t="str" cm="1">
        <f t="array" ref="D1721">IFERROR(
  _xlfn.XLOOKUP(TRUE, ISNUMBER(FIND(Trefwoorden!$A$2:$A$99, E1721)), Trefwoorden!$B$2:$B$99),
  "Onbekend"
)</f>
        <v>Hospitalisatie</v>
      </c>
      <c r="E1721" t="s">
        <v>667</v>
      </c>
      <c r="F1721" t="str">
        <f>VLOOKUP(Tabel1[[#This Row],[categorie]],Lijst!A:C,3,FALSE)</f>
        <v>Uitgave</v>
      </c>
      <c r="G1721">
        <f t="shared" si="82"/>
        <v>-37.9</v>
      </c>
      <c r="H1721" t="str">
        <f>VLOOKUP(Tabel1[[#This Row],[categorie]],Lijst!A:B,2,FALSE)</f>
        <v>Vast</v>
      </c>
      <c r="I1721" t="str">
        <f t="shared" si="83"/>
        <v>OK</v>
      </c>
    </row>
    <row r="1722" spans="1:9" hidden="1" x14ac:dyDescent="0.3">
      <c r="A1722" s="2">
        <v>45901</v>
      </c>
      <c r="B1722" t="str">
        <f t="shared" si="81"/>
        <v xml:space="preserve">september </v>
      </c>
      <c r="C1722">
        <v>-18</v>
      </c>
      <c r="D1722" t="s">
        <v>30</v>
      </c>
      <c r="E1722" t="s">
        <v>668</v>
      </c>
      <c r="F1722" t="str">
        <f>VLOOKUP(Tabel1[[#This Row],[categorie]],Lijst!A:C,3,FALSE)</f>
        <v>Uitgave</v>
      </c>
      <c r="G1722">
        <f t="shared" si="82"/>
        <v>-18</v>
      </c>
      <c r="H1722" t="str">
        <f>VLOOKUP(Tabel1[[#This Row],[categorie]],Lijst!A:B,2,FALSE)</f>
        <v>Vast</v>
      </c>
      <c r="I1722" t="str">
        <f t="shared" si="83"/>
        <v>OK</v>
      </c>
    </row>
    <row r="1723" spans="1:9" hidden="1" x14ac:dyDescent="0.3">
      <c r="A1723" s="2">
        <v>45901</v>
      </c>
      <c r="B1723" t="str">
        <f t="shared" si="81"/>
        <v xml:space="preserve">september </v>
      </c>
      <c r="C1723">
        <v>-60</v>
      </c>
      <c r="D1723" t="s">
        <v>11</v>
      </c>
      <c r="E1723" t="s">
        <v>669</v>
      </c>
      <c r="F1723" t="str">
        <f>VLOOKUP(Tabel1[[#This Row],[categorie]],Lijst!A:C,3,FALSE)</f>
        <v>Te Bepalen</v>
      </c>
      <c r="G1723">
        <f t="shared" si="82"/>
        <v>60</v>
      </c>
      <c r="H1723" t="str">
        <f>VLOOKUP(Tabel1[[#This Row],[categorie]],Lijst!A:B,2,FALSE)</f>
        <v>Vast</v>
      </c>
      <c r="I1723" t="str">
        <f t="shared" si="83"/>
        <v>FOUT</v>
      </c>
    </row>
    <row r="1724" spans="1:9" hidden="1" x14ac:dyDescent="0.3">
      <c r="A1724" s="2">
        <v>45901</v>
      </c>
      <c r="B1724" t="str">
        <f t="shared" si="81"/>
        <v xml:space="preserve">september </v>
      </c>
      <c r="C1724">
        <v>-45.25</v>
      </c>
      <c r="D1724" t="str" cm="1">
        <f t="array" ref="D1724">IFERROR(
  _xlfn.XLOOKUP(TRUE, ISNUMBER(FIND(Trefwoorden!$A$2:$A$99, E1724)), Trefwoorden!$B$2:$B$99),
  "Onbekend"
)</f>
        <v>Hospitalisatie</v>
      </c>
      <c r="E1724" t="s">
        <v>670</v>
      </c>
      <c r="F1724" t="str">
        <f>VLOOKUP(Tabel1[[#This Row],[categorie]],Lijst!A:C,3,FALSE)</f>
        <v>Uitgave</v>
      </c>
      <c r="G1724">
        <f t="shared" si="82"/>
        <v>-45.25</v>
      </c>
      <c r="H1724" t="str">
        <f>VLOOKUP(Tabel1[[#This Row],[categorie]],Lijst!A:B,2,FALSE)</f>
        <v>Vast</v>
      </c>
      <c r="I1724" t="str">
        <f t="shared" si="83"/>
        <v>OK</v>
      </c>
    </row>
    <row r="1725" spans="1:9" hidden="1" x14ac:dyDescent="0.3">
      <c r="A1725" s="2">
        <v>45901</v>
      </c>
      <c r="B1725" t="str">
        <f t="shared" si="81"/>
        <v xml:space="preserve">september </v>
      </c>
      <c r="C1725">
        <v>-50.6</v>
      </c>
      <c r="D1725" t="str" cm="1">
        <f t="array" ref="D1725">IFERROR(
  _xlfn.XLOOKUP(TRUE, ISNUMBER(FIND(Trefwoorden!$A$2:$A$99, E1725)), Trefwoorden!$B$2:$B$99),
  "Onbekend"
)</f>
        <v>Hospitalisatie</v>
      </c>
      <c r="E1725" t="s">
        <v>671</v>
      </c>
      <c r="F1725" t="str">
        <f>VLOOKUP(Tabel1[[#This Row],[categorie]],Lijst!A:C,3,FALSE)</f>
        <v>Uitgave</v>
      </c>
      <c r="G1725">
        <f t="shared" si="82"/>
        <v>-50.6</v>
      </c>
      <c r="H1725" t="str">
        <f>VLOOKUP(Tabel1[[#This Row],[categorie]],Lijst!A:B,2,FALSE)</f>
        <v>Vast</v>
      </c>
      <c r="I1725" t="str">
        <f t="shared" si="83"/>
        <v>OK</v>
      </c>
    </row>
    <row r="1726" spans="1:9" hidden="1" x14ac:dyDescent="0.3">
      <c r="A1726" s="2">
        <v>45901</v>
      </c>
      <c r="B1726" t="str">
        <f t="shared" si="81"/>
        <v xml:space="preserve">september </v>
      </c>
      <c r="C1726">
        <v>-100</v>
      </c>
      <c r="D1726" t="str" cm="1">
        <f t="array" ref="D1726">IFERROR(
  _xlfn.XLOOKUP(TRUE, ISNUMBER(FIND(Trefwoorden!$A$2:$A$99, E1726)), Trefwoorden!$B$2:$B$99),
  "Onbekend"
)</f>
        <v>voeding</v>
      </c>
      <c r="E1726" t="s">
        <v>672</v>
      </c>
      <c r="F1726" t="str">
        <f>VLOOKUP(Tabel1[[#This Row],[categorie]],Lijst!A:C,3,FALSE)</f>
        <v>Uitgave</v>
      </c>
      <c r="G1726">
        <f t="shared" si="82"/>
        <v>-100</v>
      </c>
      <c r="H1726" t="str">
        <f>VLOOKUP(Tabel1[[#This Row],[categorie]],Lijst!A:B,2,FALSE)</f>
        <v>Vast</v>
      </c>
      <c r="I1726" t="str">
        <f t="shared" si="83"/>
        <v>OK</v>
      </c>
    </row>
    <row r="1727" spans="1:9" hidden="1" x14ac:dyDescent="0.3">
      <c r="A1727" s="2">
        <v>45901</v>
      </c>
      <c r="B1727" t="str">
        <f t="shared" si="81"/>
        <v xml:space="preserve">september </v>
      </c>
      <c r="C1727">
        <v>-248.67</v>
      </c>
      <c r="D1727" t="s">
        <v>40</v>
      </c>
      <c r="E1727" t="s">
        <v>750</v>
      </c>
      <c r="F1727" t="str">
        <f>VLOOKUP(Tabel1[[#This Row],[categorie]],Lijst!A:C,3,FALSE)</f>
        <v>Uitgave</v>
      </c>
      <c r="G1727">
        <f t="shared" si="82"/>
        <v>-248.67</v>
      </c>
      <c r="H1727" t="str">
        <f>VLOOKUP(Tabel1[[#This Row],[categorie]],Lijst!A:B,2,FALSE)</f>
        <v>Variabel</v>
      </c>
      <c r="I1727" t="str">
        <f t="shared" si="83"/>
        <v>OK</v>
      </c>
    </row>
    <row r="1728" spans="1:9" hidden="1" x14ac:dyDescent="0.3">
      <c r="A1728" s="2">
        <v>45902</v>
      </c>
      <c r="B1728" t="str">
        <f t="shared" si="81"/>
        <v xml:space="preserve">september </v>
      </c>
      <c r="C1728">
        <v>-240.78</v>
      </c>
      <c r="D1728" t="str" cm="1">
        <f t="array" ref="D1728">IFERROR(
  _xlfn.XLOOKUP(TRUE, ISNUMBER(FIND(Trefwoorden!$A$2:$A$99, E1728)), Trefwoorden!$B$2:$B$99),
  "Onbekend"
)</f>
        <v>Gezondheid</v>
      </c>
      <c r="E1728" t="s">
        <v>652</v>
      </c>
      <c r="F1728" t="s">
        <v>18</v>
      </c>
      <c r="G1728">
        <f t="shared" si="82"/>
        <v>-240.78</v>
      </c>
      <c r="H1728" t="str">
        <f>VLOOKUP(Tabel1[[#This Row],[categorie]],Lijst!A:B,2,FALSE)</f>
        <v>Vast</v>
      </c>
      <c r="I1728" t="str">
        <f t="shared" si="83"/>
        <v>OK</v>
      </c>
    </row>
    <row r="1729" spans="1:9" hidden="1" x14ac:dyDescent="0.3">
      <c r="A1729" s="2">
        <v>45902</v>
      </c>
      <c r="B1729" t="str">
        <f t="shared" si="81"/>
        <v xml:space="preserve">september </v>
      </c>
      <c r="C1729">
        <v>100</v>
      </c>
      <c r="D1729" t="str" cm="1">
        <f t="array" ref="D1729">IFERROR(
  _xlfn.XLOOKUP(TRUE, ISNUMBER(FIND(Trefwoorden!$A$2:$A$99, E1729)), Trefwoorden!$B$2:$B$99),
  "Onbekend"
)</f>
        <v>Inkomsten Loon</v>
      </c>
      <c r="E1729" t="s">
        <v>653</v>
      </c>
      <c r="F1729" t="str">
        <f>VLOOKUP(Tabel1[[#This Row],[categorie]],Lijst!A:C,3,FALSE)</f>
        <v>Inkomst</v>
      </c>
      <c r="G1729">
        <f t="shared" si="82"/>
        <v>100</v>
      </c>
      <c r="H1729" t="str">
        <f>VLOOKUP(Tabel1[[#This Row],[categorie]],Lijst!A:B,2,FALSE)</f>
        <v>Inkomsten</v>
      </c>
      <c r="I1729" t="str">
        <f t="shared" si="83"/>
        <v>OK</v>
      </c>
    </row>
    <row r="1730" spans="1:9" hidden="1" x14ac:dyDescent="0.3">
      <c r="A1730" s="2">
        <v>45902</v>
      </c>
      <c r="B1730" t="str">
        <f t="shared" si="81"/>
        <v xml:space="preserve">september </v>
      </c>
      <c r="C1730">
        <v>-0.9</v>
      </c>
      <c r="D1730" t="str" cm="1">
        <f t="array" ref="D1730">IFERROR(
  _xlfn.XLOOKUP(TRUE, ISNUMBER(FIND(Trefwoorden!$A$2:$A$99, E1730)), Trefwoorden!$B$2:$B$99),
  "Onbekend"
)</f>
        <v>automaat De Lijn</v>
      </c>
      <c r="E1730" t="s">
        <v>654</v>
      </c>
      <c r="F1730" t="str">
        <f>VLOOKUP(Tabel1[[#This Row],[categorie]],Lijst!A:C,3,FALSE)</f>
        <v>Uitgave</v>
      </c>
      <c r="G1730">
        <f t="shared" si="82"/>
        <v>-0.9</v>
      </c>
      <c r="H1730" t="str">
        <f>VLOOKUP(Tabel1[[#This Row],[categorie]],Lijst!A:B,2,FALSE)</f>
        <v>Variabel</v>
      </c>
      <c r="I1730" t="str">
        <f t="shared" si="83"/>
        <v>OK</v>
      </c>
    </row>
    <row r="1731" spans="1:9" hidden="1" x14ac:dyDescent="0.3">
      <c r="A1731" s="2">
        <v>45902</v>
      </c>
      <c r="B1731" t="str">
        <f t="shared" si="81"/>
        <v xml:space="preserve">september </v>
      </c>
      <c r="C1731">
        <v>-96</v>
      </c>
      <c r="D1731" t="s">
        <v>35</v>
      </c>
      <c r="E1731" t="s">
        <v>655</v>
      </c>
      <c r="F1731" t="str">
        <f>VLOOKUP(Tabel1[[#This Row],[categorie]],Lijst!A:C,3,FALSE)</f>
        <v>Uitgave</v>
      </c>
      <c r="G1731">
        <f t="shared" si="82"/>
        <v>-96</v>
      </c>
      <c r="H1731" t="str">
        <f>VLOOKUP(Tabel1[[#This Row],[categorie]],Lijst!A:B,2,FALSE)</f>
        <v>Variabel</v>
      </c>
      <c r="I1731" t="str">
        <f t="shared" si="83"/>
        <v>OK</v>
      </c>
    </row>
    <row r="1732" spans="1:9" hidden="1" x14ac:dyDescent="0.3">
      <c r="A1732" s="2">
        <v>45902</v>
      </c>
      <c r="B1732" t="str">
        <f t="shared" si="81"/>
        <v xml:space="preserve">september </v>
      </c>
      <c r="C1732">
        <v>-24</v>
      </c>
      <c r="D1732" t="s">
        <v>21</v>
      </c>
      <c r="E1732" t="s">
        <v>656</v>
      </c>
      <c r="F1732" t="str">
        <f>VLOOKUP(Tabel1[[#This Row],[categorie]],Lijst!A:C,3,FALSE)</f>
        <v>Uitgave</v>
      </c>
      <c r="G1732">
        <f t="shared" si="82"/>
        <v>-24</v>
      </c>
      <c r="H1732" t="str">
        <f>VLOOKUP(Tabel1[[#This Row],[categorie]],Lijst!A:B,2,FALSE)</f>
        <v>Variabel</v>
      </c>
      <c r="I1732" t="str">
        <f t="shared" si="83"/>
        <v>OK</v>
      </c>
    </row>
    <row r="1733" spans="1:9" hidden="1" x14ac:dyDescent="0.3">
      <c r="A1733" s="2">
        <v>45903</v>
      </c>
      <c r="B1733" t="str">
        <f t="shared" si="81"/>
        <v xml:space="preserve">september </v>
      </c>
      <c r="C1733">
        <v>-7.22</v>
      </c>
      <c r="D1733" t="str" cm="1">
        <f t="array" ref="D1733">IFERROR(
  _xlfn.XLOOKUP(TRUE, ISNUMBER(FIND(Trefwoorden!$A$2:$A$99, E1733)), Trefwoorden!$B$2:$B$99),
  "Onbekend"
)</f>
        <v>voeding</v>
      </c>
      <c r="E1733" t="s">
        <v>636</v>
      </c>
      <c r="F1733" t="str">
        <f>VLOOKUP(Tabel1[[#This Row],[categorie]],Lijst!A:C,3,FALSE)</f>
        <v>Uitgave</v>
      </c>
      <c r="G1733">
        <f t="shared" si="82"/>
        <v>-7.22</v>
      </c>
      <c r="H1733" t="str">
        <f>VLOOKUP(Tabel1[[#This Row],[categorie]],Lijst!A:B,2,FALSE)</f>
        <v>Vast</v>
      </c>
      <c r="I1733" t="str">
        <f t="shared" si="83"/>
        <v>OK</v>
      </c>
    </row>
    <row r="1734" spans="1:9" hidden="1" x14ac:dyDescent="0.3">
      <c r="A1734" s="2">
        <v>45903</v>
      </c>
      <c r="B1734" t="str">
        <f t="shared" si="81"/>
        <v xml:space="preserve">september </v>
      </c>
      <c r="C1734">
        <v>-155</v>
      </c>
      <c r="D1734" t="s">
        <v>82</v>
      </c>
      <c r="E1734" t="s">
        <v>637</v>
      </c>
      <c r="F1734" t="s">
        <v>18</v>
      </c>
      <c r="G1734">
        <f t="shared" si="82"/>
        <v>-155</v>
      </c>
      <c r="H1734" t="str">
        <f>VLOOKUP(Tabel1[[#This Row],[categorie]],Lijst!A:B,2,FALSE)</f>
        <v>Vast</v>
      </c>
      <c r="I1734" t="str">
        <f t="shared" si="83"/>
        <v>OK</v>
      </c>
    </row>
    <row r="1735" spans="1:9" hidden="1" x14ac:dyDescent="0.3">
      <c r="A1735" s="2">
        <v>45903</v>
      </c>
      <c r="B1735" t="str">
        <f t="shared" si="81"/>
        <v xml:space="preserve">september </v>
      </c>
      <c r="C1735">
        <v>-62</v>
      </c>
      <c r="D1735" t="str" cm="1">
        <f t="array" ref="D1735">IFERROR(
  _xlfn.XLOOKUP(TRUE, ISNUMBER(FIND(Trefwoorden!$A$2:$A$99, E1735)), Trefwoorden!$B$2:$B$99),
  "Onbekend"
)</f>
        <v>Louis/Vis</v>
      </c>
      <c r="E1735" t="s">
        <v>644</v>
      </c>
      <c r="F1735" t="str">
        <f>VLOOKUP(Tabel1[[#This Row],[categorie]],Lijst!A:C,3,FALSE)</f>
        <v>Uitgave</v>
      </c>
      <c r="G1735">
        <f t="shared" si="82"/>
        <v>-62</v>
      </c>
      <c r="H1735" t="str">
        <f>VLOOKUP(Tabel1[[#This Row],[categorie]],Lijst!A:B,2,FALSE)</f>
        <v>Variabel</v>
      </c>
      <c r="I1735" t="str">
        <f t="shared" si="83"/>
        <v>OK</v>
      </c>
    </row>
    <row r="1736" spans="1:9" hidden="1" x14ac:dyDescent="0.3">
      <c r="A1736" s="2">
        <v>45903</v>
      </c>
      <c r="B1736" t="str">
        <f t="shared" si="81"/>
        <v xml:space="preserve">september </v>
      </c>
      <c r="C1736">
        <v>-1.5</v>
      </c>
      <c r="D1736" t="str" cm="1">
        <f t="array" ref="D1736">IFERROR(
  _xlfn.XLOOKUP(TRUE, ISNUMBER(FIND(Trefwoorden!$A$2:$A$99, E1736)), Trefwoorden!$B$2:$B$99),
  "Onbekend"
)</f>
        <v>automaat De Lijn</v>
      </c>
      <c r="E1736" t="s">
        <v>645</v>
      </c>
      <c r="F1736" t="str">
        <f>VLOOKUP(Tabel1[[#This Row],[categorie]],Lijst!A:C,3,FALSE)</f>
        <v>Uitgave</v>
      </c>
      <c r="G1736">
        <f t="shared" si="82"/>
        <v>-1.5</v>
      </c>
      <c r="H1736" t="str">
        <f>VLOOKUP(Tabel1[[#This Row],[categorie]],Lijst!A:B,2,FALSE)</f>
        <v>Variabel</v>
      </c>
      <c r="I1736" t="str">
        <f t="shared" si="83"/>
        <v>OK</v>
      </c>
    </row>
    <row r="1737" spans="1:9" hidden="1" x14ac:dyDescent="0.3">
      <c r="A1737" s="2">
        <v>45903</v>
      </c>
      <c r="B1737" t="str">
        <f t="shared" si="81"/>
        <v xml:space="preserve">september </v>
      </c>
      <c r="C1737">
        <v>-1.5</v>
      </c>
      <c r="D1737" t="str" cm="1">
        <f t="array" ref="D1737">IFERROR(
  _xlfn.XLOOKUP(TRUE, ISNUMBER(FIND(Trefwoorden!$A$2:$A$99, E1737)), Trefwoorden!$B$2:$B$99),
  "Onbekend"
)</f>
        <v>automaat De Lijn</v>
      </c>
      <c r="E1737" t="s">
        <v>646</v>
      </c>
      <c r="F1737" t="str">
        <f>VLOOKUP(Tabel1[[#This Row],[categorie]],Lijst!A:C,3,FALSE)</f>
        <v>Uitgave</v>
      </c>
      <c r="G1737">
        <f t="shared" si="82"/>
        <v>-1.5</v>
      </c>
      <c r="H1737" t="str">
        <f>VLOOKUP(Tabel1[[#This Row],[categorie]],Lijst!A:B,2,FALSE)</f>
        <v>Variabel</v>
      </c>
      <c r="I1737" t="str">
        <f t="shared" si="83"/>
        <v>OK</v>
      </c>
    </row>
    <row r="1738" spans="1:9" hidden="1" x14ac:dyDescent="0.3">
      <c r="A1738" s="2">
        <v>45903</v>
      </c>
      <c r="B1738" t="str">
        <f t="shared" si="81"/>
        <v xml:space="preserve">september </v>
      </c>
      <c r="C1738">
        <v>-20.71</v>
      </c>
      <c r="D1738" t="str" cm="1">
        <f t="array" ref="D1738">IFERROR(
  _xlfn.XLOOKUP(TRUE, ISNUMBER(FIND(Trefwoorden!$A$2:$A$99, E1738)), Trefwoorden!$B$2:$B$99),
  "Onbekend"
)</f>
        <v>vakbond</v>
      </c>
      <c r="E1738" t="s">
        <v>651</v>
      </c>
      <c r="F1738" t="s">
        <v>18</v>
      </c>
      <c r="G1738">
        <f t="shared" si="82"/>
        <v>-20.71</v>
      </c>
      <c r="H1738" t="str">
        <f>VLOOKUP(Tabel1[[#This Row],[categorie]],Lijst!A:B,2,FALSE)</f>
        <v>Vast</v>
      </c>
      <c r="I1738" t="str">
        <f t="shared" si="83"/>
        <v>OK</v>
      </c>
    </row>
    <row r="1739" spans="1:9" hidden="1" x14ac:dyDescent="0.3">
      <c r="A1739" s="2">
        <v>45904</v>
      </c>
      <c r="B1739" t="str">
        <f t="shared" si="81"/>
        <v xml:space="preserve">september </v>
      </c>
      <c r="C1739">
        <v>-5.13</v>
      </c>
      <c r="D1739" t="str" cm="1">
        <f t="array" ref="D1739">IFERROR(
  _xlfn.XLOOKUP(TRUE, ISNUMBER(FIND(Trefwoorden!$A$2:$A$99, E1739)), Trefwoorden!$B$2:$B$99),
  "Onbekend"
)</f>
        <v>voeding</v>
      </c>
      <c r="E1739" t="s">
        <v>632</v>
      </c>
      <c r="F1739" t="str">
        <f>VLOOKUP(Tabel1[[#This Row],[categorie]],Lijst!A:C,3,FALSE)</f>
        <v>Uitgave</v>
      </c>
      <c r="G1739">
        <f t="shared" si="82"/>
        <v>-5.13</v>
      </c>
      <c r="H1739" t="str">
        <f>VLOOKUP(Tabel1[[#This Row],[categorie]],Lijst!A:B,2,FALSE)</f>
        <v>Vast</v>
      </c>
      <c r="I1739" t="str">
        <f t="shared" si="83"/>
        <v>OK</v>
      </c>
    </row>
    <row r="1740" spans="1:9" hidden="1" x14ac:dyDescent="0.3">
      <c r="A1740" s="2">
        <v>45904</v>
      </c>
      <c r="B1740" t="str">
        <f t="shared" ref="B1740:B1803" si="84">TEXT(A1740,"mmmm ")</f>
        <v xml:space="preserve">september </v>
      </c>
      <c r="C1740">
        <v>-7.94</v>
      </c>
      <c r="D1740" t="str" cm="1">
        <f t="array" ref="D1740">IFERROR(
  _xlfn.XLOOKUP(TRUE, ISNUMBER(FIND(Trefwoorden!$A$2:$A$99, E1740)), Trefwoorden!$B$2:$B$99),
  "Onbekend"
)</f>
        <v>voeding</v>
      </c>
      <c r="E1740" t="s">
        <v>633</v>
      </c>
      <c r="F1740" t="str">
        <f>VLOOKUP(Tabel1[[#This Row],[categorie]],Lijst!A:C,3,FALSE)</f>
        <v>Uitgave</v>
      </c>
      <c r="G1740">
        <f t="shared" ref="G1740:G1803" si="85">IF(F1740="Uitgave", -ABS(C1740), ABS(C1740))</f>
        <v>-7.94</v>
      </c>
      <c r="H1740" t="str">
        <f>VLOOKUP(Tabel1[[#This Row],[categorie]],Lijst!A:B,2,FALSE)</f>
        <v>Vast</v>
      </c>
      <c r="I1740" t="str">
        <f t="shared" ref="I1740:I1803" si="86">IF(OR(AND(F1740="Uitgave", C1740&lt;0), AND(F1740="Inkomst", C1740&gt;0)), "OK", "FOUT")</f>
        <v>OK</v>
      </c>
    </row>
    <row r="1741" spans="1:9" hidden="1" x14ac:dyDescent="0.3">
      <c r="A1741" s="2">
        <v>45904</v>
      </c>
      <c r="B1741" t="str">
        <f t="shared" si="84"/>
        <v xml:space="preserve">september </v>
      </c>
      <c r="C1741">
        <v>-9.2899999999999991</v>
      </c>
      <c r="D1741" t="str" cm="1">
        <f t="array" ref="D1741">IFERROR(
  _xlfn.XLOOKUP(TRUE, ISNUMBER(FIND(Trefwoorden!$A$2:$A$99, E1741)), Trefwoorden!$B$2:$B$99),
  "Onbekend"
)</f>
        <v>voeding</v>
      </c>
      <c r="E1741" t="s">
        <v>638</v>
      </c>
      <c r="F1741" t="str">
        <f>VLOOKUP(Tabel1[[#This Row],[categorie]],Lijst!A:C,3,FALSE)</f>
        <v>Uitgave</v>
      </c>
      <c r="G1741">
        <f t="shared" si="85"/>
        <v>-9.2899999999999991</v>
      </c>
      <c r="H1741" t="str">
        <f>VLOOKUP(Tabel1[[#This Row],[categorie]],Lijst!A:B,2,FALSE)</f>
        <v>Vast</v>
      </c>
      <c r="I1741" t="str">
        <f t="shared" si="86"/>
        <v>OK</v>
      </c>
    </row>
    <row r="1742" spans="1:9" hidden="1" x14ac:dyDescent="0.3">
      <c r="A1742" s="2">
        <v>45904</v>
      </c>
      <c r="B1742" t="str">
        <f t="shared" si="84"/>
        <v xml:space="preserve">september </v>
      </c>
      <c r="C1742">
        <v>87</v>
      </c>
      <c r="D1742" t="str" cm="1">
        <f t="array" ref="D1742">IFERROR(
  _xlfn.XLOOKUP(TRUE, ISNUMBER(FIND(Trefwoorden!$A$2:$A$99, E1742)), Trefwoorden!$B$2:$B$99),
  "Onbekend"
)</f>
        <v>Gezondheid</v>
      </c>
      <c r="E1742" t="s">
        <v>639</v>
      </c>
      <c r="F1742" t="s">
        <v>17</v>
      </c>
      <c r="G1742">
        <f t="shared" si="85"/>
        <v>87</v>
      </c>
      <c r="H1742" t="str">
        <f>VLOOKUP(Tabel1[[#This Row],[categorie]],Lijst!A:B,2,FALSE)</f>
        <v>Vast</v>
      </c>
      <c r="I1742" t="str">
        <f t="shared" si="86"/>
        <v>OK</v>
      </c>
    </row>
    <row r="1743" spans="1:9" hidden="1" x14ac:dyDescent="0.3">
      <c r="A1743" s="2">
        <v>45904</v>
      </c>
      <c r="B1743" t="str">
        <f t="shared" si="84"/>
        <v xml:space="preserve">september </v>
      </c>
      <c r="C1743">
        <v>-82</v>
      </c>
      <c r="D1743" t="str" cm="1">
        <f t="array" ref="D1743">IFERROR(
  _xlfn.XLOOKUP(TRUE, ISNUMBER(FIND(Trefwoorden!$A$2:$A$99, E1743)), Trefwoorden!$B$2:$B$99),
  "Onbekend"
)</f>
        <v>Bol</v>
      </c>
      <c r="E1743" t="s">
        <v>640</v>
      </c>
      <c r="F1743" t="str">
        <f>VLOOKUP(Tabel1[[#This Row],[categorie]],Lijst!A:C,3,FALSE)</f>
        <v>Uitgave</v>
      </c>
      <c r="G1743">
        <f t="shared" si="85"/>
        <v>-82</v>
      </c>
      <c r="H1743" t="str">
        <f>VLOOKUP(Tabel1[[#This Row],[categorie]],Lijst!A:B,2,FALSE)</f>
        <v>Variabel</v>
      </c>
      <c r="I1743" t="str">
        <f t="shared" si="86"/>
        <v>OK</v>
      </c>
    </row>
    <row r="1744" spans="1:9" hidden="1" x14ac:dyDescent="0.3">
      <c r="A1744" s="2">
        <v>45904</v>
      </c>
      <c r="B1744" t="str">
        <f t="shared" si="84"/>
        <v xml:space="preserve">september </v>
      </c>
      <c r="C1744">
        <v>-60</v>
      </c>
      <c r="D1744" t="str" cm="1">
        <f t="array" ref="D1744">IFERROR(
  _xlfn.XLOOKUP(TRUE, ISNUMBER(FIND(Trefwoorden!$A$2:$A$99, E1744)), Trefwoorden!$B$2:$B$99),
  "Onbekend"
)</f>
        <v>Laserontharing</v>
      </c>
      <c r="E1744" t="s">
        <v>641</v>
      </c>
      <c r="F1744" t="str">
        <f>VLOOKUP(Tabel1[[#This Row],[categorie]],Lijst!A:C,3,FALSE)</f>
        <v>Uitgave</v>
      </c>
      <c r="G1744">
        <f t="shared" si="85"/>
        <v>-60</v>
      </c>
      <c r="H1744" t="str">
        <f>VLOOKUP(Tabel1[[#This Row],[categorie]],Lijst!A:B,2,FALSE)</f>
        <v>Variabel</v>
      </c>
      <c r="I1744" t="str">
        <f t="shared" si="86"/>
        <v>OK</v>
      </c>
    </row>
    <row r="1745" spans="1:9" hidden="1" x14ac:dyDescent="0.3">
      <c r="A1745" s="2">
        <v>45904</v>
      </c>
      <c r="B1745" t="str">
        <f t="shared" si="84"/>
        <v xml:space="preserve">september </v>
      </c>
      <c r="C1745">
        <v>-12</v>
      </c>
      <c r="D1745" t="s">
        <v>71</v>
      </c>
      <c r="E1745" t="s">
        <v>642</v>
      </c>
      <c r="F1745" t="str">
        <f>VLOOKUP(Tabel1[[#This Row],[categorie]],Lijst!A:C,3,FALSE)</f>
        <v>Uitgave</v>
      </c>
      <c r="G1745">
        <f t="shared" si="85"/>
        <v>-12</v>
      </c>
      <c r="H1745" t="str">
        <f>VLOOKUP(Tabel1[[#This Row],[categorie]],Lijst!A:B,2,FALSE)</f>
        <v>Variabel</v>
      </c>
      <c r="I1745" t="str">
        <f t="shared" si="86"/>
        <v>OK</v>
      </c>
    </row>
    <row r="1746" spans="1:9" hidden="1" x14ac:dyDescent="0.3">
      <c r="A1746" s="2">
        <v>45904</v>
      </c>
      <c r="B1746" t="str">
        <f t="shared" si="84"/>
        <v xml:space="preserve">september </v>
      </c>
      <c r="C1746">
        <v>-33.72</v>
      </c>
      <c r="D1746" t="str" cm="1">
        <f t="array" ref="D1746">IFERROR(
  _xlfn.XLOOKUP(TRUE, ISNUMBER(FIND(Trefwoorden!$A$2:$A$99, E1746)), Trefwoorden!$B$2:$B$99),
  "Onbekend"
)</f>
        <v>Laadbeurt</v>
      </c>
      <c r="E1746" t="s">
        <v>643</v>
      </c>
      <c r="F1746" t="str">
        <f>VLOOKUP(Tabel1[[#This Row],[categorie]],Lijst!A:C,3,FALSE)</f>
        <v>Uitgave</v>
      </c>
      <c r="G1746">
        <f t="shared" si="85"/>
        <v>-33.72</v>
      </c>
      <c r="H1746" t="str">
        <f>VLOOKUP(Tabel1[[#This Row],[categorie]],Lijst!A:B,2,FALSE)</f>
        <v>Vast</v>
      </c>
      <c r="I1746" t="str">
        <f t="shared" si="86"/>
        <v>OK</v>
      </c>
    </row>
    <row r="1747" spans="1:9" hidden="1" x14ac:dyDescent="0.3">
      <c r="A1747" s="2">
        <v>45905</v>
      </c>
      <c r="B1747" t="str">
        <f t="shared" si="84"/>
        <v xml:space="preserve">september </v>
      </c>
      <c r="C1747">
        <v>-8.2100000000000009</v>
      </c>
      <c r="D1747" t="str" cm="1">
        <f t="array" ref="D1747">IFERROR(
  _xlfn.XLOOKUP(TRUE, ISNUMBER(FIND(Trefwoorden!$A$2:$A$99, E1747)), Trefwoorden!$B$2:$B$99),
  "Onbekend"
)</f>
        <v>Gezondheid</v>
      </c>
      <c r="E1747" t="s">
        <v>627</v>
      </c>
      <c r="F1747" t="s">
        <v>18</v>
      </c>
      <c r="G1747">
        <f t="shared" si="85"/>
        <v>-8.2100000000000009</v>
      </c>
      <c r="H1747" t="str">
        <f>VLOOKUP(Tabel1[[#This Row],[categorie]],Lijst!A:B,2,FALSE)</f>
        <v>Vast</v>
      </c>
      <c r="I1747" t="str">
        <f t="shared" si="86"/>
        <v>OK</v>
      </c>
    </row>
    <row r="1748" spans="1:9" hidden="1" x14ac:dyDescent="0.3">
      <c r="A1748" s="2">
        <v>45905</v>
      </c>
      <c r="B1748" t="str">
        <f t="shared" si="84"/>
        <v xml:space="preserve">september </v>
      </c>
      <c r="C1748">
        <v>-10</v>
      </c>
      <c r="D1748" t="s">
        <v>35</v>
      </c>
      <c r="E1748" t="s">
        <v>628</v>
      </c>
      <c r="F1748" t="str">
        <f>VLOOKUP(Tabel1[[#This Row],[categorie]],Lijst!A:C,3,FALSE)</f>
        <v>Uitgave</v>
      </c>
      <c r="G1748">
        <f t="shared" si="85"/>
        <v>-10</v>
      </c>
      <c r="H1748" t="str">
        <f>VLOOKUP(Tabel1[[#This Row],[categorie]],Lijst!A:B,2,FALSE)</f>
        <v>Variabel</v>
      </c>
      <c r="I1748" t="str">
        <f t="shared" si="86"/>
        <v>OK</v>
      </c>
    </row>
    <row r="1749" spans="1:9" hidden="1" x14ac:dyDescent="0.3">
      <c r="A1749" s="2">
        <v>45905</v>
      </c>
      <c r="B1749" t="str">
        <f t="shared" si="84"/>
        <v xml:space="preserve">september </v>
      </c>
      <c r="C1749">
        <v>-4</v>
      </c>
      <c r="D1749" t="str" cm="1">
        <f t="array" ref="D1749">IFERROR(
  _xlfn.XLOOKUP(TRUE, ISNUMBER(FIND(Trefwoorden!$A$2:$A$99, E1749)), Trefwoorden!$B$2:$B$99),
  "Onbekend"
)</f>
        <v>Gezondheid</v>
      </c>
      <c r="E1749" t="s">
        <v>630</v>
      </c>
      <c r="F1749" t="s">
        <v>18</v>
      </c>
      <c r="G1749">
        <f t="shared" si="85"/>
        <v>-4</v>
      </c>
      <c r="H1749" t="str">
        <f>VLOOKUP(Tabel1[[#This Row],[categorie]],Lijst!A:B,2,FALSE)</f>
        <v>Vast</v>
      </c>
      <c r="I1749" t="str">
        <f t="shared" si="86"/>
        <v>OK</v>
      </c>
    </row>
    <row r="1750" spans="1:9" hidden="1" x14ac:dyDescent="0.3">
      <c r="A1750" s="2">
        <v>45905</v>
      </c>
      <c r="B1750" t="str">
        <f t="shared" si="84"/>
        <v xml:space="preserve">september </v>
      </c>
      <c r="C1750">
        <v>44.8</v>
      </c>
      <c r="D1750" t="s">
        <v>82</v>
      </c>
      <c r="E1750" t="s">
        <v>631</v>
      </c>
      <c r="F1750" t="s">
        <v>17</v>
      </c>
      <c r="G1750">
        <f t="shared" si="85"/>
        <v>44.8</v>
      </c>
      <c r="H1750" t="str">
        <f>VLOOKUP(Tabel1[[#This Row],[categorie]],Lijst!A:B,2,FALSE)</f>
        <v>Vast</v>
      </c>
      <c r="I1750" t="str">
        <f t="shared" si="86"/>
        <v>OK</v>
      </c>
    </row>
    <row r="1751" spans="1:9" hidden="1" x14ac:dyDescent="0.3">
      <c r="A1751" s="2">
        <v>45905</v>
      </c>
      <c r="B1751" t="str">
        <f t="shared" si="84"/>
        <v xml:space="preserve">september </v>
      </c>
      <c r="C1751">
        <v>-12.01</v>
      </c>
      <c r="D1751" t="str" cm="1">
        <f t="array" ref="D1751">IFERROR(
  _xlfn.XLOOKUP(TRUE, ISNUMBER(FIND(Trefwoorden!$A$2:$A$99, E1751)), Trefwoorden!$B$2:$B$99),
  "Onbekend"
)</f>
        <v>Euromex</v>
      </c>
      <c r="E1751" t="s">
        <v>634</v>
      </c>
      <c r="F1751" t="str">
        <f>VLOOKUP(Tabel1[[#This Row],[categorie]],Lijst!A:C,3,FALSE)</f>
        <v>Uitgave</v>
      </c>
      <c r="G1751">
        <f t="shared" si="85"/>
        <v>-12.01</v>
      </c>
      <c r="H1751" t="str">
        <f>VLOOKUP(Tabel1[[#This Row],[categorie]],Lijst!A:B,2,FALSE)</f>
        <v>Vast</v>
      </c>
      <c r="I1751" t="str">
        <f t="shared" si="86"/>
        <v>OK</v>
      </c>
    </row>
    <row r="1752" spans="1:9" hidden="1" x14ac:dyDescent="0.3">
      <c r="A1752" s="2">
        <v>45905</v>
      </c>
      <c r="B1752" t="str">
        <f t="shared" si="84"/>
        <v xml:space="preserve">september </v>
      </c>
      <c r="C1752">
        <v>-96.82</v>
      </c>
      <c r="D1752" t="s">
        <v>13</v>
      </c>
      <c r="E1752" t="s">
        <v>635</v>
      </c>
      <c r="F1752" t="str">
        <f>VLOOKUP(Tabel1[[#This Row],[categorie]],Lijst!A:C,3,FALSE)</f>
        <v>Uitgave</v>
      </c>
      <c r="G1752">
        <f t="shared" si="85"/>
        <v>-96.82</v>
      </c>
      <c r="H1752" t="str">
        <f>VLOOKUP(Tabel1[[#This Row],[categorie]],Lijst!A:B,2,FALSE)</f>
        <v>Vast</v>
      </c>
      <c r="I1752" t="str">
        <f t="shared" si="86"/>
        <v>OK</v>
      </c>
    </row>
    <row r="1753" spans="1:9" hidden="1" x14ac:dyDescent="0.3">
      <c r="A1753" s="2">
        <v>45906</v>
      </c>
      <c r="B1753" t="str">
        <f t="shared" si="84"/>
        <v xml:space="preserve">september </v>
      </c>
      <c r="C1753">
        <v>-2.99</v>
      </c>
      <c r="D1753" t="str" cm="1">
        <f t="array" ref="D1753">IFERROR(
  _xlfn.XLOOKUP(TRUE, ISNUMBER(FIND(Trefwoorden!$A$2:$A$99, E1753)), Trefwoorden!$B$2:$B$99),
  "Onbekend"
)</f>
        <v>AVA</v>
      </c>
      <c r="E1753" t="s">
        <v>625</v>
      </c>
      <c r="F1753" t="str">
        <f>VLOOKUP(Tabel1[[#This Row],[categorie]],Lijst!A:C,3,FALSE)</f>
        <v>Uitgave</v>
      </c>
      <c r="G1753">
        <f t="shared" si="85"/>
        <v>-2.99</v>
      </c>
      <c r="H1753" t="str">
        <f>VLOOKUP(Tabel1[[#This Row],[categorie]],Lijst!A:B,2,FALSE)</f>
        <v>Variabel</v>
      </c>
      <c r="I1753" t="str">
        <f t="shared" si="86"/>
        <v>OK</v>
      </c>
    </row>
    <row r="1754" spans="1:9" hidden="1" x14ac:dyDescent="0.3">
      <c r="A1754" s="2">
        <v>45906</v>
      </c>
      <c r="B1754" t="str">
        <f t="shared" si="84"/>
        <v xml:space="preserve">september </v>
      </c>
      <c r="C1754">
        <v>-12.39</v>
      </c>
      <c r="D1754" t="str" cm="1">
        <f t="array" ref="D1754">IFERROR(
  _xlfn.XLOOKUP(TRUE, ISNUMBER(FIND(Trefwoorden!$A$2:$A$99, E1754)), Trefwoorden!$B$2:$B$99),
  "Onbekend"
)</f>
        <v>voeding</v>
      </c>
      <c r="E1754" t="s">
        <v>626</v>
      </c>
      <c r="F1754" t="str">
        <f>VLOOKUP(Tabel1[[#This Row],[categorie]],Lijst!A:C,3,FALSE)</f>
        <v>Uitgave</v>
      </c>
      <c r="G1754">
        <f t="shared" si="85"/>
        <v>-12.39</v>
      </c>
      <c r="H1754" t="str">
        <f>VLOOKUP(Tabel1[[#This Row],[categorie]],Lijst!A:B,2,FALSE)</f>
        <v>Vast</v>
      </c>
      <c r="I1754" t="str">
        <f t="shared" si="86"/>
        <v>OK</v>
      </c>
    </row>
    <row r="1755" spans="1:9" hidden="1" x14ac:dyDescent="0.3">
      <c r="A1755" s="2">
        <v>45906</v>
      </c>
      <c r="B1755" t="str">
        <f t="shared" si="84"/>
        <v xml:space="preserve">september </v>
      </c>
      <c r="C1755">
        <v>-125.81</v>
      </c>
      <c r="D1755" t="s">
        <v>24</v>
      </c>
      <c r="E1755" t="s">
        <v>629</v>
      </c>
      <c r="F1755" t="str">
        <f>VLOOKUP(Tabel1[[#This Row],[categorie]],Lijst!A:C,3,FALSE)</f>
        <v>Uitgave</v>
      </c>
      <c r="G1755">
        <f t="shared" si="85"/>
        <v>-125.81</v>
      </c>
      <c r="H1755" t="str">
        <f>VLOOKUP(Tabel1[[#This Row],[categorie]],Lijst!A:B,2,FALSE)</f>
        <v>Vast</v>
      </c>
      <c r="I1755" t="str">
        <f t="shared" si="86"/>
        <v>OK</v>
      </c>
    </row>
    <row r="1756" spans="1:9" hidden="1" x14ac:dyDescent="0.3">
      <c r="A1756" s="2">
        <v>45907</v>
      </c>
      <c r="B1756" t="str">
        <f t="shared" si="84"/>
        <v xml:space="preserve">september </v>
      </c>
      <c r="C1756">
        <v>-33.4</v>
      </c>
      <c r="D1756" t="s">
        <v>9</v>
      </c>
      <c r="E1756" t="s">
        <v>618</v>
      </c>
      <c r="F1756" t="s">
        <v>18</v>
      </c>
      <c r="G1756">
        <f t="shared" si="85"/>
        <v>-33.4</v>
      </c>
      <c r="H1756" t="str">
        <f>VLOOKUP(Tabel1[[#This Row],[categorie]],Lijst!A:B,2,FALSE)</f>
        <v>Variabel</v>
      </c>
      <c r="I1756" t="str">
        <f t="shared" si="86"/>
        <v>OK</v>
      </c>
    </row>
    <row r="1757" spans="1:9" hidden="1" x14ac:dyDescent="0.3">
      <c r="A1757" s="2">
        <v>45907</v>
      </c>
      <c r="B1757" t="str">
        <f t="shared" si="84"/>
        <v xml:space="preserve">september </v>
      </c>
      <c r="C1757">
        <v>-3.54</v>
      </c>
      <c r="D1757" t="str" cm="1">
        <f t="array" ref="D1757">IFERROR(
  _xlfn.XLOOKUP(TRUE, ISNUMBER(FIND(Trefwoorden!$A$2:$A$99, E1757)), Trefwoorden!$B$2:$B$99),
  "Onbekend"
)</f>
        <v>voeding</v>
      </c>
      <c r="E1757" t="s">
        <v>619</v>
      </c>
      <c r="F1757" t="str">
        <f>VLOOKUP(Tabel1[[#This Row],[categorie]],Lijst!A:C,3,FALSE)</f>
        <v>Uitgave</v>
      </c>
      <c r="G1757">
        <f t="shared" si="85"/>
        <v>-3.54</v>
      </c>
      <c r="H1757" t="str">
        <f>VLOOKUP(Tabel1[[#This Row],[categorie]],Lijst!A:B,2,FALSE)</f>
        <v>Vast</v>
      </c>
      <c r="I1757" t="str">
        <f t="shared" si="86"/>
        <v>OK</v>
      </c>
    </row>
    <row r="1758" spans="1:9" hidden="1" x14ac:dyDescent="0.3">
      <c r="A1758" s="2">
        <v>45907</v>
      </c>
      <c r="B1758" t="str">
        <f t="shared" si="84"/>
        <v xml:space="preserve">september </v>
      </c>
      <c r="C1758">
        <v>-38.56</v>
      </c>
      <c r="D1758" t="str" cm="1">
        <f t="array" ref="D1758">IFERROR(
  _xlfn.XLOOKUP(TRUE, ISNUMBER(FIND(Trefwoorden!$A$2:$A$99, E1758)), Trefwoorden!$B$2:$B$99),
  "Onbekend"
)</f>
        <v>kruidvat</v>
      </c>
      <c r="E1758" t="s">
        <v>620</v>
      </c>
      <c r="F1758" t="str">
        <f>VLOOKUP(Tabel1[[#This Row],[categorie]],Lijst!A:C,3,FALSE)</f>
        <v>Uitgave</v>
      </c>
      <c r="G1758">
        <f t="shared" si="85"/>
        <v>-38.56</v>
      </c>
      <c r="H1758" t="str">
        <f>VLOOKUP(Tabel1[[#This Row],[categorie]],Lijst!A:B,2,FALSE)</f>
        <v>Variabel</v>
      </c>
      <c r="I1758" t="str">
        <f t="shared" si="86"/>
        <v>OK</v>
      </c>
    </row>
    <row r="1759" spans="1:9" hidden="1" x14ac:dyDescent="0.3">
      <c r="A1759" s="2">
        <v>45908</v>
      </c>
      <c r="B1759" t="str">
        <f t="shared" si="84"/>
        <v xml:space="preserve">september </v>
      </c>
      <c r="C1759">
        <v>-19.600000000000001</v>
      </c>
      <c r="D1759" t="s">
        <v>35</v>
      </c>
      <c r="E1759" t="s">
        <v>612</v>
      </c>
      <c r="F1759" t="str">
        <f>VLOOKUP(Tabel1[[#This Row],[categorie]],Lijst!A:C,3,FALSE)</f>
        <v>Uitgave</v>
      </c>
      <c r="G1759">
        <f t="shared" si="85"/>
        <v>-19.600000000000001</v>
      </c>
      <c r="H1759" t="str">
        <f>VLOOKUP(Tabel1[[#This Row],[categorie]],Lijst!A:B,2,FALSE)</f>
        <v>Variabel</v>
      </c>
      <c r="I1759" t="str">
        <f t="shared" si="86"/>
        <v>OK</v>
      </c>
    </row>
    <row r="1760" spans="1:9" hidden="1" x14ac:dyDescent="0.3">
      <c r="A1760" s="2">
        <v>45908</v>
      </c>
      <c r="B1760" t="str">
        <f t="shared" si="84"/>
        <v xml:space="preserve">september </v>
      </c>
      <c r="C1760">
        <v>-14</v>
      </c>
      <c r="D1760" t="str" cm="1">
        <f t="array" ref="D1760">IFERROR(
  _xlfn.XLOOKUP(TRUE, ISNUMBER(FIND(Trefwoorden!$A$2:$A$99, E1760)), Trefwoorden!$B$2:$B$99),
  "Onbekend"
)</f>
        <v>EuroShop</v>
      </c>
      <c r="E1760" t="s">
        <v>613</v>
      </c>
      <c r="F1760" t="str">
        <f>VLOOKUP(Tabel1[[#This Row],[categorie]],Lijst!A:C,3,FALSE)</f>
        <v>Uitgave</v>
      </c>
      <c r="G1760">
        <f t="shared" si="85"/>
        <v>-14</v>
      </c>
      <c r="H1760" t="str">
        <f>VLOOKUP(Tabel1[[#This Row],[categorie]],Lijst!A:B,2,FALSE)</f>
        <v>Variabel</v>
      </c>
      <c r="I1760" t="str">
        <f t="shared" si="86"/>
        <v>OK</v>
      </c>
    </row>
    <row r="1761" spans="1:9" hidden="1" x14ac:dyDescent="0.3">
      <c r="A1761" s="2">
        <v>45908</v>
      </c>
      <c r="B1761" t="str">
        <f t="shared" si="84"/>
        <v xml:space="preserve">september </v>
      </c>
      <c r="C1761">
        <v>-10.29</v>
      </c>
      <c r="D1761" t="str" cm="1">
        <f t="array" ref="D1761">IFERROR(
  _xlfn.XLOOKUP(TRUE, ISNUMBER(FIND(Trefwoorden!$A$2:$A$99, E1761)), Trefwoorden!$B$2:$B$99),
  "Onbekend"
)</f>
        <v>voeding</v>
      </c>
      <c r="E1761" t="s">
        <v>614</v>
      </c>
      <c r="F1761" t="str">
        <f>VLOOKUP(Tabel1[[#This Row],[categorie]],Lijst!A:C,3,FALSE)</f>
        <v>Uitgave</v>
      </c>
      <c r="G1761">
        <f t="shared" si="85"/>
        <v>-10.29</v>
      </c>
      <c r="H1761" t="str">
        <f>VLOOKUP(Tabel1[[#This Row],[categorie]],Lijst!A:B,2,FALSE)</f>
        <v>Vast</v>
      </c>
      <c r="I1761" t="str">
        <f t="shared" si="86"/>
        <v>OK</v>
      </c>
    </row>
    <row r="1762" spans="1:9" hidden="1" x14ac:dyDescent="0.3">
      <c r="A1762" s="2">
        <v>45908</v>
      </c>
      <c r="B1762" t="str">
        <f t="shared" si="84"/>
        <v xml:space="preserve">september </v>
      </c>
      <c r="C1762">
        <v>-6.71</v>
      </c>
      <c r="D1762" t="str" cm="1">
        <f t="array" ref="D1762">IFERROR(
  _xlfn.XLOOKUP(TRUE, ISNUMBER(FIND(Trefwoorden!$A$2:$A$99, E1762)), Trefwoorden!$B$2:$B$99),
  "Onbekend"
)</f>
        <v>voeding</v>
      </c>
      <c r="E1762" t="s">
        <v>615</v>
      </c>
      <c r="F1762" t="str">
        <f>VLOOKUP(Tabel1[[#This Row],[categorie]],Lijst!A:C,3,FALSE)</f>
        <v>Uitgave</v>
      </c>
      <c r="G1762">
        <f t="shared" si="85"/>
        <v>-6.71</v>
      </c>
      <c r="H1762" t="str">
        <f>VLOOKUP(Tabel1[[#This Row],[categorie]],Lijst!A:B,2,FALSE)</f>
        <v>Vast</v>
      </c>
      <c r="I1762" t="str">
        <f t="shared" si="86"/>
        <v>OK</v>
      </c>
    </row>
    <row r="1763" spans="1:9" hidden="1" x14ac:dyDescent="0.3">
      <c r="A1763" s="2">
        <v>45908</v>
      </c>
      <c r="B1763" t="str">
        <f t="shared" si="84"/>
        <v xml:space="preserve">september </v>
      </c>
      <c r="C1763">
        <v>-5.88</v>
      </c>
      <c r="D1763" t="s">
        <v>75</v>
      </c>
      <c r="E1763" t="s">
        <v>616</v>
      </c>
      <c r="F1763" t="s">
        <v>18</v>
      </c>
      <c r="G1763">
        <f t="shared" si="85"/>
        <v>-5.88</v>
      </c>
      <c r="H1763" t="str">
        <f>VLOOKUP(Tabel1[[#This Row],[categorie]],Lijst!A:B,2,FALSE)</f>
        <v>Variabel</v>
      </c>
      <c r="I1763" t="str">
        <f t="shared" si="86"/>
        <v>OK</v>
      </c>
    </row>
    <row r="1764" spans="1:9" hidden="1" x14ac:dyDescent="0.3">
      <c r="A1764" s="2">
        <v>45908</v>
      </c>
      <c r="B1764" t="str">
        <f t="shared" si="84"/>
        <v xml:space="preserve">september </v>
      </c>
      <c r="C1764">
        <v>-1.5</v>
      </c>
      <c r="D1764" t="str" cm="1">
        <f t="array" ref="D1764">IFERROR(
  _xlfn.XLOOKUP(TRUE, ISNUMBER(FIND(Trefwoorden!$A$2:$A$99, E1764)), Trefwoorden!$B$2:$B$99),
  "Onbekend"
)</f>
        <v>automaat De Lijn</v>
      </c>
      <c r="E1764" t="s">
        <v>621</v>
      </c>
      <c r="F1764" t="str">
        <f>VLOOKUP(Tabel1[[#This Row],[categorie]],Lijst!A:C,3,FALSE)</f>
        <v>Uitgave</v>
      </c>
      <c r="G1764">
        <f t="shared" si="85"/>
        <v>-1.5</v>
      </c>
      <c r="H1764" t="str">
        <f>VLOOKUP(Tabel1[[#This Row],[categorie]],Lijst!A:B,2,FALSE)</f>
        <v>Variabel</v>
      </c>
      <c r="I1764" t="str">
        <f t="shared" si="86"/>
        <v>OK</v>
      </c>
    </row>
    <row r="1765" spans="1:9" hidden="1" x14ac:dyDescent="0.3">
      <c r="A1765" s="2">
        <v>45908</v>
      </c>
      <c r="B1765" t="str">
        <f t="shared" si="84"/>
        <v xml:space="preserve">september </v>
      </c>
      <c r="C1765">
        <v>-1.5</v>
      </c>
      <c r="D1765" t="str" cm="1">
        <f t="array" ref="D1765">IFERROR(
  _xlfn.XLOOKUP(TRUE, ISNUMBER(FIND(Trefwoorden!$A$2:$A$99, E1765)), Trefwoorden!$B$2:$B$99),
  "Onbekend"
)</f>
        <v>automaat De Lijn</v>
      </c>
      <c r="E1765" t="s">
        <v>622</v>
      </c>
      <c r="F1765" t="str">
        <f>VLOOKUP(Tabel1[[#This Row],[categorie]],Lijst!A:C,3,FALSE)</f>
        <v>Uitgave</v>
      </c>
      <c r="G1765">
        <f t="shared" si="85"/>
        <v>-1.5</v>
      </c>
      <c r="H1765" t="str">
        <f>VLOOKUP(Tabel1[[#This Row],[categorie]],Lijst!A:B,2,FALSE)</f>
        <v>Variabel</v>
      </c>
      <c r="I1765" t="str">
        <f t="shared" si="86"/>
        <v>OK</v>
      </c>
    </row>
    <row r="1766" spans="1:9" hidden="1" x14ac:dyDescent="0.3">
      <c r="A1766" s="2">
        <v>45908</v>
      </c>
      <c r="B1766" t="str">
        <f t="shared" si="84"/>
        <v xml:space="preserve">september </v>
      </c>
      <c r="C1766">
        <v>-1.5</v>
      </c>
      <c r="D1766" t="str" cm="1">
        <f t="array" ref="D1766">IFERROR(
  _xlfn.XLOOKUP(TRUE, ISNUMBER(FIND(Trefwoorden!$A$2:$A$99, E1766)), Trefwoorden!$B$2:$B$99),
  "Onbekend"
)</f>
        <v>automaat De Lijn</v>
      </c>
      <c r="E1766" t="s">
        <v>623</v>
      </c>
      <c r="F1766" t="str">
        <f>VLOOKUP(Tabel1[[#This Row],[categorie]],Lijst!A:C,3,FALSE)</f>
        <v>Uitgave</v>
      </c>
      <c r="G1766">
        <f t="shared" si="85"/>
        <v>-1.5</v>
      </c>
      <c r="H1766" t="str">
        <f>VLOOKUP(Tabel1[[#This Row],[categorie]],Lijst!A:B,2,FALSE)</f>
        <v>Variabel</v>
      </c>
      <c r="I1766" t="str">
        <f t="shared" si="86"/>
        <v>OK</v>
      </c>
    </row>
    <row r="1767" spans="1:9" hidden="1" x14ac:dyDescent="0.3">
      <c r="A1767" s="2">
        <v>45908</v>
      </c>
      <c r="B1767" t="str">
        <f t="shared" si="84"/>
        <v xml:space="preserve">september </v>
      </c>
      <c r="C1767">
        <v>-810.65</v>
      </c>
      <c r="D1767" t="str" cm="1">
        <f t="array" ref="D1767">IFERROR(
  _xlfn.XLOOKUP(TRUE, ISNUMBER(FIND(Trefwoorden!$A$2:$A$99, E1767)), Trefwoorden!$B$2:$B$99),
  "Onbekend"
)</f>
        <v>Hypotheek</v>
      </c>
      <c r="E1767" t="s">
        <v>624</v>
      </c>
      <c r="F1767" t="str">
        <f>VLOOKUP(Tabel1[[#This Row],[categorie]],Lijst!A:C,3,FALSE)</f>
        <v>Uitgave</v>
      </c>
      <c r="G1767">
        <f t="shared" si="85"/>
        <v>-810.65</v>
      </c>
      <c r="H1767" t="str">
        <f>VLOOKUP(Tabel1[[#This Row],[categorie]],Lijst!A:B,2,FALSE)</f>
        <v>Vast</v>
      </c>
      <c r="I1767" t="str">
        <f t="shared" si="86"/>
        <v>OK</v>
      </c>
    </row>
    <row r="1768" spans="1:9" hidden="1" x14ac:dyDescent="0.3">
      <c r="A1768" s="2">
        <v>45909</v>
      </c>
      <c r="B1768" t="str">
        <f t="shared" si="84"/>
        <v xml:space="preserve">september </v>
      </c>
      <c r="C1768">
        <v>-1.5</v>
      </c>
      <c r="D1768" t="str" cm="1">
        <f t="array" ref="D1768">IFERROR(
  _xlfn.XLOOKUP(TRUE, ISNUMBER(FIND(Trefwoorden!$A$2:$A$99, E1768)), Trefwoorden!$B$2:$B$99),
  "Onbekend"
)</f>
        <v>automaat De Lijn</v>
      </c>
      <c r="E1768" t="s">
        <v>617</v>
      </c>
      <c r="F1768" t="str">
        <f>VLOOKUP(Tabel1[[#This Row],[categorie]],Lijst!A:C,3,FALSE)</f>
        <v>Uitgave</v>
      </c>
      <c r="G1768">
        <f t="shared" si="85"/>
        <v>-1.5</v>
      </c>
      <c r="H1768" t="str">
        <f>VLOOKUP(Tabel1[[#This Row],[categorie]],Lijst!A:B,2,FALSE)</f>
        <v>Variabel</v>
      </c>
      <c r="I1768" t="str">
        <f t="shared" si="86"/>
        <v>OK</v>
      </c>
    </row>
    <row r="1769" spans="1:9" hidden="1" x14ac:dyDescent="0.3">
      <c r="A1769" s="2">
        <v>45910</v>
      </c>
      <c r="B1769" t="str">
        <f t="shared" si="84"/>
        <v xml:space="preserve">september </v>
      </c>
      <c r="C1769">
        <v>-2.82</v>
      </c>
      <c r="D1769" t="str" cm="1">
        <f t="array" ref="D1769">IFERROR(
  _xlfn.XLOOKUP(TRUE, ISNUMBER(FIND(Trefwoorden!$A$2:$A$99, E1769)), Trefwoorden!$B$2:$B$99),
  "Onbekend"
)</f>
        <v>voeding</v>
      </c>
      <c r="E1769" t="s">
        <v>602</v>
      </c>
      <c r="F1769" t="str">
        <f>VLOOKUP(Tabel1[[#This Row],[categorie]],Lijst!A:C,3,FALSE)</f>
        <v>Uitgave</v>
      </c>
      <c r="G1769">
        <f t="shared" si="85"/>
        <v>-2.82</v>
      </c>
      <c r="H1769" t="str">
        <f>VLOOKUP(Tabel1[[#This Row],[categorie]],Lijst!A:B,2,FALSE)</f>
        <v>Vast</v>
      </c>
      <c r="I1769" t="str">
        <f t="shared" si="86"/>
        <v>OK</v>
      </c>
    </row>
    <row r="1770" spans="1:9" hidden="1" x14ac:dyDescent="0.3">
      <c r="A1770" s="2">
        <v>45910</v>
      </c>
      <c r="B1770" t="str">
        <f t="shared" si="84"/>
        <v xml:space="preserve">september </v>
      </c>
      <c r="C1770">
        <v>-5.89</v>
      </c>
      <c r="D1770" t="str" cm="1">
        <f t="array" ref="D1770">IFERROR(
  _xlfn.XLOOKUP(TRUE, ISNUMBER(FIND(Trefwoorden!$A$2:$A$99, E1770)), Trefwoorden!$B$2:$B$99),
  "Onbekend"
)</f>
        <v>voeding</v>
      </c>
      <c r="E1770" t="s">
        <v>603</v>
      </c>
      <c r="F1770" t="str">
        <f>VLOOKUP(Tabel1[[#This Row],[categorie]],Lijst!A:C,3,FALSE)</f>
        <v>Uitgave</v>
      </c>
      <c r="G1770">
        <f t="shared" si="85"/>
        <v>-5.89</v>
      </c>
      <c r="H1770" t="str">
        <f>VLOOKUP(Tabel1[[#This Row],[categorie]],Lijst!A:B,2,FALSE)</f>
        <v>Vast</v>
      </c>
      <c r="I1770" t="str">
        <f t="shared" si="86"/>
        <v>OK</v>
      </c>
    </row>
    <row r="1771" spans="1:9" hidden="1" x14ac:dyDescent="0.3">
      <c r="A1771" s="2">
        <v>45910</v>
      </c>
      <c r="B1771" t="str">
        <f t="shared" si="84"/>
        <v xml:space="preserve">september </v>
      </c>
      <c r="C1771">
        <v>-8.81</v>
      </c>
      <c r="D1771" t="str" cm="1">
        <f t="array" ref="D1771">IFERROR(
  _xlfn.XLOOKUP(TRUE, ISNUMBER(FIND(Trefwoorden!$A$2:$A$99, E1771)), Trefwoorden!$B$2:$B$99),
  "Onbekend"
)</f>
        <v>voeding</v>
      </c>
      <c r="E1771" t="s">
        <v>604</v>
      </c>
      <c r="F1771" t="str">
        <f>VLOOKUP(Tabel1[[#This Row],[categorie]],Lijst!A:C,3,FALSE)</f>
        <v>Uitgave</v>
      </c>
      <c r="G1771">
        <f t="shared" si="85"/>
        <v>-8.81</v>
      </c>
      <c r="H1771" t="str">
        <f>VLOOKUP(Tabel1[[#This Row],[categorie]],Lijst!A:B,2,FALSE)</f>
        <v>Vast</v>
      </c>
      <c r="I1771" t="str">
        <f t="shared" si="86"/>
        <v>OK</v>
      </c>
    </row>
    <row r="1772" spans="1:9" hidden="1" x14ac:dyDescent="0.3">
      <c r="A1772" s="2">
        <v>45910</v>
      </c>
      <c r="B1772" t="str">
        <f t="shared" si="84"/>
        <v xml:space="preserve">september </v>
      </c>
      <c r="C1772">
        <v>-131.71</v>
      </c>
      <c r="D1772" t="s">
        <v>678</v>
      </c>
      <c r="E1772" t="s">
        <v>608</v>
      </c>
      <c r="F1772" t="str">
        <f>VLOOKUP(Tabel1[[#This Row],[categorie]],Lijst!A:C,3,FALSE)</f>
        <v>Uitgave</v>
      </c>
      <c r="G1772">
        <f t="shared" si="85"/>
        <v>-131.71</v>
      </c>
      <c r="H1772" t="str">
        <f>VLOOKUP(Tabel1[[#This Row],[categorie]],Lijst!A:B,2,FALSE)</f>
        <v>Variabel</v>
      </c>
      <c r="I1772" t="str">
        <f t="shared" si="86"/>
        <v>OK</v>
      </c>
    </row>
    <row r="1773" spans="1:9" hidden="1" x14ac:dyDescent="0.3">
      <c r="A1773" s="2">
        <v>45910</v>
      </c>
      <c r="B1773" t="str">
        <f t="shared" si="84"/>
        <v xml:space="preserve">september </v>
      </c>
      <c r="C1773">
        <v>-9.6999999999999993</v>
      </c>
      <c r="D1773" t="str" cm="1">
        <f t="array" ref="D1773">IFERROR(
  _xlfn.XLOOKUP(TRUE, ISNUMBER(FIND(Trefwoorden!$A$2:$A$99, E1773)), Trefwoorden!$B$2:$B$99),
  "Onbekend"
)</f>
        <v>Gezondheid</v>
      </c>
      <c r="E1773" t="s">
        <v>610</v>
      </c>
      <c r="F1773" t="s">
        <v>18</v>
      </c>
      <c r="G1773">
        <f t="shared" si="85"/>
        <v>-9.6999999999999993</v>
      </c>
      <c r="H1773" t="str">
        <f>VLOOKUP(Tabel1[[#This Row],[categorie]],Lijst!A:B,2,FALSE)</f>
        <v>Vast</v>
      </c>
      <c r="I1773" t="str">
        <f t="shared" si="86"/>
        <v>OK</v>
      </c>
    </row>
    <row r="1774" spans="1:9" hidden="1" x14ac:dyDescent="0.3">
      <c r="A1774" s="2">
        <v>45910</v>
      </c>
      <c r="B1774" t="str">
        <f t="shared" si="84"/>
        <v xml:space="preserve">september </v>
      </c>
      <c r="C1774">
        <v>-1.5</v>
      </c>
      <c r="D1774" t="str" cm="1">
        <f t="array" ref="D1774">IFERROR(
  _xlfn.XLOOKUP(TRUE, ISNUMBER(FIND(Trefwoorden!$A$2:$A$99, E1774)), Trefwoorden!$B$2:$B$99),
  "Onbekend"
)</f>
        <v>automaat De Lijn</v>
      </c>
      <c r="E1774" t="s">
        <v>611</v>
      </c>
      <c r="F1774" t="str">
        <f>VLOOKUP(Tabel1[[#This Row],[categorie]],Lijst!A:C,3,FALSE)</f>
        <v>Uitgave</v>
      </c>
      <c r="G1774">
        <f t="shared" si="85"/>
        <v>-1.5</v>
      </c>
      <c r="H1774" t="str">
        <f>VLOOKUP(Tabel1[[#This Row],[categorie]],Lijst!A:B,2,FALSE)</f>
        <v>Variabel</v>
      </c>
      <c r="I1774" t="str">
        <f t="shared" si="86"/>
        <v>OK</v>
      </c>
    </row>
    <row r="1775" spans="1:9" hidden="1" x14ac:dyDescent="0.3">
      <c r="A1775" s="2">
        <v>45911</v>
      </c>
      <c r="B1775" t="str">
        <f t="shared" si="84"/>
        <v xml:space="preserve">september </v>
      </c>
      <c r="C1775">
        <v>-14</v>
      </c>
      <c r="D1775" t="str" cm="1">
        <f t="array" ref="D1775">IFERROR(
  _xlfn.XLOOKUP(TRUE, ISNUMBER(FIND(Trefwoorden!$A$2:$A$99, E1775)), Trefwoorden!$B$2:$B$99),
  "Onbekend"
)</f>
        <v>EuroShop</v>
      </c>
      <c r="E1775" t="s">
        <v>596</v>
      </c>
      <c r="F1775" t="str">
        <f>VLOOKUP(Tabel1[[#This Row],[categorie]],Lijst!A:C,3,FALSE)</f>
        <v>Uitgave</v>
      </c>
      <c r="G1775">
        <f t="shared" si="85"/>
        <v>-14</v>
      </c>
      <c r="H1775" t="str">
        <f>VLOOKUP(Tabel1[[#This Row],[categorie]],Lijst!A:B,2,FALSE)</f>
        <v>Variabel</v>
      </c>
      <c r="I1775" t="str">
        <f t="shared" si="86"/>
        <v>OK</v>
      </c>
    </row>
    <row r="1776" spans="1:9" hidden="1" x14ac:dyDescent="0.3">
      <c r="A1776" s="2">
        <v>45911</v>
      </c>
      <c r="B1776" t="str">
        <f t="shared" si="84"/>
        <v xml:space="preserve">september </v>
      </c>
      <c r="C1776">
        <v>-0.72</v>
      </c>
      <c r="D1776" t="str" cm="1">
        <f t="array" ref="D1776">IFERROR(
  _xlfn.XLOOKUP(TRUE, ISNUMBER(FIND(Trefwoorden!$A$2:$A$99, E1776)), Trefwoorden!$B$2:$B$99),
  "Onbekend"
)</f>
        <v>voeding</v>
      </c>
      <c r="E1776" t="s">
        <v>597</v>
      </c>
      <c r="F1776" t="str">
        <f>VLOOKUP(Tabel1[[#This Row],[categorie]],Lijst!A:C,3,FALSE)</f>
        <v>Uitgave</v>
      </c>
      <c r="G1776">
        <f t="shared" si="85"/>
        <v>-0.72</v>
      </c>
      <c r="H1776" t="str">
        <f>VLOOKUP(Tabel1[[#This Row],[categorie]],Lijst!A:B,2,FALSE)</f>
        <v>Vast</v>
      </c>
      <c r="I1776" t="str">
        <f t="shared" si="86"/>
        <v>OK</v>
      </c>
    </row>
    <row r="1777" spans="1:9" hidden="1" x14ac:dyDescent="0.3">
      <c r="A1777" s="2">
        <v>45911</v>
      </c>
      <c r="B1777" t="str">
        <f t="shared" si="84"/>
        <v xml:space="preserve">september </v>
      </c>
      <c r="C1777">
        <v>-1.5</v>
      </c>
      <c r="D1777" t="str" cm="1">
        <f t="array" ref="D1777">IFERROR(
  _xlfn.XLOOKUP(TRUE, ISNUMBER(FIND(Trefwoorden!$A$2:$A$99, E1777)), Trefwoorden!$B$2:$B$99),
  "Onbekend"
)</f>
        <v>automaat De Lijn</v>
      </c>
      <c r="E1777" t="s">
        <v>605</v>
      </c>
      <c r="F1777" t="str">
        <f>VLOOKUP(Tabel1[[#This Row],[categorie]],Lijst!A:C,3,FALSE)</f>
        <v>Uitgave</v>
      </c>
      <c r="G1777">
        <f t="shared" si="85"/>
        <v>-1.5</v>
      </c>
      <c r="H1777" t="str">
        <f>VLOOKUP(Tabel1[[#This Row],[categorie]],Lijst!A:B,2,FALSE)</f>
        <v>Variabel</v>
      </c>
      <c r="I1777" t="str">
        <f t="shared" si="86"/>
        <v>OK</v>
      </c>
    </row>
    <row r="1778" spans="1:9" hidden="1" x14ac:dyDescent="0.3">
      <c r="A1778" s="2">
        <v>45911</v>
      </c>
      <c r="B1778" t="str">
        <f t="shared" si="84"/>
        <v xml:space="preserve">september </v>
      </c>
      <c r="C1778">
        <v>-1.5</v>
      </c>
      <c r="D1778" t="str" cm="1">
        <f t="array" ref="D1778">IFERROR(
  _xlfn.XLOOKUP(TRUE, ISNUMBER(FIND(Trefwoorden!$A$2:$A$99, E1778)), Trefwoorden!$B$2:$B$99),
  "Onbekend"
)</f>
        <v>automaat De Lijn</v>
      </c>
      <c r="E1778" t="s">
        <v>606</v>
      </c>
      <c r="F1778" t="str">
        <f>VLOOKUP(Tabel1[[#This Row],[categorie]],Lijst!A:C,3,FALSE)</f>
        <v>Uitgave</v>
      </c>
      <c r="G1778">
        <f t="shared" si="85"/>
        <v>-1.5</v>
      </c>
      <c r="H1778" t="str">
        <f>VLOOKUP(Tabel1[[#This Row],[categorie]],Lijst!A:B,2,FALSE)</f>
        <v>Variabel</v>
      </c>
      <c r="I1778" t="str">
        <f t="shared" si="86"/>
        <v>OK</v>
      </c>
    </row>
    <row r="1779" spans="1:9" hidden="1" x14ac:dyDescent="0.3">
      <c r="A1779" s="2">
        <v>45911</v>
      </c>
      <c r="B1779" t="str">
        <f t="shared" si="84"/>
        <v xml:space="preserve">september </v>
      </c>
      <c r="C1779">
        <v>-1.1000000000000001</v>
      </c>
      <c r="D1779" t="str" cm="1">
        <f t="array" ref="D1779">IFERROR(
  _xlfn.XLOOKUP(TRUE, ISNUMBER(FIND(Trefwoorden!$A$2:$A$99, E1779)), Trefwoorden!$B$2:$B$99),
  "Onbekend"
)</f>
        <v>automaat De Lijn</v>
      </c>
      <c r="E1779" t="s">
        <v>607</v>
      </c>
      <c r="F1779" t="str">
        <f>VLOOKUP(Tabel1[[#This Row],[categorie]],Lijst!A:C,3,FALSE)</f>
        <v>Uitgave</v>
      </c>
      <c r="G1779">
        <f t="shared" si="85"/>
        <v>-1.1000000000000001</v>
      </c>
      <c r="H1779" t="str">
        <f>VLOOKUP(Tabel1[[#This Row],[categorie]],Lijst!A:B,2,FALSE)</f>
        <v>Variabel</v>
      </c>
      <c r="I1779" t="str">
        <f t="shared" si="86"/>
        <v>OK</v>
      </c>
    </row>
    <row r="1780" spans="1:9" hidden="1" x14ac:dyDescent="0.3">
      <c r="A1780" s="2">
        <v>45911</v>
      </c>
      <c r="B1780" t="str">
        <f t="shared" si="84"/>
        <v xml:space="preserve">september </v>
      </c>
      <c r="C1780">
        <v>-2.46</v>
      </c>
      <c r="D1780" t="str" cm="1">
        <f t="array" ref="D1780">IFERROR(
  _xlfn.XLOOKUP(TRUE, ISNUMBER(FIND(Trefwoorden!$A$2:$A$99, E1780)), Trefwoorden!$B$2:$B$99),
  "Onbekend"
)</f>
        <v>Laadbeurt</v>
      </c>
      <c r="E1780" t="s">
        <v>609</v>
      </c>
      <c r="F1780" t="str">
        <f>VLOOKUP(Tabel1[[#This Row],[categorie]],Lijst!A:C,3,FALSE)</f>
        <v>Uitgave</v>
      </c>
      <c r="G1780">
        <f t="shared" si="85"/>
        <v>-2.46</v>
      </c>
      <c r="H1780" t="str">
        <f>VLOOKUP(Tabel1[[#This Row],[categorie]],Lijst!A:B,2,FALSE)</f>
        <v>Vast</v>
      </c>
      <c r="I1780" t="str">
        <f t="shared" si="86"/>
        <v>OK</v>
      </c>
    </row>
    <row r="1781" spans="1:9" hidden="1" x14ac:dyDescent="0.3">
      <c r="A1781" s="2">
        <v>45912</v>
      </c>
      <c r="B1781" t="str">
        <f t="shared" si="84"/>
        <v xml:space="preserve">september </v>
      </c>
      <c r="C1781">
        <v>-21.5</v>
      </c>
      <c r="D1781" t="str" cm="1">
        <f t="array" ref="D1781">IFERROR(
  _xlfn.XLOOKUP(TRUE, ISNUMBER(FIND(Trefwoorden!$A$2:$A$99, E1781)), Trefwoorden!$B$2:$B$99),
  "Onbekend"
)</f>
        <v>standaardboekhandel</v>
      </c>
      <c r="E1781" t="s">
        <v>593</v>
      </c>
      <c r="F1781" t="str">
        <f>VLOOKUP(Tabel1[[#This Row],[categorie]],Lijst!A:C,3,FALSE)</f>
        <v>Uitgave</v>
      </c>
      <c r="G1781">
        <f t="shared" si="85"/>
        <v>-21.5</v>
      </c>
      <c r="H1781" t="str">
        <f>VLOOKUP(Tabel1[[#This Row],[categorie]],Lijst!A:B,2,FALSE)</f>
        <v>Variabel</v>
      </c>
      <c r="I1781" t="str">
        <f t="shared" si="86"/>
        <v>OK</v>
      </c>
    </row>
    <row r="1782" spans="1:9" hidden="1" x14ac:dyDescent="0.3">
      <c r="A1782" s="2">
        <v>45912</v>
      </c>
      <c r="B1782" t="str">
        <f t="shared" si="84"/>
        <v xml:space="preserve">september </v>
      </c>
      <c r="C1782">
        <v>-15</v>
      </c>
      <c r="D1782" t="s">
        <v>9</v>
      </c>
      <c r="E1782" t="s">
        <v>594</v>
      </c>
      <c r="F1782" t="s">
        <v>18</v>
      </c>
      <c r="G1782">
        <f t="shared" si="85"/>
        <v>-15</v>
      </c>
      <c r="H1782" t="str">
        <f>VLOOKUP(Tabel1[[#This Row],[categorie]],Lijst!A:B,2,FALSE)</f>
        <v>Variabel</v>
      </c>
      <c r="I1782" t="str">
        <f t="shared" si="86"/>
        <v>OK</v>
      </c>
    </row>
    <row r="1783" spans="1:9" hidden="1" x14ac:dyDescent="0.3">
      <c r="A1783" s="2">
        <v>45912</v>
      </c>
      <c r="B1783" t="str">
        <f t="shared" si="84"/>
        <v xml:space="preserve">september </v>
      </c>
      <c r="C1783">
        <v>-49</v>
      </c>
      <c r="D1783" t="s">
        <v>29</v>
      </c>
      <c r="E1783" t="s">
        <v>595</v>
      </c>
      <c r="F1783" t="str">
        <f>VLOOKUP(Tabel1[[#This Row],[categorie]],Lijst!A:C,3,FALSE)</f>
        <v>Uitgave</v>
      </c>
      <c r="G1783">
        <f t="shared" si="85"/>
        <v>-49</v>
      </c>
      <c r="H1783" t="str">
        <f>VLOOKUP(Tabel1[[#This Row],[categorie]],Lijst!A:B,2,FALSE)</f>
        <v>Vast</v>
      </c>
      <c r="I1783" t="str">
        <f t="shared" si="86"/>
        <v>OK</v>
      </c>
    </row>
    <row r="1784" spans="1:9" hidden="1" x14ac:dyDescent="0.3">
      <c r="A1784" s="2">
        <v>45912</v>
      </c>
      <c r="B1784" t="str">
        <f t="shared" si="84"/>
        <v xml:space="preserve">september </v>
      </c>
      <c r="C1784">
        <v>-1.1000000000000001</v>
      </c>
      <c r="D1784" t="str" cm="1">
        <f t="array" ref="D1784">IFERROR(
  _xlfn.XLOOKUP(TRUE, ISNUMBER(FIND(Trefwoorden!$A$2:$A$99, E1784)), Trefwoorden!$B$2:$B$99),
  "Onbekend"
)</f>
        <v>automaat De Lijn</v>
      </c>
      <c r="E1784" t="s">
        <v>598</v>
      </c>
      <c r="F1784" t="str">
        <f>VLOOKUP(Tabel1[[#This Row],[categorie]],Lijst!A:C,3,FALSE)</f>
        <v>Uitgave</v>
      </c>
      <c r="G1784">
        <f t="shared" si="85"/>
        <v>-1.1000000000000001</v>
      </c>
      <c r="H1784" t="str">
        <f>VLOOKUP(Tabel1[[#This Row],[categorie]],Lijst!A:B,2,FALSE)</f>
        <v>Variabel</v>
      </c>
      <c r="I1784" t="str">
        <f t="shared" si="86"/>
        <v>OK</v>
      </c>
    </row>
    <row r="1785" spans="1:9" hidden="1" x14ac:dyDescent="0.3">
      <c r="A1785" s="2">
        <v>45912</v>
      </c>
      <c r="B1785" t="str">
        <f t="shared" si="84"/>
        <v xml:space="preserve">september </v>
      </c>
      <c r="C1785">
        <v>-1.5</v>
      </c>
      <c r="D1785" t="str" cm="1">
        <f t="array" ref="D1785">IFERROR(
  _xlfn.XLOOKUP(TRUE, ISNUMBER(FIND(Trefwoorden!$A$2:$A$99, E1785)), Trefwoorden!$B$2:$B$99),
  "Onbekend"
)</f>
        <v>automaat De Lijn</v>
      </c>
      <c r="E1785" t="s">
        <v>599</v>
      </c>
      <c r="F1785" t="str">
        <f>VLOOKUP(Tabel1[[#This Row],[categorie]],Lijst!A:C,3,FALSE)</f>
        <v>Uitgave</v>
      </c>
      <c r="G1785">
        <f t="shared" si="85"/>
        <v>-1.5</v>
      </c>
      <c r="H1785" t="str">
        <f>VLOOKUP(Tabel1[[#This Row],[categorie]],Lijst!A:B,2,FALSE)</f>
        <v>Variabel</v>
      </c>
      <c r="I1785" t="str">
        <f t="shared" si="86"/>
        <v>OK</v>
      </c>
    </row>
    <row r="1786" spans="1:9" hidden="1" x14ac:dyDescent="0.3">
      <c r="A1786" s="2">
        <v>45912</v>
      </c>
      <c r="B1786" t="str">
        <f t="shared" si="84"/>
        <v xml:space="preserve">september </v>
      </c>
      <c r="C1786">
        <v>-1.5</v>
      </c>
      <c r="D1786" t="str" cm="1">
        <f t="array" ref="D1786">IFERROR(
  _xlfn.XLOOKUP(TRUE, ISNUMBER(FIND(Trefwoorden!$A$2:$A$99, E1786)), Trefwoorden!$B$2:$B$99),
  "Onbekend"
)</f>
        <v>automaat De Lijn</v>
      </c>
      <c r="E1786" t="s">
        <v>600</v>
      </c>
      <c r="F1786" t="str">
        <f>VLOOKUP(Tabel1[[#This Row],[categorie]],Lijst!A:C,3,FALSE)</f>
        <v>Uitgave</v>
      </c>
      <c r="G1786">
        <f t="shared" si="85"/>
        <v>-1.5</v>
      </c>
      <c r="H1786" t="str">
        <f>VLOOKUP(Tabel1[[#This Row],[categorie]],Lijst!A:B,2,FALSE)</f>
        <v>Variabel</v>
      </c>
      <c r="I1786" t="str">
        <f t="shared" si="86"/>
        <v>OK</v>
      </c>
    </row>
    <row r="1787" spans="1:9" hidden="1" x14ac:dyDescent="0.3">
      <c r="A1787" s="2">
        <v>45912</v>
      </c>
      <c r="B1787" t="str">
        <f t="shared" si="84"/>
        <v xml:space="preserve">september </v>
      </c>
      <c r="C1787">
        <v>-8</v>
      </c>
      <c r="D1787" t="str" cm="1">
        <f t="array" ref="D1787">IFERROR(
  _xlfn.XLOOKUP(TRUE, ISNUMBER(FIND(Trefwoorden!$A$2:$A$99, E1787)), Trefwoorden!$B$2:$B$99),
  "Onbekend"
)</f>
        <v>Laadbeurt</v>
      </c>
      <c r="E1787" t="s">
        <v>601</v>
      </c>
      <c r="F1787" t="str">
        <f>VLOOKUP(Tabel1[[#This Row],[categorie]],Lijst!A:C,3,FALSE)</f>
        <v>Uitgave</v>
      </c>
      <c r="G1787">
        <f t="shared" si="85"/>
        <v>-8</v>
      </c>
      <c r="H1787" t="str">
        <f>VLOOKUP(Tabel1[[#This Row],[categorie]],Lijst!A:B,2,FALSE)</f>
        <v>Vast</v>
      </c>
      <c r="I1787" t="str">
        <f t="shared" si="86"/>
        <v>OK</v>
      </c>
    </row>
    <row r="1788" spans="1:9" hidden="1" x14ac:dyDescent="0.3">
      <c r="A1788" s="2">
        <v>45913</v>
      </c>
      <c r="B1788" t="str">
        <f t="shared" si="84"/>
        <v xml:space="preserve">september </v>
      </c>
      <c r="C1788">
        <v>-6.09</v>
      </c>
      <c r="D1788" t="str" cm="1">
        <f t="array" ref="D1788">IFERROR(
  _xlfn.XLOOKUP(TRUE, ISNUMBER(FIND(Trefwoorden!$A$2:$A$99, E1788)), Trefwoorden!$B$2:$B$99),
  "Onbekend"
)</f>
        <v>voeding</v>
      </c>
      <c r="E1788" t="s">
        <v>587</v>
      </c>
      <c r="F1788" t="str">
        <f>VLOOKUP(Tabel1[[#This Row],[categorie]],Lijst!A:C,3,FALSE)</f>
        <v>Uitgave</v>
      </c>
      <c r="G1788">
        <f t="shared" si="85"/>
        <v>-6.09</v>
      </c>
      <c r="H1788" t="str">
        <f>VLOOKUP(Tabel1[[#This Row],[categorie]],Lijst!A:B,2,FALSE)</f>
        <v>Vast</v>
      </c>
      <c r="I1788" t="str">
        <f t="shared" si="86"/>
        <v>OK</v>
      </c>
    </row>
    <row r="1789" spans="1:9" hidden="1" x14ac:dyDescent="0.3">
      <c r="A1789" s="2">
        <v>45913</v>
      </c>
      <c r="B1789" t="str">
        <f t="shared" si="84"/>
        <v xml:space="preserve">september </v>
      </c>
      <c r="C1789">
        <v>-21.8</v>
      </c>
      <c r="D1789" t="str" cm="1">
        <f t="array" ref="D1789">IFERROR(
  _xlfn.XLOOKUP(TRUE, ISNUMBER(FIND(Trefwoorden!$A$2:$A$99, E1789)), Trefwoorden!$B$2:$B$99),
  "Onbekend"
)</f>
        <v>voeding</v>
      </c>
      <c r="E1789" t="s">
        <v>591</v>
      </c>
      <c r="F1789" t="str">
        <f>VLOOKUP(Tabel1[[#This Row],[categorie]],Lijst!A:C,3,FALSE)</f>
        <v>Uitgave</v>
      </c>
      <c r="G1789">
        <f t="shared" si="85"/>
        <v>-21.8</v>
      </c>
      <c r="H1789" t="str">
        <f>VLOOKUP(Tabel1[[#This Row],[categorie]],Lijst!A:B,2,FALSE)</f>
        <v>Vast</v>
      </c>
      <c r="I1789" t="str">
        <f t="shared" si="86"/>
        <v>OK</v>
      </c>
    </row>
    <row r="1790" spans="1:9" hidden="1" x14ac:dyDescent="0.3">
      <c r="A1790" s="2">
        <v>45914</v>
      </c>
      <c r="B1790" t="str">
        <f t="shared" si="84"/>
        <v xml:space="preserve">september </v>
      </c>
      <c r="C1790">
        <v>-69</v>
      </c>
      <c r="D1790" t="s">
        <v>75</v>
      </c>
      <c r="E1790" t="s">
        <v>592</v>
      </c>
      <c r="F1790" t="s">
        <v>18</v>
      </c>
      <c r="G1790">
        <f t="shared" si="85"/>
        <v>-69</v>
      </c>
      <c r="H1790" t="str">
        <f>VLOOKUP(Tabel1[[#This Row],[categorie]],Lijst!A:B,2,FALSE)</f>
        <v>Variabel</v>
      </c>
      <c r="I1790" t="str">
        <f t="shared" si="86"/>
        <v>OK</v>
      </c>
    </row>
    <row r="1791" spans="1:9" hidden="1" x14ac:dyDescent="0.3">
      <c r="A1791" s="2">
        <v>45915</v>
      </c>
      <c r="B1791" t="str">
        <f t="shared" si="84"/>
        <v xml:space="preserve">september </v>
      </c>
      <c r="C1791">
        <v>-1.3</v>
      </c>
      <c r="D1791" t="str" cm="1">
        <f t="array" ref="D1791">IFERROR(
  _xlfn.XLOOKUP(TRUE, ISNUMBER(FIND(Trefwoorden!$A$2:$A$99, E1791)), Trefwoorden!$B$2:$B$99),
  "Onbekend"
)</f>
        <v>automaat De Lijn</v>
      </c>
      <c r="E1791" t="s">
        <v>588</v>
      </c>
      <c r="F1791" t="str">
        <f>VLOOKUP(Tabel1[[#This Row],[categorie]],Lijst!A:C,3,FALSE)</f>
        <v>Uitgave</v>
      </c>
      <c r="G1791">
        <f t="shared" si="85"/>
        <v>-1.3</v>
      </c>
      <c r="H1791" t="str">
        <f>VLOOKUP(Tabel1[[#This Row],[categorie]],Lijst!A:B,2,FALSE)</f>
        <v>Variabel</v>
      </c>
      <c r="I1791" t="str">
        <f t="shared" si="86"/>
        <v>OK</v>
      </c>
    </row>
    <row r="1792" spans="1:9" hidden="1" x14ac:dyDescent="0.3">
      <c r="A1792" s="2">
        <v>45915</v>
      </c>
      <c r="B1792" t="str">
        <f t="shared" si="84"/>
        <v xml:space="preserve">september </v>
      </c>
      <c r="C1792">
        <v>-1.5</v>
      </c>
      <c r="D1792" t="str" cm="1">
        <f t="array" ref="D1792">IFERROR(
  _xlfn.XLOOKUP(TRUE, ISNUMBER(FIND(Trefwoorden!$A$2:$A$99, E1792)), Trefwoorden!$B$2:$B$99),
  "Onbekend"
)</f>
        <v>automaat De Lijn</v>
      </c>
      <c r="E1792" t="s">
        <v>589</v>
      </c>
      <c r="F1792" t="str">
        <f>VLOOKUP(Tabel1[[#This Row],[categorie]],Lijst!A:C,3,FALSE)</f>
        <v>Uitgave</v>
      </c>
      <c r="G1792">
        <f t="shared" si="85"/>
        <v>-1.5</v>
      </c>
      <c r="H1792" t="str">
        <f>VLOOKUP(Tabel1[[#This Row],[categorie]],Lijst!A:B,2,FALSE)</f>
        <v>Variabel</v>
      </c>
      <c r="I1792" t="str">
        <f t="shared" si="86"/>
        <v>OK</v>
      </c>
    </row>
    <row r="1793" spans="1:9" hidden="1" x14ac:dyDescent="0.3">
      <c r="A1793" s="2">
        <v>45915</v>
      </c>
      <c r="B1793" t="str">
        <f t="shared" si="84"/>
        <v xml:space="preserve">september </v>
      </c>
      <c r="C1793">
        <v>-1.1000000000000001</v>
      </c>
      <c r="D1793" t="str" cm="1">
        <f t="array" ref="D1793">IFERROR(
  _xlfn.XLOOKUP(TRUE, ISNUMBER(FIND(Trefwoorden!$A$2:$A$99, E1793)), Trefwoorden!$B$2:$B$99),
  "Onbekend"
)</f>
        <v>automaat De Lijn</v>
      </c>
      <c r="E1793" t="s">
        <v>590</v>
      </c>
      <c r="F1793" t="str">
        <f>VLOOKUP(Tabel1[[#This Row],[categorie]],Lijst!A:C,3,FALSE)</f>
        <v>Uitgave</v>
      </c>
      <c r="G1793">
        <f t="shared" si="85"/>
        <v>-1.1000000000000001</v>
      </c>
      <c r="H1793" t="str">
        <f>VLOOKUP(Tabel1[[#This Row],[categorie]],Lijst!A:B,2,FALSE)</f>
        <v>Variabel</v>
      </c>
      <c r="I1793" t="str">
        <f t="shared" si="86"/>
        <v>OK</v>
      </c>
    </row>
    <row r="1794" spans="1:9" hidden="1" x14ac:dyDescent="0.3">
      <c r="A1794" s="2">
        <v>45915</v>
      </c>
      <c r="B1794" t="str">
        <f t="shared" si="84"/>
        <v xml:space="preserve">september </v>
      </c>
      <c r="C1794">
        <v>-15.88</v>
      </c>
      <c r="D1794" t="str" cm="1">
        <f t="array" ref="D1794">IFERROR(
  _xlfn.XLOOKUP(TRUE, ISNUMBER(FIND(Trefwoorden!$A$2:$A$99, E1794)), Trefwoorden!$B$2:$B$99),
  "Onbekend"
)</f>
        <v>voeding</v>
      </c>
      <c r="E1794" t="s">
        <v>717</v>
      </c>
      <c r="F1794" t="str">
        <f>VLOOKUP(Tabel1[[#This Row],[categorie]],Lijst!A:C,3,FALSE)</f>
        <v>Uitgave</v>
      </c>
      <c r="G1794">
        <f t="shared" si="85"/>
        <v>-15.88</v>
      </c>
      <c r="H1794" t="str">
        <f>VLOOKUP(Tabel1[[#This Row],[categorie]],Lijst!A:B,2,FALSE)</f>
        <v>Vast</v>
      </c>
      <c r="I1794" t="str">
        <f t="shared" si="86"/>
        <v>OK</v>
      </c>
    </row>
    <row r="1795" spans="1:9" hidden="1" x14ac:dyDescent="0.3">
      <c r="A1795" s="2">
        <v>45916</v>
      </c>
      <c r="B1795" t="str">
        <f t="shared" si="84"/>
        <v xml:space="preserve">september </v>
      </c>
      <c r="C1795">
        <v>-7.22</v>
      </c>
      <c r="D1795" t="str" cm="1">
        <f t="array" ref="D1795">IFERROR(
  _xlfn.XLOOKUP(TRUE, ISNUMBER(FIND(Trefwoorden!$A$2:$A$99, E1795)), Trefwoorden!$B$2:$B$99),
  "Onbekend"
)</f>
        <v>voeding</v>
      </c>
      <c r="E1795" t="s">
        <v>709</v>
      </c>
      <c r="F1795" t="str">
        <f>VLOOKUP(Tabel1[[#This Row],[categorie]],Lijst!A:C,3,FALSE)</f>
        <v>Uitgave</v>
      </c>
      <c r="G1795">
        <f t="shared" si="85"/>
        <v>-7.22</v>
      </c>
      <c r="H1795" t="str">
        <f>VLOOKUP(Tabel1[[#This Row],[categorie]],Lijst!A:B,2,FALSE)</f>
        <v>Vast</v>
      </c>
      <c r="I1795" t="str">
        <f t="shared" si="86"/>
        <v>OK</v>
      </c>
    </row>
    <row r="1796" spans="1:9" hidden="1" x14ac:dyDescent="0.3">
      <c r="A1796" s="2">
        <v>45916</v>
      </c>
      <c r="B1796" t="str">
        <f t="shared" si="84"/>
        <v xml:space="preserve">september </v>
      </c>
      <c r="C1796">
        <v>-26</v>
      </c>
      <c r="D1796" t="str" cm="1">
        <f t="array" ref="D1796">IFERROR(
  _xlfn.XLOOKUP(TRUE, ISNUMBER(FIND(Trefwoorden!$A$2:$A$99, E1796)), Trefwoorden!$B$2:$B$99),
  "Onbekend"
)</f>
        <v>Gezondheid</v>
      </c>
      <c r="E1796" t="s">
        <v>715</v>
      </c>
      <c r="F1796" t="s">
        <v>18</v>
      </c>
      <c r="G1796">
        <f t="shared" si="85"/>
        <v>-26</v>
      </c>
      <c r="H1796" t="str">
        <f>VLOOKUP(Tabel1[[#This Row],[categorie]],Lijst!A:B,2,FALSE)</f>
        <v>Vast</v>
      </c>
      <c r="I1796" t="str">
        <f t="shared" si="86"/>
        <v>OK</v>
      </c>
    </row>
    <row r="1797" spans="1:9" hidden="1" x14ac:dyDescent="0.3">
      <c r="A1797" s="2">
        <v>45916</v>
      </c>
      <c r="B1797" t="str">
        <f t="shared" si="84"/>
        <v xml:space="preserve">september </v>
      </c>
      <c r="C1797">
        <v>-95</v>
      </c>
      <c r="D1797" t="s">
        <v>32</v>
      </c>
      <c r="E1797" t="s">
        <v>716</v>
      </c>
      <c r="F1797" t="str">
        <f>VLOOKUP(Tabel1[[#This Row],[categorie]],Lijst!A:C,3,FALSE)</f>
        <v>Uitgave</v>
      </c>
      <c r="G1797">
        <f t="shared" si="85"/>
        <v>-95</v>
      </c>
      <c r="H1797" t="str">
        <f>VLOOKUP(Tabel1[[#This Row],[categorie]],Lijst!A:B,2,FALSE)</f>
        <v>Variabel</v>
      </c>
      <c r="I1797" t="str">
        <f t="shared" si="86"/>
        <v>OK</v>
      </c>
    </row>
    <row r="1798" spans="1:9" hidden="1" x14ac:dyDescent="0.3">
      <c r="A1798" s="2">
        <v>45916</v>
      </c>
      <c r="B1798" t="str">
        <f t="shared" si="84"/>
        <v xml:space="preserve">september </v>
      </c>
      <c r="C1798">
        <v>-1.5</v>
      </c>
      <c r="D1798" t="str" cm="1">
        <f t="array" ref="D1798">IFERROR(
  _xlfn.XLOOKUP(TRUE, ISNUMBER(FIND(Trefwoorden!$A$2:$A$99, E1798)), Trefwoorden!$B$2:$B$99),
  "Onbekend"
)</f>
        <v>automaat De Lijn</v>
      </c>
      <c r="E1798" t="s">
        <v>718</v>
      </c>
      <c r="F1798" t="str">
        <f>VLOOKUP(Tabel1[[#This Row],[categorie]],Lijst!A:C,3,FALSE)</f>
        <v>Uitgave</v>
      </c>
      <c r="G1798">
        <f t="shared" si="85"/>
        <v>-1.5</v>
      </c>
      <c r="H1798" t="str">
        <f>VLOOKUP(Tabel1[[#This Row],[categorie]],Lijst!A:B,2,FALSE)</f>
        <v>Variabel</v>
      </c>
      <c r="I1798" t="str">
        <f t="shared" si="86"/>
        <v>OK</v>
      </c>
    </row>
    <row r="1799" spans="1:9" hidden="1" x14ac:dyDescent="0.3">
      <c r="A1799" s="2">
        <v>45916</v>
      </c>
      <c r="B1799" t="str">
        <f t="shared" si="84"/>
        <v xml:space="preserve">september </v>
      </c>
      <c r="C1799">
        <v>-1.5</v>
      </c>
      <c r="D1799" t="str" cm="1">
        <f t="array" ref="D1799">IFERROR(
  _xlfn.XLOOKUP(TRUE, ISNUMBER(FIND(Trefwoorden!$A$2:$A$99, E1799)), Trefwoorden!$B$2:$B$99),
  "Onbekend"
)</f>
        <v>automaat De Lijn</v>
      </c>
      <c r="E1799" t="s">
        <v>719</v>
      </c>
      <c r="F1799" t="str">
        <f>VLOOKUP(Tabel1[[#This Row],[categorie]],Lijst!A:C,3,FALSE)</f>
        <v>Uitgave</v>
      </c>
      <c r="G1799">
        <f t="shared" si="85"/>
        <v>-1.5</v>
      </c>
      <c r="H1799" t="str">
        <f>VLOOKUP(Tabel1[[#This Row],[categorie]],Lijst!A:B,2,FALSE)</f>
        <v>Variabel</v>
      </c>
      <c r="I1799" t="str">
        <f t="shared" si="86"/>
        <v>OK</v>
      </c>
    </row>
    <row r="1800" spans="1:9" hidden="1" x14ac:dyDescent="0.3">
      <c r="A1800" s="2">
        <v>45916</v>
      </c>
      <c r="B1800" t="str">
        <f t="shared" si="84"/>
        <v xml:space="preserve">september </v>
      </c>
      <c r="C1800">
        <v>-90</v>
      </c>
      <c r="D1800" t="str" cm="1">
        <f t="array" ref="D1800">IFERROR(
  _xlfn.XLOOKUP(TRUE, ISNUMBER(FIND(Trefwoorden!$A$2:$A$99, E1800)), Trefwoorden!$B$2:$B$99),
  "Onbekend"
)</f>
        <v>pensioensparen</v>
      </c>
      <c r="E1800" t="s">
        <v>720</v>
      </c>
      <c r="F1800" t="str">
        <f>VLOOKUP(Tabel1[[#This Row],[categorie]],Lijst!A:C,3,FALSE)</f>
        <v>Uitgave</v>
      </c>
      <c r="G1800">
        <f t="shared" si="85"/>
        <v>-90</v>
      </c>
      <c r="H1800" t="str">
        <f>VLOOKUP(Tabel1[[#This Row],[categorie]],Lijst!A:B,2,FALSE)</f>
        <v>Vast</v>
      </c>
      <c r="I1800" t="str">
        <f t="shared" si="86"/>
        <v>OK</v>
      </c>
    </row>
    <row r="1801" spans="1:9" hidden="1" x14ac:dyDescent="0.3">
      <c r="A1801" s="2">
        <v>45916</v>
      </c>
      <c r="B1801" t="str">
        <f t="shared" si="84"/>
        <v xml:space="preserve">september </v>
      </c>
      <c r="C1801">
        <v>-81.66</v>
      </c>
      <c r="D1801" t="str" cm="1">
        <f t="array" ref="D1801">IFERROR(
  _xlfn.XLOOKUP(TRUE, ISNUMBER(FIND(Trefwoorden!$A$2:$A$99, E1801)), Trefwoorden!$B$2:$B$99),
  "Onbekend"
)</f>
        <v>pensioensparen</v>
      </c>
      <c r="E1801" t="s">
        <v>721</v>
      </c>
      <c r="F1801" t="str">
        <f>VLOOKUP(Tabel1[[#This Row],[categorie]],Lijst!A:C,3,FALSE)</f>
        <v>Uitgave</v>
      </c>
      <c r="G1801">
        <f t="shared" si="85"/>
        <v>-81.66</v>
      </c>
      <c r="H1801" t="str">
        <f>VLOOKUP(Tabel1[[#This Row],[categorie]],Lijst!A:B,2,FALSE)</f>
        <v>Vast</v>
      </c>
      <c r="I1801" t="str">
        <f t="shared" si="86"/>
        <v>OK</v>
      </c>
    </row>
    <row r="1802" spans="1:9" hidden="1" x14ac:dyDescent="0.3">
      <c r="A1802" s="2">
        <v>45916</v>
      </c>
      <c r="B1802" t="str">
        <f t="shared" si="84"/>
        <v xml:space="preserve">september </v>
      </c>
      <c r="C1802">
        <v>-5</v>
      </c>
      <c r="D1802" t="s">
        <v>30</v>
      </c>
      <c r="E1802" t="s">
        <v>722</v>
      </c>
      <c r="F1802" t="str">
        <f>VLOOKUP(Tabel1[[#This Row],[categorie]],Lijst!A:C,3,FALSE)</f>
        <v>Uitgave</v>
      </c>
      <c r="G1802">
        <f t="shared" si="85"/>
        <v>-5</v>
      </c>
      <c r="H1802" t="str">
        <f>VLOOKUP(Tabel1[[#This Row],[categorie]],Lijst!A:B,2,FALSE)</f>
        <v>Vast</v>
      </c>
      <c r="I1802" t="str">
        <f t="shared" si="86"/>
        <v>OK</v>
      </c>
    </row>
    <row r="1803" spans="1:9" hidden="1" x14ac:dyDescent="0.3">
      <c r="A1803" s="2">
        <v>45917</v>
      </c>
      <c r="B1803" t="str">
        <f t="shared" si="84"/>
        <v xml:space="preserve">september </v>
      </c>
      <c r="C1803">
        <v>-2.99</v>
      </c>
      <c r="D1803" t="str" cm="1">
        <f t="array" ref="D1803">IFERROR(
  _xlfn.XLOOKUP(TRUE, ISNUMBER(FIND(Trefwoorden!$A$2:$A$99, E1803)), Trefwoorden!$B$2:$B$99),
  "Onbekend"
)</f>
        <v>voeding</v>
      </c>
      <c r="E1803" t="s">
        <v>705</v>
      </c>
      <c r="F1803" t="str">
        <f>VLOOKUP(Tabel1[[#This Row],[categorie]],Lijst!A:C,3,FALSE)</f>
        <v>Uitgave</v>
      </c>
      <c r="G1803">
        <f t="shared" si="85"/>
        <v>-2.99</v>
      </c>
      <c r="H1803" t="str">
        <f>VLOOKUP(Tabel1[[#This Row],[categorie]],Lijst!A:B,2,FALSE)</f>
        <v>Vast</v>
      </c>
      <c r="I1803" t="str">
        <f t="shared" si="86"/>
        <v>OK</v>
      </c>
    </row>
    <row r="1804" spans="1:9" hidden="1" x14ac:dyDescent="0.3">
      <c r="A1804" s="2">
        <v>45917</v>
      </c>
      <c r="B1804" t="str">
        <f t="shared" ref="B1804:B1867" si="87">TEXT(A1804,"mmmm ")</f>
        <v xml:space="preserve">september </v>
      </c>
      <c r="C1804">
        <v>-5.68</v>
      </c>
      <c r="D1804" t="str" cm="1">
        <f t="array" ref="D1804">IFERROR(
  _xlfn.XLOOKUP(TRUE, ISNUMBER(FIND(Trefwoorden!$A$2:$A$99, E1804)), Trefwoorden!$B$2:$B$99),
  "Onbekend"
)</f>
        <v>voeding</v>
      </c>
      <c r="E1804" t="s">
        <v>706</v>
      </c>
      <c r="F1804" t="str">
        <f>VLOOKUP(Tabel1[[#This Row],[categorie]],Lijst!A:C,3,FALSE)</f>
        <v>Uitgave</v>
      </c>
      <c r="G1804">
        <f t="shared" ref="G1804:G1867" si="88">IF(F1804="Uitgave", -ABS(C1804), ABS(C1804))</f>
        <v>-5.68</v>
      </c>
      <c r="H1804" t="str">
        <f>VLOOKUP(Tabel1[[#This Row],[categorie]],Lijst!A:B,2,FALSE)</f>
        <v>Vast</v>
      </c>
      <c r="I1804" t="str">
        <f t="shared" ref="I1804:I1867" si="89">IF(OR(AND(F1804="Uitgave", C1804&lt;0), AND(F1804="Inkomst", C1804&gt;0)), "OK", "FOUT")</f>
        <v>OK</v>
      </c>
    </row>
    <row r="1805" spans="1:9" hidden="1" x14ac:dyDescent="0.3">
      <c r="A1805" s="2">
        <v>45917</v>
      </c>
      <c r="B1805" t="str">
        <f t="shared" si="87"/>
        <v xml:space="preserve">september </v>
      </c>
      <c r="C1805">
        <v>-6</v>
      </c>
      <c r="D1805" t="str" cm="1">
        <f t="array" ref="D1805">IFERROR(
  _xlfn.XLOOKUP(TRUE, ISNUMBER(FIND(Trefwoorden!$A$2:$A$99, E1805)), Trefwoorden!$B$2:$B$99),
  "Onbekend"
)</f>
        <v>decathlon</v>
      </c>
      <c r="E1805" t="s">
        <v>710</v>
      </c>
      <c r="F1805" t="str">
        <f>VLOOKUP(Tabel1[[#This Row],[categorie]],Lijst!A:C,3,FALSE)</f>
        <v>Uitgave</v>
      </c>
      <c r="G1805">
        <f t="shared" si="88"/>
        <v>-6</v>
      </c>
      <c r="H1805" t="str">
        <f>VLOOKUP(Tabel1[[#This Row],[categorie]],Lijst!A:B,2,FALSE)</f>
        <v>Variabel</v>
      </c>
      <c r="I1805" t="str">
        <f t="shared" si="89"/>
        <v>OK</v>
      </c>
    </row>
    <row r="1806" spans="1:9" hidden="1" x14ac:dyDescent="0.3">
      <c r="A1806" s="2">
        <v>45917</v>
      </c>
      <c r="B1806" t="str">
        <f t="shared" si="87"/>
        <v xml:space="preserve">september </v>
      </c>
      <c r="C1806">
        <v>-1.5</v>
      </c>
      <c r="D1806" t="str" cm="1">
        <f t="array" ref="D1806">IFERROR(
  _xlfn.XLOOKUP(TRUE, ISNUMBER(FIND(Trefwoorden!$A$2:$A$99, E1806)), Trefwoorden!$B$2:$B$99),
  "Onbekend"
)</f>
        <v>automaat De Lijn</v>
      </c>
      <c r="E1806" t="s">
        <v>711</v>
      </c>
      <c r="F1806" t="str">
        <f>VLOOKUP(Tabel1[[#This Row],[categorie]],Lijst!A:C,3,FALSE)</f>
        <v>Uitgave</v>
      </c>
      <c r="G1806">
        <f t="shared" si="88"/>
        <v>-1.5</v>
      </c>
      <c r="H1806" t="str">
        <f>VLOOKUP(Tabel1[[#This Row],[categorie]],Lijst!A:B,2,FALSE)</f>
        <v>Variabel</v>
      </c>
      <c r="I1806" t="str">
        <f t="shared" si="89"/>
        <v>OK</v>
      </c>
    </row>
    <row r="1807" spans="1:9" hidden="1" x14ac:dyDescent="0.3">
      <c r="A1807" s="2">
        <v>45917</v>
      </c>
      <c r="B1807" t="str">
        <f t="shared" si="87"/>
        <v xml:space="preserve">september </v>
      </c>
      <c r="C1807">
        <v>-1.5</v>
      </c>
      <c r="D1807" t="str" cm="1">
        <f t="array" ref="D1807">IFERROR(
  _xlfn.XLOOKUP(TRUE, ISNUMBER(FIND(Trefwoorden!$A$2:$A$99, E1807)), Trefwoorden!$B$2:$B$99),
  "Onbekend"
)</f>
        <v>automaat De Lijn</v>
      </c>
      <c r="E1807" t="s">
        <v>712</v>
      </c>
      <c r="F1807" t="str">
        <f>VLOOKUP(Tabel1[[#This Row],[categorie]],Lijst!A:C,3,FALSE)</f>
        <v>Uitgave</v>
      </c>
      <c r="G1807">
        <f t="shared" si="88"/>
        <v>-1.5</v>
      </c>
      <c r="H1807" t="str">
        <f>VLOOKUP(Tabel1[[#This Row],[categorie]],Lijst!A:B,2,FALSE)</f>
        <v>Variabel</v>
      </c>
      <c r="I1807" t="str">
        <f t="shared" si="89"/>
        <v>OK</v>
      </c>
    </row>
    <row r="1808" spans="1:9" hidden="1" x14ac:dyDescent="0.3">
      <c r="A1808" s="2">
        <v>45917</v>
      </c>
      <c r="B1808" t="str">
        <f t="shared" si="87"/>
        <v xml:space="preserve">september </v>
      </c>
      <c r="C1808">
        <v>207.96</v>
      </c>
      <c r="D1808" t="str" cm="1">
        <f t="array" ref="D1808">IFERROR(
  _xlfn.XLOOKUP(TRUE, ISNUMBER(FIND(Trefwoorden!$A$2:$A$99, E1808)), Trefwoorden!$B$2:$B$99),
  "Onbekend"
)</f>
        <v>Gezondheid</v>
      </c>
      <c r="E1808" t="s">
        <v>713</v>
      </c>
      <c r="F1808" t="s">
        <v>17</v>
      </c>
      <c r="G1808">
        <f t="shared" si="88"/>
        <v>207.96</v>
      </c>
      <c r="H1808" t="str">
        <f>VLOOKUP(Tabel1[[#This Row],[categorie]],Lijst!A:B,2,FALSE)</f>
        <v>Vast</v>
      </c>
      <c r="I1808" t="str">
        <f t="shared" si="89"/>
        <v>OK</v>
      </c>
    </row>
    <row r="1809" spans="1:9" hidden="1" x14ac:dyDescent="0.3">
      <c r="A1809" s="2">
        <v>45917</v>
      </c>
      <c r="B1809" t="str">
        <f t="shared" si="87"/>
        <v xml:space="preserve">september </v>
      </c>
      <c r="C1809">
        <v>-2.31</v>
      </c>
      <c r="D1809" t="str" cm="1">
        <f t="array" ref="D1809">IFERROR(
  _xlfn.XLOOKUP(TRUE, ISNUMBER(FIND(Trefwoorden!$A$2:$A$99, E1809)), Trefwoorden!$B$2:$B$99),
  "Onbekend"
)</f>
        <v>Laadbeurt</v>
      </c>
      <c r="E1809" t="s">
        <v>714</v>
      </c>
      <c r="F1809" t="str">
        <f>VLOOKUP(Tabel1[[#This Row],[categorie]],Lijst!A:C,3,FALSE)</f>
        <v>Uitgave</v>
      </c>
      <c r="G1809">
        <f t="shared" si="88"/>
        <v>-2.31</v>
      </c>
      <c r="H1809" t="str">
        <f>VLOOKUP(Tabel1[[#This Row],[categorie]],Lijst!A:B,2,FALSE)</f>
        <v>Vast</v>
      </c>
      <c r="I1809" t="str">
        <f t="shared" si="89"/>
        <v>OK</v>
      </c>
    </row>
    <row r="1810" spans="1:9" hidden="1" x14ac:dyDescent="0.3">
      <c r="A1810" s="2">
        <v>45918</v>
      </c>
      <c r="B1810" t="str">
        <f t="shared" si="87"/>
        <v xml:space="preserve">september </v>
      </c>
      <c r="C1810">
        <v>-8.2799999999999994</v>
      </c>
      <c r="D1810" t="str" cm="1">
        <f t="array" ref="D1810">IFERROR(
  _xlfn.XLOOKUP(TRUE, ISNUMBER(FIND(Trefwoorden!$A$2:$A$99, E1810)), Trefwoorden!$B$2:$B$99),
  "Onbekend"
)</f>
        <v>voeding</v>
      </c>
      <c r="E1810" t="s">
        <v>701</v>
      </c>
      <c r="F1810" t="str">
        <f>VLOOKUP(Tabel1[[#This Row],[categorie]],Lijst!A:C,3,FALSE)</f>
        <v>Uitgave</v>
      </c>
      <c r="G1810">
        <f t="shared" si="88"/>
        <v>-8.2799999999999994</v>
      </c>
      <c r="H1810" t="str">
        <f>VLOOKUP(Tabel1[[#This Row],[categorie]],Lijst!A:B,2,FALSE)</f>
        <v>Vast</v>
      </c>
      <c r="I1810" t="str">
        <f t="shared" si="89"/>
        <v>OK</v>
      </c>
    </row>
    <row r="1811" spans="1:9" hidden="1" x14ac:dyDescent="0.3">
      <c r="A1811" s="2">
        <v>45918</v>
      </c>
      <c r="B1811" t="str">
        <f t="shared" si="87"/>
        <v xml:space="preserve">september </v>
      </c>
      <c r="C1811">
        <v>-30.35</v>
      </c>
      <c r="D1811" t="str" cm="1">
        <f t="array" ref="D1811">IFERROR(
  _xlfn.XLOOKUP(TRUE, ISNUMBER(FIND(Trefwoorden!$A$2:$A$99, E1811)), Trefwoorden!$B$2:$B$99),
  "Onbekend"
)</f>
        <v>voeding</v>
      </c>
      <c r="E1811" t="s">
        <v>702</v>
      </c>
      <c r="F1811" t="str">
        <f>VLOOKUP(Tabel1[[#This Row],[categorie]],Lijst!A:C,3,FALSE)</f>
        <v>Uitgave</v>
      </c>
      <c r="G1811">
        <f t="shared" si="88"/>
        <v>-30.35</v>
      </c>
      <c r="H1811" t="str">
        <f>VLOOKUP(Tabel1[[#This Row],[categorie]],Lijst!A:B,2,FALSE)</f>
        <v>Vast</v>
      </c>
      <c r="I1811" t="str">
        <f t="shared" si="89"/>
        <v>OK</v>
      </c>
    </row>
    <row r="1812" spans="1:9" hidden="1" x14ac:dyDescent="0.3">
      <c r="A1812" s="2">
        <v>45918</v>
      </c>
      <c r="B1812" t="str">
        <f t="shared" si="87"/>
        <v xml:space="preserve">september </v>
      </c>
      <c r="C1812">
        <v>-1.5</v>
      </c>
      <c r="D1812" t="str" cm="1">
        <f t="array" ref="D1812">IFERROR(
  _xlfn.XLOOKUP(TRUE, ISNUMBER(FIND(Trefwoorden!$A$2:$A$99, E1812)), Trefwoorden!$B$2:$B$99),
  "Onbekend"
)</f>
        <v>automaat De Lijn</v>
      </c>
      <c r="E1812" t="s">
        <v>707</v>
      </c>
      <c r="F1812" t="str">
        <f>VLOOKUP(Tabel1[[#This Row],[categorie]],Lijst!A:C,3,FALSE)</f>
        <v>Uitgave</v>
      </c>
      <c r="G1812">
        <f t="shared" si="88"/>
        <v>-1.5</v>
      </c>
      <c r="H1812" t="str">
        <f>VLOOKUP(Tabel1[[#This Row],[categorie]],Lijst!A:B,2,FALSE)</f>
        <v>Variabel</v>
      </c>
      <c r="I1812" t="str">
        <f t="shared" si="89"/>
        <v>OK</v>
      </c>
    </row>
    <row r="1813" spans="1:9" hidden="1" x14ac:dyDescent="0.3">
      <c r="A1813" s="2">
        <v>45918</v>
      </c>
      <c r="B1813" t="str">
        <f t="shared" si="87"/>
        <v xml:space="preserve">september </v>
      </c>
      <c r="C1813">
        <v>-1.5</v>
      </c>
      <c r="D1813" t="str" cm="1">
        <f t="array" ref="D1813">IFERROR(
  _xlfn.XLOOKUP(TRUE, ISNUMBER(FIND(Trefwoorden!$A$2:$A$99, E1813)), Trefwoorden!$B$2:$B$99),
  "Onbekend"
)</f>
        <v>automaat De Lijn</v>
      </c>
      <c r="E1813" t="s">
        <v>708</v>
      </c>
      <c r="F1813" t="str">
        <f>VLOOKUP(Tabel1[[#This Row],[categorie]],Lijst!A:C,3,FALSE)</f>
        <v>Uitgave</v>
      </c>
      <c r="G1813">
        <f t="shared" si="88"/>
        <v>-1.5</v>
      </c>
      <c r="H1813" t="str">
        <f>VLOOKUP(Tabel1[[#This Row],[categorie]],Lijst!A:B,2,FALSE)</f>
        <v>Variabel</v>
      </c>
      <c r="I1813" t="str">
        <f t="shared" si="89"/>
        <v>OK</v>
      </c>
    </row>
    <row r="1814" spans="1:9" hidden="1" x14ac:dyDescent="0.3">
      <c r="A1814" s="2">
        <v>45919</v>
      </c>
      <c r="B1814" t="str">
        <f t="shared" si="87"/>
        <v xml:space="preserve">september </v>
      </c>
      <c r="C1814">
        <v>-63</v>
      </c>
      <c r="D1814" t="s">
        <v>9</v>
      </c>
      <c r="E1814" t="s">
        <v>698</v>
      </c>
      <c r="F1814" t="s">
        <v>18</v>
      </c>
      <c r="G1814">
        <f t="shared" si="88"/>
        <v>-63</v>
      </c>
      <c r="H1814" t="str">
        <f>VLOOKUP(Tabel1[[#This Row],[categorie]],Lijst!A:B,2,FALSE)</f>
        <v>Variabel</v>
      </c>
      <c r="I1814" t="str">
        <f t="shared" si="89"/>
        <v>OK</v>
      </c>
    </row>
    <row r="1815" spans="1:9" hidden="1" x14ac:dyDescent="0.3">
      <c r="A1815" s="2">
        <v>45919</v>
      </c>
      <c r="B1815" t="str">
        <f t="shared" si="87"/>
        <v xml:space="preserve">september </v>
      </c>
      <c r="C1815">
        <v>-317.5</v>
      </c>
      <c r="D1815" t="s">
        <v>82</v>
      </c>
      <c r="E1815" t="s">
        <v>700</v>
      </c>
      <c r="F1815" t="s">
        <v>18</v>
      </c>
      <c r="G1815">
        <f t="shared" si="88"/>
        <v>-317.5</v>
      </c>
      <c r="H1815" t="str">
        <f>VLOOKUP(Tabel1[[#This Row],[categorie]],Lijst!A:B,2,FALSE)</f>
        <v>Vast</v>
      </c>
      <c r="I1815" t="str">
        <f t="shared" si="89"/>
        <v>OK</v>
      </c>
    </row>
    <row r="1816" spans="1:9" hidden="1" x14ac:dyDescent="0.3">
      <c r="A1816" s="2">
        <v>45919</v>
      </c>
      <c r="B1816" t="str">
        <f t="shared" si="87"/>
        <v xml:space="preserve">september </v>
      </c>
      <c r="C1816">
        <v>-5</v>
      </c>
      <c r="D1816" t="s">
        <v>31</v>
      </c>
      <c r="E1816" t="s">
        <v>703</v>
      </c>
      <c r="F1816" t="str">
        <f>VLOOKUP(Tabel1[[#This Row],[categorie]],Lijst!A:C,3,FALSE)</f>
        <v>Uitgave</v>
      </c>
      <c r="G1816">
        <f t="shared" si="88"/>
        <v>-5</v>
      </c>
      <c r="H1816" t="str">
        <f>VLOOKUP(Tabel1[[#This Row],[categorie]],Lijst!A:B,2,FALSE)</f>
        <v>Vast</v>
      </c>
      <c r="I1816" t="str">
        <f t="shared" si="89"/>
        <v>OK</v>
      </c>
    </row>
    <row r="1817" spans="1:9" hidden="1" x14ac:dyDescent="0.3">
      <c r="A1817" s="2">
        <v>45919</v>
      </c>
      <c r="B1817" t="str">
        <f t="shared" si="87"/>
        <v xml:space="preserve">september </v>
      </c>
      <c r="C1817">
        <v>-1.5</v>
      </c>
      <c r="D1817" t="str" cm="1">
        <f t="array" ref="D1817">IFERROR(
  _xlfn.XLOOKUP(TRUE, ISNUMBER(FIND(Trefwoorden!$A$2:$A$99, E1817)), Trefwoorden!$B$2:$B$99),
  "Onbekend"
)</f>
        <v>automaat De Lijn</v>
      </c>
      <c r="E1817" t="s">
        <v>704</v>
      </c>
      <c r="F1817" t="str">
        <f>VLOOKUP(Tabel1[[#This Row],[categorie]],Lijst!A:C,3,FALSE)</f>
        <v>Uitgave</v>
      </c>
      <c r="G1817">
        <f t="shared" si="88"/>
        <v>-1.5</v>
      </c>
      <c r="H1817" t="str">
        <f>VLOOKUP(Tabel1[[#This Row],[categorie]],Lijst!A:B,2,FALSE)</f>
        <v>Variabel</v>
      </c>
      <c r="I1817" t="str">
        <f t="shared" si="89"/>
        <v>OK</v>
      </c>
    </row>
    <row r="1818" spans="1:9" hidden="1" x14ac:dyDescent="0.3">
      <c r="A1818" s="2">
        <v>45920</v>
      </c>
      <c r="B1818" t="str">
        <f t="shared" si="87"/>
        <v xml:space="preserve">september </v>
      </c>
      <c r="C1818">
        <v>-7</v>
      </c>
      <c r="D1818" t="str" cm="1">
        <f t="array" ref="D1818">IFERROR(
  _xlfn.XLOOKUP(TRUE, ISNUMBER(FIND(Trefwoorden!$A$2:$A$99, E1818)), Trefwoorden!$B$2:$B$99),
  "Onbekend"
)</f>
        <v>voeding</v>
      </c>
      <c r="E1818" t="s">
        <v>695</v>
      </c>
      <c r="F1818" t="str">
        <f>VLOOKUP(Tabel1[[#This Row],[categorie]],Lijst!A:C,3,FALSE)</f>
        <v>Uitgave</v>
      </c>
      <c r="G1818">
        <f t="shared" si="88"/>
        <v>-7</v>
      </c>
      <c r="H1818" t="str">
        <f>VLOOKUP(Tabel1[[#This Row],[categorie]],Lijst!A:B,2,FALSE)</f>
        <v>Vast</v>
      </c>
      <c r="I1818" t="str">
        <f t="shared" si="89"/>
        <v>OK</v>
      </c>
    </row>
    <row r="1819" spans="1:9" hidden="1" x14ac:dyDescent="0.3">
      <c r="A1819" s="2">
        <v>45920</v>
      </c>
      <c r="B1819" t="str">
        <f t="shared" si="87"/>
        <v xml:space="preserve">september </v>
      </c>
      <c r="C1819">
        <v>-39.33</v>
      </c>
      <c r="D1819" t="str" cm="1">
        <f t="array" ref="D1819">IFERROR(
  _xlfn.XLOOKUP(TRUE, ISNUMBER(FIND(Trefwoorden!$A$2:$A$99, E1819)), Trefwoorden!$B$2:$B$99),
  "Onbekend"
)</f>
        <v>voeding</v>
      </c>
      <c r="E1819" t="s">
        <v>696</v>
      </c>
      <c r="F1819" t="str">
        <f>VLOOKUP(Tabel1[[#This Row],[categorie]],Lijst!A:C,3,FALSE)</f>
        <v>Uitgave</v>
      </c>
      <c r="G1819">
        <f t="shared" si="88"/>
        <v>-39.33</v>
      </c>
      <c r="H1819" t="str">
        <f>VLOOKUP(Tabel1[[#This Row],[categorie]],Lijst!A:B,2,FALSE)</f>
        <v>Vast</v>
      </c>
      <c r="I1819" t="str">
        <f t="shared" si="89"/>
        <v>OK</v>
      </c>
    </row>
    <row r="1820" spans="1:9" hidden="1" x14ac:dyDescent="0.3">
      <c r="A1820" s="2">
        <v>45920</v>
      </c>
      <c r="B1820" t="str">
        <f t="shared" si="87"/>
        <v xml:space="preserve">september </v>
      </c>
      <c r="C1820">
        <v>-10.87</v>
      </c>
      <c r="D1820" t="s">
        <v>75</v>
      </c>
      <c r="E1820" t="s">
        <v>697</v>
      </c>
      <c r="F1820" t="s">
        <v>18</v>
      </c>
      <c r="G1820">
        <f t="shared" si="88"/>
        <v>-10.87</v>
      </c>
      <c r="H1820" t="str">
        <f>VLOOKUP(Tabel1[[#This Row],[categorie]],Lijst!A:B,2,FALSE)</f>
        <v>Variabel</v>
      </c>
      <c r="I1820" t="str">
        <f t="shared" si="89"/>
        <v>OK</v>
      </c>
    </row>
    <row r="1821" spans="1:9" hidden="1" x14ac:dyDescent="0.3">
      <c r="A1821" s="2">
        <v>45920</v>
      </c>
      <c r="B1821" t="str">
        <f t="shared" si="87"/>
        <v xml:space="preserve">september </v>
      </c>
      <c r="C1821">
        <v>-10.26</v>
      </c>
      <c r="D1821" t="s">
        <v>35</v>
      </c>
      <c r="E1821" t="s">
        <v>699</v>
      </c>
      <c r="F1821" t="str">
        <f>VLOOKUP(Tabel1[[#This Row],[categorie]],Lijst!A:C,3,FALSE)</f>
        <v>Uitgave</v>
      </c>
      <c r="G1821">
        <f t="shared" si="88"/>
        <v>-10.26</v>
      </c>
      <c r="H1821" t="str">
        <f>VLOOKUP(Tabel1[[#This Row],[categorie]],Lijst!A:B,2,FALSE)</f>
        <v>Variabel</v>
      </c>
      <c r="I1821" t="str">
        <f t="shared" si="89"/>
        <v>OK</v>
      </c>
    </row>
    <row r="1822" spans="1:9" hidden="1" x14ac:dyDescent="0.3">
      <c r="A1822" s="2">
        <v>45921</v>
      </c>
      <c r="B1822" t="str">
        <f t="shared" si="87"/>
        <v xml:space="preserve">september </v>
      </c>
      <c r="C1822">
        <v>-7.25</v>
      </c>
      <c r="D1822" t="str" cm="1">
        <f t="array" ref="D1822">IFERROR(
  _xlfn.XLOOKUP(TRUE, ISNUMBER(FIND(Trefwoorden!$A$2:$A$99, E1822)), Trefwoorden!$B$2:$B$99),
  "Onbekend"
)</f>
        <v>EuroShop</v>
      </c>
      <c r="E1822" t="s">
        <v>684</v>
      </c>
      <c r="F1822" t="str">
        <f>VLOOKUP(Tabel1[[#This Row],[categorie]],Lijst!A:C,3,FALSE)</f>
        <v>Uitgave</v>
      </c>
      <c r="G1822">
        <f t="shared" si="88"/>
        <v>-7.25</v>
      </c>
      <c r="H1822" t="str">
        <f>VLOOKUP(Tabel1[[#This Row],[categorie]],Lijst!A:B,2,FALSE)</f>
        <v>Variabel</v>
      </c>
      <c r="I1822" t="str">
        <f t="shared" si="89"/>
        <v>OK</v>
      </c>
    </row>
    <row r="1823" spans="1:9" hidden="1" x14ac:dyDescent="0.3">
      <c r="A1823" s="2">
        <v>45921</v>
      </c>
      <c r="B1823" t="str">
        <f t="shared" si="87"/>
        <v xml:space="preserve">september </v>
      </c>
      <c r="C1823">
        <v>-3.53</v>
      </c>
      <c r="D1823" t="str" cm="1">
        <f t="array" ref="D1823">IFERROR(
  _xlfn.XLOOKUP(TRUE, ISNUMBER(FIND(Trefwoorden!$A$2:$A$99, E1823)), Trefwoorden!$B$2:$B$99),
  "Onbekend"
)</f>
        <v>voeding</v>
      </c>
      <c r="E1823" t="s">
        <v>685</v>
      </c>
      <c r="F1823" t="str">
        <f>VLOOKUP(Tabel1[[#This Row],[categorie]],Lijst!A:C,3,FALSE)</f>
        <v>Uitgave</v>
      </c>
      <c r="G1823">
        <f t="shared" si="88"/>
        <v>-3.53</v>
      </c>
      <c r="H1823" t="str">
        <f>VLOOKUP(Tabel1[[#This Row],[categorie]],Lijst!A:B,2,FALSE)</f>
        <v>Vast</v>
      </c>
      <c r="I1823" t="str">
        <f t="shared" si="89"/>
        <v>OK</v>
      </c>
    </row>
    <row r="1824" spans="1:9" hidden="1" x14ac:dyDescent="0.3">
      <c r="A1824" s="2">
        <v>45921</v>
      </c>
      <c r="B1824" t="str">
        <f t="shared" si="87"/>
        <v xml:space="preserve">september </v>
      </c>
      <c r="C1824">
        <v>-6.05</v>
      </c>
      <c r="D1824" t="str" cm="1">
        <f t="array" ref="D1824">IFERROR(
  _xlfn.XLOOKUP(TRUE, ISNUMBER(FIND(Trefwoorden!$A$2:$A$99, E1824)), Trefwoorden!$B$2:$B$99),
  "Onbekend"
)</f>
        <v>voeding</v>
      </c>
      <c r="E1824" t="s">
        <v>686</v>
      </c>
      <c r="F1824" t="str">
        <f>VLOOKUP(Tabel1[[#This Row],[categorie]],Lijst!A:C,3,FALSE)</f>
        <v>Uitgave</v>
      </c>
      <c r="G1824">
        <f t="shared" si="88"/>
        <v>-6.05</v>
      </c>
      <c r="H1824" t="str">
        <f>VLOOKUP(Tabel1[[#This Row],[categorie]],Lijst!A:B,2,FALSE)</f>
        <v>Vast</v>
      </c>
      <c r="I1824" t="str">
        <f t="shared" si="89"/>
        <v>OK</v>
      </c>
    </row>
    <row r="1825" spans="1:9" hidden="1" x14ac:dyDescent="0.3">
      <c r="A1825" s="2">
        <v>45922</v>
      </c>
      <c r="B1825" t="str">
        <f t="shared" si="87"/>
        <v xml:space="preserve">september </v>
      </c>
      <c r="C1825">
        <v>-0.61</v>
      </c>
      <c r="D1825" t="str" cm="1">
        <f t="array" ref="D1825">IFERROR(
  _xlfn.XLOOKUP(TRUE, ISNUMBER(FIND(Trefwoorden!$A$2:$A$99, E1825)), Trefwoorden!$B$2:$B$99),
  "Onbekend"
)</f>
        <v>voeding</v>
      </c>
      <c r="E1825" t="s">
        <v>680</v>
      </c>
      <c r="F1825" t="str">
        <f>VLOOKUP(Tabel1[[#This Row],[categorie]],Lijst!A:C,3,FALSE)</f>
        <v>Uitgave</v>
      </c>
      <c r="G1825">
        <f t="shared" si="88"/>
        <v>-0.61</v>
      </c>
      <c r="H1825" t="str">
        <f>VLOOKUP(Tabel1[[#This Row],[categorie]],Lijst!A:B,2,FALSE)</f>
        <v>Vast</v>
      </c>
      <c r="I1825" t="str">
        <f t="shared" si="89"/>
        <v>OK</v>
      </c>
    </row>
    <row r="1826" spans="1:9" hidden="1" x14ac:dyDescent="0.3">
      <c r="A1826" s="2">
        <v>45922</v>
      </c>
      <c r="B1826" t="str">
        <f t="shared" si="87"/>
        <v xml:space="preserve">september </v>
      </c>
      <c r="C1826">
        <v>-62.65</v>
      </c>
      <c r="D1826" t="str" cm="1">
        <f t="array" ref="D1826">IFERROR(
  _xlfn.XLOOKUP(TRUE, ISNUMBER(FIND(Trefwoorden!$A$2:$A$99, E1826)), Trefwoorden!$B$2:$B$99),
  "Onbekend"
)</f>
        <v>voeding</v>
      </c>
      <c r="E1826" t="s">
        <v>681</v>
      </c>
      <c r="F1826" t="str">
        <f>VLOOKUP(Tabel1[[#This Row],[categorie]],Lijst!A:C,3,FALSE)</f>
        <v>Uitgave</v>
      </c>
      <c r="G1826">
        <f t="shared" si="88"/>
        <v>-62.65</v>
      </c>
      <c r="H1826" t="str">
        <f>VLOOKUP(Tabel1[[#This Row],[categorie]],Lijst!A:B,2,FALSE)</f>
        <v>Vast</v>
      </c>
      <c r="I1826" t="str">
        <f t="shared" si="89"/>
        <v>OK</v>
      </c>
    </row>
    <row r="1827" spans="1:9" hidden="1" x14ac:dyDescent="0.3">
      <c r="A1827" s="2">
        <v>45922</v>
      </c>
      <c r="B1827" t="str">
        <f t="shared" si="87"/>
        <v xml:space="preserve">september </v>
      </c>
      <c r="C1827">
        <v>-1.66</v>
      </c>
      <c r="D1827" t="str" cm="1">
        <f t="array" ref="D1827">IFERROR(
  _xlfn.XLOOKUP(TRUE, ISNUMBER(FIND(Trefwoorden!$A$2:$A$99, E1827)), Trefwoorden!$B$2:$B$99),
  "Onbekend"
)</f>
        <v>Laadbeurt</v>
      </c>
      <c r="E1827" t="s">
        <v>687</v>
      </c>
      <c r="F1827" t="str">
        <f>VLOOKUP(Tabel1[[#This Row],[categorie]],Lijst!A:C,3,FALSE)</f>
        <v>Uitgave</v>
      </c>
      <c r="G1827">
        <f t="shared" si="88"/>
        <v>-1.66</v>
      </c>
      <c r="H1827" t="str">
        <f>VLOOKUP(Tabel1[[#This Row],[categorie]],Lijst!A:B,2,FALSE)</f>
        <v>Vast</v>
      </c>
      <c r="I1827" t="str">
        <f t="shared" si="89"/>
        <v>OK</v>
      </c>
    </row>
    <row r="1828" spans="1:9" hidden="1" x14ac:dyDescent="0.3">
      <c r="A1828" s="2">
        <v>45922</v>
      </c>
      <c r="B1828" t="str">
        <f t="shared" si="87"/>
        <v xml:space="preserve">september </v>
      </c>
      <c r="C1828">
        <v>-5</v>
      </c>
      <c r="D1828" t="str" cm="1">
        <f t="array" ref="D1828">IFERROR(
  _xlfn.XLOOKUP(TRUE, ISNUMBER(FIND(Trefwoorden!$A$2:$A$99, E1828)), Trefwoorden!$B$2:$B$99),
  "Onbekend"
)</f>
        <v>Laadbeurt</v>
      </c>
      <c r="E1828" t="s">
        <v>687</v>
      </c>
      <c r="F1828" t="str">
        <f>VLOOKUP(Tabel1[[#This Row],[categorie]],Lijst!A:C,3,FALSE)</f>
        <v>Uitgave</v>
      </c>
      <c r="G1828">
        <f t="shared" si="88"/>
        <v>-5</v>
      </c>
      <c r="H1828" t="str">
        <f>VLOOKUP(Tabel1[[#This Row],[categorie]],Lijst!A:B,2,FALSE)</f>
        <v>Vast</v>
      </c>
      <c r="I1828" t="str">
        <f t="shared" si="89"/>
        <v>OK</v>
      </c>
    </row>
    <row r="1829" spans="1:9" hidden="1" x14ac:dyDescent="0.3">
      <c r="A1829" s="2">
        <v>45922</v>
      </c>
      <c r="B1829" t="str">
        <f t="shared" si="87"/>
        <v xml:space="preserve">september </v>
      </c>
      <c r="C1829">
        <v>-2.9</v>
      </c>
      <c r="D1829" t="s">
        <v>22</v>
      </c>
      <c r="E1829" t="s">
        <v>688</v>
      </c>
      <c r="F1829" t="str">
        <f>VLOOKUP(Tabel1[[#This Row],[categorie]],Lijst!A:C,3,FALSE)</f>
        <v>Uitgave</v>
      </c>
      <c r="G1829">
        <f t="shared" si="88"/>
        <v>-2.9</v>
      </c>
      <c r="H1829" t="str">
        <f>VLOOKUP(Tabel1[[#This Row],[categorie]],Lijst!A:B,2,FALSE)</f>
        <v>Variabel</v>
      </c>
      <c r="I1829" t="str">
        <f t="shared" si="89"/>
        <v>OK</v>
      </c>
    </row>
    <row r="1830" spans="1:9" hidden="1" x14ac:dyDescent="0.3">
      <c r="A1830" s="2">
        <v>45922</v>
      </c>
      <c r="B1830" t="str">
        <f t="shared" si="87"/>
        <v xml:space="preserve">september </v>
      </c>
      <c r="C1830">
        <v>-1.5</v>
      </c>
      <c r="D1830" t="str" cm="1">
        <f t="array" ref="D1830">IFERROR(
  _xlfn.XLOOKUP(TRUE, ISNUMBER(FIND(Trefwoorden!$A$2:$A$99, E1830)), Trefwoorden!$B$2:$B$99),
  "Onbekend"
)</f>
        <v>automaat De Lijn</v>
      </c>
      <c r="E1830" t="s">
        <v>689</v>
      </c>
      <c r="F1830" t="str">
        <f>VLOOKUP(Tabel1[[#This Row],[categorie]],Lijst!A:C,3,FALSE)</f>
        <v>Uitgave</v>
      </c>
      <c r="G1830">
        <f t="shared" si="88"/>
        <v>-1.5</v>
      </c>
      <c r="H1830" t="str">
        <f>VLOOKUP(Tabel1[[#This Row],[categorie]],Lijst!A:B,2,FALSE)</f>
        <v>Variabel</v>
      </c>
      <c r="I1830" t="str">
        <f t="shared" si="89"/>
        <v>OK</v>
      </c>
    </row>
    <row r="1831" spans="1:9" hidden="1" x14ac:dyDescent="0.3">
      <c r="A1831" s="2">
        <v>45922</v>
      </c>
      <c r="B1831" t="str">
        <f t="shared" si="87"/>
        <v xml:space="preserve">september </v>
      </c>
      <c r="C1831">
        <v>-1.5</v>
      </c>
      <c r="D1831" t="str" cm="1">
        <f t="array" ref="D1831">IFERROR(
  _xlfn.XLOOKUP(TRUE, ISNUMBER(FIND(Trefwoorden!$A$2:$A$99, E1831)), Trefwoorden!$B$2:$B$99),
  "Onbekend"
)</f>
        <v>automaat De Lijn</v>
      </c>
      <c r="E1831" t="s">
        <v>690</v>
      </c>
      <c r="F1831" t="str">
        <f>VLOOKUP(Tabel1[[#This Row],[categorie]],Lijst!A:C,3,FALSE)</f>
        <v>Uitgave</v>
      </c>
      <c r="G1831">
        <f t="shared" si="88"/>
        <v>-1.5</v>
      </c>
      <c r="H1831" t="str">
        <f>VLOOKUP(Tabel1[[#This Row],[categorie]],Lijst!A:B,2,FALSE)</f>
        <v>Variabel</v>
      </c>
      <c r="I1831" t="str">
        <f t="shared" si="89"/>
        <v>OK</v>
      </c>
    </row>
    <row r="1832" spans="1:9" hidden="1" x14ac:dyDescent="0.3">
      <c r="A1832" s="2">
        <v>45922</v>
      </c>
      <c r="B1832" t="str">
        <f t="shared" si="87"/>
        <v xml:space="preserve">september </v>
      </c>
      <c r="C1832">
        <v>-1.5</v>
      </c>
      <c r="D1832" t="str" cm="1">
        <f t="array" ref="D1832">IFERROR(
  _xlfn.XLOOKUP(TRUE, ISNUMBER(FIND(Trefwoorden!$A$2:$A$99, E1832)), Trefwoorden!$B$2:$B$99),
  "Onbekend"
)</f>
        <v>automaat De Lijn</v>
      </c>
      <c r="E1832" t="s">
        <v>691</v>
      </c>
      <c r="F1832" t="str">
        <f>VLOOKUP(Tabel1[[#This Row],[categorie]],Lijst!A:C,3,FALSE)</f>
        <v>Uitgave</v>
      </c>
      <c r="G1832">
        <f t="shared" si="88"/>
        <v>-1.5</v>
      </c>
      <c r="H1832" t="str">
        <f>VLOOKUP(Tabel1[[#This Row],[categorie]],Lijst!A:B,2,FALSE)</f>
        <v>Variabel</v>
      </c>
      <c r="I1832" t="str">
        <f t="shared" si="89"/>
        <v>OK</v>
      </c>
    </row>
    <row r="1833" spans="1:9" hidden="1" x14ac:dyDescent="0.3">
      <c r="A1833" s="2">
        <v>45922</v>
      </c>
      <c r="B1833" t="str">
        <f t="shared" si="87"/>
        <v xml:space="preserve">september </v>
      </c>
      <c r="C1833">
        <v>-1.22</v>
      </c>
      <c r="D1833" t="str" cm="1">
        <f t="array" ref="D1833">IFERROR(
  _xlfn.XLOOKUP(TRUE, ISNUMBER(FIND(Trefwoorden!$A$2:$A$99, E1833)), Trefwoorden!$B$2:$B$99),
  "Onbekend"
)</f>
        <v>Laadbeurt</v>
      </c>
      <c r="E1833" t="s">
        <v>692</v>
      </c>
      <c r="F1833" t="str">
        <f>VLOOKUP(Tabel1[[#This Row],[categorie]],Lijst!A:C,3,FALSE)</f>
        <v>Uitgave</v>
      </c>
      <c r="G1833">
        <f t="shared" si="88"/>
        <v>-1.22</v>
      </c>
      <c r="H1833" t="str">
        <f>VLOOKUP(Tabel1[[#This Row],[categorie]],Lijst!A:B,2,FALSE)</f>
        <v>Vast</v>
      </c>
      <c r="I1833" t="str">
        <f t="shared" si="89"/>
        <v>OK</v>
      </c>
    </row>
    <row r="1834" spans="1:9" hidden="1" x14ac:dyDescent="0.3">
      <c r="A1834" s="2">
        <v>45922</v>
      </c>
      <c r="B1834" t="str">
        <f t="shared" si="87"/>
        <v xml:space="preserve">september </v>
      </c>
      <c r="C1834">
        <v>-5</v>
      </c>
      <c r="D1834" t="str" cm="1">
        <f t="array" ref="D1834">IFERROR(
  _xlfn.XLOOKUP(TRUE, ISNUMBER(FIND(Trefwoorden!$A$2:$A$99, E1834)), Trefwoorden!$B$2:$B$99),
  "Onbekend"
)</f>
        <v>Laadbeurt</v>
      </c>
      <c r="E1834" t="s">
        <v>692</v>
      </c>
      <c r="F1834" t="str">
        <f>VLOOKUP(Tabel1[[#This Row],[categorie]],Lijst!A:C,3,FALSE)</f>
        <v>Uitgave</v>
      </c>
      <c r="G1834">
        <f t="shared" si="88"/>
        <v>-5</v>
      </c>
      <c r="H1834" t="str">
        <f>VLOOKUP(Tabel1[[#This Row],[categorie]],Lijst!A:B,2,FALSE)</f>
        <v>Vast</v>
      </c>
      <c r="I1834" t="str">
        <f t="shared" si="89"/>
        <v>OK</v>
      </c>
    </row>
    <row r="1835" spans="1:9" hidden="1" x14ac:dyDescent="0.3">
      <c r="A1835" s="2">
        <v>45922</v>
      </c>
      <c r="B1835" t="str">
        <f t="shared" si="87"/>
        <v xml:space="preserve">september </v>
      </c>
      <c r="C1835">
        <v>-53.29</v>
      </c>
      <c r="D1835" t="str" cm="1">
        <f t="array" ref="D1835">IFERROR(
  _xlfn.XLOOKUP(TRUE, ISNUMBER(FIND(Trefwoorden!$A$2:$A$99, E1835)), Trefwoorden!$B$2:$B$99),
  "Onbekend"
)</f>
        <v>AXA</v>
      </c>
      <c r="E1835" t="s">
        <v>693</v>
      </c>
      <c r="F1835" t="str">
        <f>VLOOKUP(Tabel1[[#This Row],[categorie]],Lijst!A:C,3,FALSE)</f>
        <v>Uitgave</v>
      </c>
      <c r="G1835">
        <f t="shared" si="88"/>
        <v>-53.29</v>
      </c>
      <c r="H1835" t="str">
        <f>VLOOKUP(Tabel1[[#This Row],[categorie]],Lijst!A:B,2,FALSE)</f>
        <v>Vast</v>
      </c>
      <c r="I1835" t="str">
        <f t="shared" si="89"/>
        <v>OK</v>
      </c>
    </row>
    <row r="1836" spans="1:9" hidden="1" x14ac:dyDescent="0.3">
      <c r="A1836" s="2">
        <v>45922</v>
      </c>
      <c r="B1836" t="str">
        <f t="shared" si="87"/>
        <v xml:space="preserve">september </v>
      </c>
      <c r="C1836">
        <v>-33.549999999999997</v>
      </c>
      <c r="D1836" t="str" cm="1">
        <f t="array" ref="D1836">IFERROR(
  _xlfn.XLOOKUP(TRUE, ISNUMBER(FIND(Trefwoorden!$A$2:$A$99, E1836)), Trefwoorden!$B$2:$B$99),
  "Onbekend"
)</f>
        <v>Cardif</v>
      </c>
      <c r="E1836" t="s">
        <v>694</v>
      </c>
      <c r="F1836" t="str">
        <f>VLOOKUP(Tabel1[[#This Row],[categorie]],Lijst!A:C,3,FALSE)</f>
        <v>Uitgave</v>
      </c>
      <c r="G1836">
        <f t="shared" si="88"/>
        <v>-33.549999999999997</v>
      </c>
      <c r="H1836" t="str">
        <f>VLOOKUP(Tabel1[[#This Row],[categorie]],Lijst!A:B,2,FALSE)</f>
        <v>Vast</v>
      </c>
      <c r="I1836" t="str">
        <f t="shared" si="89"/>
        <v>OK</v>
      </c>
    </row>
    <row r="1837" spans="1:9" hidden="1" x14ac:dyDescent="0.3">
      <c r="A1837" s="2">
        <v>45923</v>
      </c>
      <c r="B1837" t="str">
        <f t="shared" si="87"/>
        <v xml:space="preserve">september </v>
      </c>
      <c r="C1837">
        <v>-12.77</v>
      </c>
      <c r="D1837" t="s">
        <v>3</v>
      </c>
      <c r="E1837" t="s">
        <v>737</v>
      </c>
      <c r="F1837" t="str">
        <f>VLOOKUP(Tabel1[[#This Row],[categorie]],Lijst!A:C,3,FALSE)</f>
        <v>Uitgave</v>
      </c>
      <c r="G1837">
        <f t="shared" si="88"/>
        <v>-12.77</v>
      </c>
      <c r="H1837" t="str">
        <f>VLOOKUP(Tabel1[[#This Row],[categorie]],Lijst!A:B,2,FALSE)</f>
        <v>Vast</v>
      </c>
      <c r="I1837" t="str">
        <f t="shared" si="89"/>
        <v>OK</v>
      </c>
    </row>
    <row r="1838" spans="1:9" hidden="1" x14ac:dyDescent="0.3">
      <c r="A1838" s="2">
        <v>45923</v>
      </c>
      <c r="B1838" t="str">
        <f t="shared" si="87"/>
        <v xml:space="preserve">september </v>
      </c>
      <c r="C1838">
        <v>-296.89999999999998</v>
      </c>
      <c r="D1838" t="s">
        <v>75</v>
      </c>
      <c r="E1838" t="s">
        <v>679</v>
      </c>
      <c r="F1838" t="s">
        <v>18</v>
      </c>
      <c r="G1838">
        <f t="shared" si="88"/>
        <v>-296.89999999999998</v>
      </c>
      <c r="H1838" t="str">
        <f>VLOOKUP(Tabel1[[#This Row],[categorie]],Lijst!A:B,2,FALSE)</f>
        <v>Variabel</v>
      </c>
      <c r="I1838" t="str">
        <f t="shared" si="89"/>
        <v>OK</v>
      </c>
    </row>
    <row r="1839" spans="1:9" hidden="1" x14ac:dyDescent="0.3">
      <c r="A1839" s="2">
        <v>45923</v>
      </c>
      <c r="B1839" t="str">
        <f t="shared" si="87"/>
        <v xml:space="preserve">september </v>
      </c>
      <c r="C1839">
        <v>-1.5</v>
      </c>
      <c r="D1839" t="str" cm="1">
        <f t="array" ref="D1839">IFERROR(
  _xlfn.XLOOKUP(TRUE, ISNUMBER(FIND(Trefwoorden!$A$2:$A$99, E1839)), Trefwoorden!$B$2:$B$99),
  "Onbekend"
)</f>
        <v>automaat De Lijn</v>
      </c>
      <c r="E1839" t="s">
        <v>682</v>
      </c>
      <c r="F1839" t="str">
        <f>VLOOKUP(Tabel1[[#This Row],[categorie]],Lijst!A:C,3,FALSE)</f>
        <v>Uitgave</v>
      </c>
      <c r="G1839">
        <f t="shared" si="88"/>
        <v>-1.5</v>
      </c>
      <c r="H1839" t="str">
        <f>VLOOKUP(Tabel1[[#This Row],[categorie]],Lijst!A:B,2,FALSE)</f>
        <v>Variabel</v>
      </c>
      <c r="I1839" t="str">
        <f t="shared" si="89"/>
        <v>OK</v>
      </c>
    </row>
    <row r="1840" spans="1:9" hidden="1" x14ac:dyDescent="0.3">
      <c r="A1840" s="2">
        <v>45923</v>
      </c>
      <c r="B1840" t="str">
        <f t="shared" si="87"/>
        <v xml:space="preserve">september </v>
      </c>
      <c r="C1840">
        <v>-26.83</v>
      </c>
      <c r="D1840" t="str" cm="1">
        <f t="array" ref="D1840">IFERROR(
  _xlfn.XLOOKUP(TRUE, ISNUMBER(FIND(Trefwoorden!$A$2:$A$99, E1840)), Trefwoorden!$B$2:$B$99),
  "Onbekend"
)</f>
        <v>voeding</v>
      </c>
      <c r="E1840" t="s">
        <v>683</v>
      </c>
      <c r="F1840" t="str">
        <f>VLOOKUP(Tabel1[[#This Row],[categorie]],Lijst!A:C,3,FALSE)</f>
        <v>Uitgave</v>
      </c>
      <c r="G1840">
        <f t="shared" si="88"/>
        <v>-26.83</v>
      </c>
      <c r="H1840" t="str">
        <f>VLOOKUP(Tabel1[[#This Row],[categorie]],Lijst!A:B,2,FALSE)</f>
        <v>Vast</v>
      </c>
      <c r="I1840" t="str">
        <f t="shared" si="89"/>
        <v>OK</v>
      </c>
    </row>
    <row r="1841" spans="1:9" hidden="1" x14ac:dyDescent="0.3">
      <c r="A1841" s="2">
        <v>45924</v>
      </c>
      <c r="B1841" t="str">
        <f t="shared" si="87"/>
        <v xml:space="preserve">september </v>
      </c>
      <c r="C1841">
        <v>-29.86</v>
      </c>
      <c r="D1841" t="str" cm="1">
        <f t="array" ref="D1841">IFERROR(
  _xlfn.XLOOKUP(TRUE, ISNUMBER(FIND(Trefwoorden!$A$2:$A$99, E1841)), Trefwoorden!$B$2:$B$99),
  "Onbekend"
)</f>
        <v>voeding</v>
      </c>
      <c r="E1841" t="s">
        <v>736</v>
      </c>
      <c r="F1841" t="str">
        <f>VLOOKUP(Tabel1[[#This Row],[categorie]],Lijst!A:C,3,FALSE)</f>
        <v>Uitgave</v>
      </c>
      <c r="G1841">
        <f t="shared" si="88"/>
        <v>-29.86</v>
      </c>
      <c r="H1841" t="str">
        <f>VLOOKUP(Tabel1[[#This Row],[categorie]],Lijst!A:B,2,FALSE)</f>
        <v>Vast</v>
      </c>
      <c r="I1841" t="str">
        <f t="shared" si="89"/>
        <v>OK</v>
      </c>
    </row>
    <row r="1842" spans="1:9" hidden="1" x14ac:dyDescent="0.3">
      <c r="A1842" s="2">
        <v>45924</v>
      </c>
      <c r="B1842" t="str">
        <f t="shared" si="87"/>
        <v xml:space="preserve">september </v>
      </c>
      <c r="C1842">
        <v>-38</v>
      </c>
      <c r="D1842" t="str" cm="1">
        <f t="array" ref="D1842">IFERROR(
  _xlfn.XLOOKUP(TRUE, ISNUMBER(FIND(Trefwoorden!$A$2:$A$99, E1842)), Trefwoorden!$B$2:$B$99),
  "Onbekend"
)</f>
        <v>kledij</v>
      </c>
      <c r="E1842" t="s">
        <v>738</v>
      </c>
      <c r="F1842" t="str">
        <f>VLOOKUP(Tabel1[[#This Row],[categorie]],Lijst!A:C,3,FALSE)</f>
        <v>Uitgave</v>
      </c>
      <c r="G1842">
        <f t="shared" si="88"/>
        <v>-38</v>
      </c>
      <c r="H1842" t="str">
        <f>VLOOKUP(Tabel1[[#This Row],[categorie]],Lijst!A:B,2,FALSE)</f>
        <v>Variabel</v>
      </c>
      <c r="I1842" t="str">
        <f t="shared" si="89"/>
        <v>OK</v>
      </c>
    </row>
    <row r="1843" spans="1:9" hidden="1" x14ac:dyDescent="0.3">
      <c r="A1843" s="2">
        <v>45924</v>
      </c>
      <c r="B1843" t="str">
        <f t="shared" si="87"/>
        <v xml:space="preserve">september </v>
      </c>
      <c r="C1843">
        <v>250</v>
      </c>
      <c r="D1843" t="s">
        <v>75</v>
      </c>
      <c r="E1843" t="s">
        <v>739</v>
      </c>
      <c r="F1843" t="s">
        <v>17</v>
      </c>
      <c r="G1843">
        <f t="shared" si="88"/>
        <v>250</v>
      </c>
      <c r="H1843" t="str">
        <f>VLOOKUP(Tabel1[[#This Row],[categorie]],Lijst!A:B,2,FALSE)</f>
        <v>Variabel</v>
      </c>
      <c r="I1843" t="str">
        <f t="shared" si="89"/>
        <v>OK</v>
      </c>
    </row>
    <row r="1844" spans="1:9" hidden="1" x14ac:dyDescent="0.3">
      <c r="A1844" s="2">
        <v>45925</v>
      </c>
      <c r="B1844" t="str">
        <f t="shared" si="87"/>
        <v xml:space="preserve">september </v>
      </c>
      <c r="C1844">
        <v>-17.809999999999999</v>
      </c>
      <c r="D1844" t="str" cm="1">
        <f t="array" ref="D1844">IFERROR(
  _xlfn.XLOOKUP(TRUE, ISNUMBER(FIND(Trefwoorden!$A$2:$A$99, E1844)), Trefwoorden!$B$2:$B$99),
  "Onbekend"
)</f>
        <v>voeding</v>
      </c>
      <c r="E1844" t="s">
        <v>729</v>
      </c>
      <c r="F1844" t="str">
        <f>VLOOKUP(Tabel1[[#This Row],[categorie]],Lijst!A:C,3,FALSE)</f>
        <v>Uitgave</v>
      </c>
      <c r="G1844">
        <f t="shared" si="88"/>
        <v>-17.809999999999999</v>
      </c>
      <c r="H1844" t="str">
        <f>VLOOKUP(Tabel1[[#This Row],[categorie]],Lijst!A:B,2,FALSE)</f>
        <v>Vast</v>
      </c>
      <c r="I1844" t="str">
        <f t="shared" si="89"/>
        <v>OK</v>
      </c>
    </row>
    <row r="1845" spans="1:9" hidden="1" x14ac:dyDescent="0.3">
      <c r="A1845" s="2">
        <v>45925</v>
      </c>
      <c r="B1845" t="str">
        <f t="shared" si="87"/>
        <v xml:space="preserve">september </v>
      </c>
      <c r="C1845">
        <v>-8.06</v>
      </c>
      <c r="D1845" t="str" cm="1">
        <f t="array" ref="D1845">IFERROR(
  _xlfn.XLOOKUP(TRUE, ISNUMBER(FIND(Trefwoorden!$A$2:$A$99, E1845)), Trefwoorden!$B$2:$B$99),
  "Onbekend"
)</f>
        <v>voeding</v>
      </c>
      <c r="E1845" t="s">
        <v>730</v>
      </c>
      <c r="F1845" t="str">
        <f>VLOOKUP(Tabel1[[#This Row],[categorie]],Lijst!A:C,3,FALSE)</f>
        <v>Uitgave</v>
      </c>
      <c r="G1845">
        <f t="shared" si="88"/>
        <v>-8.06</v>
      </c>
      <c r="H1845" t="str">
        <f>VLOOKUP(Tabel1[[#This Row],[categorie]],Lijst!A:B,2,FALSE)</f>
        <v>Vast</v>
      </c>
      <c r="I1845" t="str">
        <f t="shared" si="89"/>
        <v>OK</v>
      </c>
    </row>
    <row r="1846" spans="1:9" hidden="1" x14ac:dyDescent="0.3">
      <c r="A1846" s="2">
        <v>45925</v>
      </c>
      <c r="B1846" t="str">
        <f t="shared" si="87"/>
        <v xml:space="preserve">september </v>
      </c>
      <c r="C1846">
        <v>-3.99</v>
      </c>
      <c r="D1846" t="str" cm="1">
        <f t="array" ref="D1846">IFERROR(
  _xlfn.XLOOKUP(TRUE, ISNUMBER(FIND(Trefwoorden!$A$2:$A$99, E1846)), Trefwoorden!$B$2:$B$99),
  "Onbekend"
)</f>
        <v>voeding</v>
      </c>
      <c r="E1846" t="s">
        <v>732</v>
      </c>
      <c r="F1846" t="str">
        <f>VLOOKUP(Tabel1[[#This Row],[categorie]],Lijst!A:C,3,FALSE)</f>
        <v>Uitgave</v>
      </c>
      <c r="G1846">
        <f t="shared" si="88"/>
        <v>-3.99</v>
      </c>
      <c r="H1846" t="str">
        <f>VLOOKUP(Tabel1[[#This Row],[categorie]],Lijst!A:B,2,FALSE)</f>
        <v>Vast</v>
      </c>
      <c r="I1846" t="str">
        <f t="shared" si="89"/>
        <v>OK</v>
      </c>
    </row>
    <row r="1847" spans="1:9" hidden="1" x14ac:dyDescent="0.3">
      <c r="A1847" s="2">
        <v>45925</v>
      </c>
      <c r="B1847" t="str">
        <f t="shared" si="87"/>
        <v xml:space="preserve">september </v>
      </c>
      <c r="C1847">
        <v>-29.99</v>
      </c>
      <c r="D1847" t="str" cm="1">
        <f t="array" ref="D1847">IFERROR(
  _xlfn.XLOOKUP(TRUE, ISNUMBER(FIND(Trefwoorden!$A$2:$A$99, E1847)), Trefwoorden!$B$2:$B$99),
  "Onbekend"
)</f>
        <v>Coolblue</v>
      </c>
      <c r="E1847" t="s">
        <v>734</v>
      </c>
      <c r="F1847" t="str">
        <f>VLOOKUP(Tabel1[[#This Row],[categorie]],Lijst!A:C,3,FALSE)</f>
        <v>Uitgave</v>
      </c>
      <c r="G1847">
        <f t="shared" si="88"/>
        <v>-29.99</v>
      </c>
      <c r="H1847" t="str">
        <f>VLOOKUP(Tabel1[[#This Row],[categorie]],Lijst!A:B,2,FALSE)</f>
        <v>Variabel</v>
      </c>
      <c r="I1847" t="str">
        <f t="shared" si="89"/>
        <v>OK</v>
      </c>
    </row>
    <row r="1848" spans="1:9" hidden="1" x14ac:dyDescent="0.3">
      <c r="A1848" s="2">
        <v>45926</v>
      </c>
      <c r="B1848" t="str">
        <f t="shared" si="87"/>
        <v xml:space="preserve">september </v>
      </c>
      <c r="C1848">
        <v>-2.59</v>
      </c>
      <c r="D1848" t="str" cm="1">
        <f t="array" ref="D1848">IFERROR(
  _xlfn.XLOOKUP(TRUE, ISNUMBER(FIND(Trefwoorden!$A$2:$A$99, E1848)), Trefwoorden!$B$2:$B$99),
  "Onbekend"
)</f>
        <v>voeding</v>
      </c>
      <c r="E1848" t="s">
        <v>723</v>
      </c>
      <c r="F1848" t="str">
        <f>VLOOKUP(Tabel1[[#This Row],[categorie]],Lijst!A:C,3,FALSE)</f>
        <v>Uitgave</v>
      </c>
      <c r="G1848">
        <f t="shared" si="88"/>
        <v>-2.59</v>
      </c>
      <c r="H1848" t="str">
        <f>VLOOKUP(Tabel1[[#This Row],[categorie]],Lijst!A:B,2,FALSE)</f>
        <v>Vast</v>
      </c>
      <c r="I1848" t="str">
        <f t="shared" si="89"/>
        <v>OK</v>
      </c>
    </row>
    <row r="1849" spans="1:9" hidden="1" x14ac:dyDescent="0.3">
      <c r="A1849" s="2">
        <v>45926</v>
      </c>
      <c r="B1849" t="str">
        <f t="shared" si="87"/>
        <v xml:space="preserve">september </v>
      </c>
      <c r="C1849">
        <v>-5.27</v>
      </c>
      <c r="D1849" t="str" cm="1">
        <f t="array" ref="D1849">IFERROR(
  _xlfn.XLOOKUP(TRUE, ISNUMBER(FIND(Trefwoorden!$A$2:$A$99, E1849)), Trefwoorden!$B$2:$B$99),
  "Onbekend"
)</f>
        <v>voeding</v>
      </c>
      <c r="E1849" t="s">
        <v>724</v>
      </c>
      <c r="F1849" t="str">
        <f>VLOOKUP(Tabel1[[#This Row],[categorie]],Lijst!A:C,3,FALSE)</f>
        <v>Uitgave</v>
      </c>
      <c r="G1849">
        <f t="shared" si="88"/>
        <v>-5.27</v>
      </c>
      <c r="H1849" t="str">
        <f>VLOOKUP(Tabel1[[#This Row],[categorie]],Lijst!A:B,2,FALSE)</f>
        <v>Vast</v>
      </c>
      <c r="I1849" t="str">
        <f t="shared" si="89"/>
        <v>OK</v>
      </c>
    </row>
    <row r="1850" spans="1:9" hidden="1" x14ac:dyDescent="0.3">
      <c r="A1850" s="2">
        <v>45926</v>
      </c>
      <c r="B1850" t="str">
        <f t="shared" si="87"/>
        <v xml:space="preserve">september </v>
      </c>
      <c r="C1850">
        <v>-20</v>
      </c>
      <c r="D1850" t="s">
        <v>35</v>
      </c>
      <c r="E1850" t="s">
        <v>728</v>
      </c>
      <c r="F1850" t="str">
        <f>VLOOKUP(Tabel1[[#This Row],[categorie]],Lijst!A:C,3,FALSE)</f>
        <v>Uitgave</v>
      </c>
      <c r="G1850">
        <f t="shared" si="88"/>
        <v>-20</v>
      </c>
      <c r="H1850" t="str">
        <f>VLOOKUP(Tabel1[[#This Row],[categorie]],Lijst!A:B,2,FALSE)</f>
        <v>Variabel</v>
      </c>
      <c r="I1850" t="str">
        <f t="shared" si="89"/>
        <v>OK</v>
      </c>
    </row>
    <row r="1851" spans="1:9" hidden="1" x14ac:dyDescent="0.3">
      <c r="A1851" s="2">
        <v>45926</v>
      </c>
      <c r="B1851" t="str">
        <f t="shared" si="87"/>
        <v xml:space="preserve">september </v>
      </c>
      <c r="C1851">
        <v>-8.8000000000000007</v>
      </c>
      <c r="D1851" t="s">
        <v>3</v>
      </c>
      <c r="E1851" t="s">
        <v>731</v>
      </c>
      <c r="F1851" t="str">
        <f>VLOOKUP(Tabel1[[#This Row],[categorie]],Lijst!A:C,3,FALSE)</f>
        <v>Uitgave</v>
      </c>
      <c r="G1851">
        <f t="shared" si="88"/>
        <v>-8.8000000000000007</v>
      </c>
      <c r="H1851" t="str">
        <f>VLOOKUP(Tabel1[[#This Row],[categorie]],Lijst!A:B,2,FALSE)</f>
        <v>Vast</v>
      </c>
      <c r="I1851" t="str">
        <f t="shared" si="89"/>
        <v>OK</v>
      </c>
    </row>
    <row r="1852" spans="1:9" hidden="1" x14ac:dyDescent="0.3">
      <c r="A1852" s="2">
        <v>45926</v>
      </c>
      <c r="B1852" t="str">
        <f t="shared" si="87"/>
        <v xml:space="preserve">september </v>
      </c>
      <c r="C1852">
        <v>-1.2</v>
      </c>
      <c r="D1852" t="str" cm="1">
        <f t="array" ref="D1852">IFERROR(
  _xlfn.XLOOKUP(TRUE, ISNUMBER(FIND(Trefwoorden!$A$2:$A$99, E1852)), Trefwoorden!$B$2:$B$99),
  "Onbekend"
)</f>
        <v>automaat De Lijn</v>
      </c>
      <c r="E1852" t="s">
        <v>733</v>
      </c>
      <c r="F1852" t="str">
        <f>VLOOKUP(Tabel1[[#This Row],[categorie]],Lijst!A:C,3,FALSE)</f>
        <v>Uitgave</v>
      </c>
      <c r="G1852">
        <f t="shared" si="88"/>
        <v>-1.2</v>
      </c>
      <c r="H1852" t="str">
        <f>VLOOKUP(Tabel1[[#This Row],[categorie]],Lijst!A:B,2,FALSE)</f>
        <v>Variabel</v>
      </c>
      <c r="I1852" t="str">
        <f t="shared" si="89"/>
        <v>OK</v>
      </c>
    </row>
    <row r="1853" spans="1:9" hidden="1" x14ac:dyDescent="0.3">
      <c r="A1853" s="2">
        <v>45926</v>
      </c>
      <c r="B1853" t="str">
        <f t="shared" si="87"/>
        <v xml:space="preserve">september </v>
      </c>
      <c r="C1853">
        <v>-120.98</v>
      </c>
      <c r="D1853" t="str" cm="1">
        <f t="array" ref="D1853">IFERROR(
  _xlfn.XLOOKUP(TRUE, ISNUMBER(FIND(Trefwoorden!$A$2:$A$99, E1853)), Trefwoorden!$B$2:$B$99),
  "Onbekend"
)</f>
        <v>AXA</v>
      </c>
      <c r="E1853" t="s">
        <v>735</v>
      </c>
      <c r="F1853" t="str">
        <f>VLOOKUP(Tabel1[[#This Row],[categorie]],Lijst!A:C,3,FALSE)</f>
        <v>Uitgave</v>
      </c>
      <c r="G1853">
        <f t="shared" si="88"/>
        <v>-120.98</v>
      </c>
      <c r="H1853" t="str">
        <f>VLOOKUP(Tabel1[[#This Row],[categorie]],Lijst!A:B,2,FALSE)</f>
        <v>Vast</v>
      </c>
      <c r="I1853" t="str">
        <f t="shared" si="89"/>
        <v>OK</v>
      </c>
    </row>
    <row r="1854" spans="1:9" hidden="1" x14ac:dyDescent="0.3">
      <c r="A1854" s="2">
        <v>45927</v>
      </c>
      <c r="B1854" t="str">
        <f t="shared" si="87"/>
        <v xml:space="preserve">september </v>
      </c>
      <c r="C1854">
        <v>-150</v>
      </c>
      <c r="D1854" t="s">
        <v>44</v>
      </c>
      <c r="E1854" t="s">
        <v>725</v>
      </c>
      <c r="F1854" t="str">
        <f>VLOOKUP(Tabel1[[#This Row],[categorie]],Lijst!A:C,3,FALSE)</f>
        <v>Uitgave</v>
      </c>
      <c r="G1854">
        <f t="shared" si="88"/>
        <v>-150</v>
      </c>
      <c r="H1854" t="str">
        <f>VLOOKUP(Tabel1[[#This Row],[categorie]],Lijst!A:B,2,FALSE)</f>
        <v>Variabel</v>
      </c>
      <c r="I1854" t="str">
        <f t="shared" si="89"/>
        <v>OK</v>
      </c>
    </row>
    <row r="1855" spans="1:9" hidden="1" x14ac:dyDescent="0.3">
      <c r="A1855" s="2">
        <v>45927</v>
      </c>
      <c r="B1855" t="str">
        <f t="shared" si="87"/>
        <v xml:space="preserve">september </v>
      </c>
      <c r="C1855">
        <v>-10</v>
      </c>
      <c r="D1855" t="s">
        <v>32</v>
      </c>
      <c r="E1855" t="s">
        <v>726</v>
      </c>
      <c r="F1855" t="str">
        <f>VLOOKUP(Tabel1[[#This Row],[categorie]],Lijst!A:C,3,FALSE)</f>
        <v>Uitgave</v>
      </c>
      <c r="G1855">
        <f t="shared" si="88"/>
        <v>-10</v>
      </c>
      <c r="H1855" t="str">
        <f>VLOOKUP(Tabel1[[#This Row],[categorie]],Lijst!A:B,2,FALSE)</f>
        <v>Variabel</v>
      </c>
      <c r="I1855" t="str">
        <f t="shared" si="89"/>
        <v>OK</v>
      </c>
    </row>
    <row r="1856" spans="1:9" hidden="1" x14ac:dyDescent="0.3">
      <c r="A1856" s="2">
        <v>45927</v>
      </c>
      <c r="B1856" t="str">
        <f t="shared" si="87"/>
        <v xml:space="preserve">september </v>
      </c>
      <c r="C1856">
        <v>-25</v>
      </c>
      <c r="D1856" t="str" cm="1">
        <f t="array" ref="D1856">IFERROR(
  _xlfn.XLOOKUP(TRUE, ISNUMBER(FIND(Trefwoorden!$A$2:$A$99, E1856)), Trefwoorden!$B$2:$B$99),
  "Onbekend"
)</f>
        <v>kapster</v>
      </c>
      <c r="E1856" t="s">
        <v>727</v>
      </c>
      <c r="F1856" t="str">
        <f>VLOOKUP(Tabel1[[#This Row],[categorie]],Lijst!A:C,3,FALSE)</f>
        <v>Uitgave</v>
      </c>
      <c r="G1856">
        <f t="shared" si="88"/>
        <v>-25</v>
      </c>
      <c r="H1856" t="str">
        <f>VLOOKUP(Tabel1[[#This Row],[categorie]],Lijst!A:B,2,FALSE)</f>
        <v>Vast</v>
      </c>
      <c r="I1856" t="str">
        <f t="shared" si="89"/>
        <v>OK</v>
      </c>
    </row>
    <row r="1857" spans="1:9" hidden="1" x14ac:dyDescent="0.3">
      <c r="A1857" s="2">
        <v>45929</v>
      </c>
      <c r="B1857" t="str">
        <f t="shared" si="87"/>
        <v xml:space="preserve">september </v>
      </c>
      <c r="C1857">
        <v>-6.49</v>
      </c>
      <c r="D1857" t="str" cm="1">
        <f t="array" ref="D1857">IFERROR(
  _xlfn.XLOOKUP(TRUE, ISNUMBER(FIND(Trefwoorden!$A$2:$A$99, E1857)), Trefwoorden!$B$2:$B$99),
  "Onbekend"
)</f>
        <v>Ikea</v>
      </c>
      <c r="E1857" t="s">
        <v>742</v>
      </c>
      <c r="F1857" t="str">
        <f>VLOOKUP(Tabel1[[#This Row],[categorie]],Lijst!A:C,3,FALSE)</f>
        <v>Uitgave</v>
      </c>
      <c r="G1857">
        <f t="shared" si="88"/>
        <v>-6.49</v>
      </c>
      <c r="H1857" t="str">
        <f>VLOOKUP(Tabel1[[#This Row],[categorie]],Lijst!A:B,2,FALSE)</f>
        <v>Variabel</v>
      </c>
      <c r="I1857" t="str">
        <f t="shared" si="89"/>
        <v>OK</v>
      </c>
    </row>
    <row r="1858" spans="1:9" hidden="1" x14ac:dyDescent="0.3">
      <c r="A1858" s="2">
        <v>45929</v>
      </c>
      <c r="B1858" t="str">
        <f t="shared" si="87"/>
        <v xml:space="preserve">september </v>
      </c>
      <c r="C1858">
        <v>-21.61</v>
      </c>
      <c r="D1858" t="str" cm="1">
        <f t="array" ref="D1858">IFERROR(
  _xlfn.XLOOKUP(TRUE, ISNUMBER(FIND(Trefwoorden!$A$2:$A$99, E1858)), Trefwoorden!$B$2:$B$99),
  "Onbekend"
)</f>
        <v>voeding</v>
      </c>
      <c r="E1858" t="s">
        <v>743</v>
      </c>
      <c r="F1858" t="str">
        <f>VLOOKUP(Tabel1[[#This Row],[categorie]],Lijst!A:C,3,FALSE)</f>
        <v>Uitgave</v>
      </c>
      <c r="G1858">
        <f t="shared" si="88"/>
        <v>-21.61</v>
      </c>
      <c r="H1858" t="str">
        <f>VLOOKUP(Tabel1[[#This Row],[categorie]],Lijst!A:B,2,FALSE)</f>
        <v>Vast</v>
      </c>
      <c r="I1858" t="str">
        <f t="shared" si="89"/>
        <v>OK</v>
      </c>
    </row>
    <row r="1859" spans="1:9" hidden="1" x14ac:dyDescent="0.3">
      <c r="A1859" s="2">
        <v>45929</v>
      </c>
      <c r="B1859" t="str">
        <f t="shared" si="87"/>
        <v xml:space="preserve">september </v>
      </c>
      <c r="C1859">
        <v>-53.5</v>
      </c>
      <c r="D1859" cm="1">
        <f t="array" ref="D1859">IFERROR(
  _xlfn.XLOOKUP(TRUE, ISNUMBER(FIND(Trefwoorden!$A$2:$A$99, E1859)), Trefwoorden!$B$2:$B$99),
  "Onbekend"
)</f>
        <v>0</v>
      </c>
      <c r="E1859" t="s">
        <v>748</v>
      </c>
      <c r="F1859" t="e">
        <f>VLOOKUP(Tabel1[[#This Row],[categorie]],Lijst!A:C,3,FALSE)</f>
        <v>#N/A</v>
      </c>
      <c r="G1859" t="e">
        <f t="shared" si="88"/>
        <v>#N/A</v>
      </c>
      <c r="H1859" t="e">
        <f>VLOOKUP(Tabel1[[#This Row],[categorie]],Lijst!A:B,2,FALSE)</f>
        <v>#N/A</v>
      </c>
      <c r="I1859" t="e">
        <f t="shared" si="89"/>
        <v>#N/A</v>
      </c>
    </row>
    <row r="1860" spans="1:9" hidden="1" x14ac:dyDescent="0.3">
      <c r="A1860" s="2">
        <v>45929</v>
      </c>
      <c r="B1860" t="str">
        <f t="shared" si="87"/>
        <v xml:space="preserve">september </v>
      </c>
      <c r="C1860">
        <v>-18</v>
      </c>
      <c r="D1860" cm="1">
        <f t="array" ref="D1860">IFERROR(
  _xlfn.XLOOKUP(TRUE, ISNUMBER(FIND(Trefwoorden!$A$2:$A$99, E1860)), Trefwoorden!$B$2:$B$99),
  "Onbekend"
)</f>
        <v>0</v>
      </c>
      <c r="E1860" t="s">
        <v>749</v>
      </c>
      <c r="F1860" t="e">
        <f>VLOOKUP(Tabel1[[#This Row],[categorie]],Lijst!A:C,3,FALSE)</f>
        <v>#N/A</v>
      </c>
      <c r="G1860" t="e">
        <f t="shared" si="88"/>
        <v>#N/A</v>
      </c>
      <c r="H1860" t="e">
        <f>VLOOKUP(Tabel1[[#This Row],[categorie]],Lijst!A:B,2,FALSE)</f>
        <v>#N/A</v>
      </c>
      <c r="I1860" t="e">
        <f t="shared" si="89"/>
        <v>#N/A</v>
      </c>
    </row>
    <row r="1861" spans="1:9" hidden="1" x14ac:dyDescent="0.3">
      <c r="A1861" s="2">
        <v>45930</v>
      </c>
      <c r="B1861" t="str">
        <f t="shared" si="87"/>
        <v xml:space="preserve">september </v>
      </c>
      <c r="C1861">
        <v>-5.25</v>
      </c>
      <c r="D1861" cm="1">
        <f t="array" ref="D1861">IFERROR(
  _xlfn.XLOOKUP(TRUE, ISNUMBER(FIND(Trefwoorden!$A$2:$A$99, E1861)), Trefwoorden!$B$2:$B$99),
  "Onbekend"
)</f>
        <v>0</v>
      </c>
      <c r="E1861" t="s">
        <v>741</v>
      </c>
      <c r="F1861" t="e">
        <f>VLOOKUP(Tabel1[[#This Row],[categorie]],Lijst!A:C,3,FALSE)</f>
        <v>#N/A</v>
      </c>
      <c r="G1861" t="e">
        <f t="shared" si="88"/>
        <v>#N/A</v>
      </c>
      <c r="H1861" t="e">
        <f>VLOOKUP(Tabel1[[#This Row],[categorie]],Lijst!A:B,2,FALSE)</f>
        <v>#N/A</v>
      </c>
      <c r="I1861" t="e">
        <f t="shared" si="89"/>
        <v>#N/A</v>
      </c>
    </row>
    <row r="1862" spans="1:9" hidden="1" x14ac:dyDescent="0.3">
      <c r="A1862" s="2">
        <v>45930</v>
      </c>
      <c r="B1862" t="str">
        <f t="shared" si="87"/>
        <v xml:space="preserve">september </v>
      </c>
      <c r="C1862">
        <v>-50.6</v>
      </c>
      <c r="D1862" t="str" cm="1">
        <f t="array" ref="D1862">IFERROR(
  _xlfn.XLOOKUP(TRUE, ISNUMBER(FIND(Trefwoorden!$A$2:$A$99, E1862)), Trefwoorden!$B$2:$B$99),
  "Onbekend"
)</f>
        <v>Hospitalisatie</v>
      </c>
      <c r="E1862" t="s">
        <v>744</v>
      </c>
      <c r="F1862" t="str">
        <f>VLOOKUP(Tabel1[[#This Row],[categorie]],Lijst!A:C,3,FALSE)</f>
        <v>Uitgave</v>
      </c>
      <c r="G1862">
        <f t="shared" si="88"/>
        <v>-50.6</v>
      </c>
      <c r="H1862" t="str">
        <f>VLOOKUP(Tabel1[[#This Row],[categorie]],Lijst!A:B,2,FALSE)</f>
        <v>Vast</v>
      </c>
      <c r="I1862" t="str">
        <f t="shared" si="89"/>
        <v>OK</v>
      </c>
    </row>
    <row r="1863" spans="1:9" hidden="1" x14ac:dyDescent="0.3">
      <c r="A1863" s="2">
        <v>45930</v>
      </c>
      <c r="B1863" t="str">
        <f t="shared" si="87"/>
        <v xml:space="preserve">september </v>
      </c>
      <c r="C1863">
        <v>-61.83</v>
      </c>
      <c r="D1863" t="str" cm="1">
        <f t="array" ref="D1863">IFERROR(
  _xlfn.XLOOKUP(TRUE, ISNUMBER(FIND(Trefwoorden!$A$2:$A$99, E1863)), Trefwoorden!$B$2:$B$99),
  "Onbekend"
)</f>
        <v>Telenet</v>
      </c>
      <c r="E1863" t="s">
        <v>745</v>
      </c>
      <c r="F1863" t="str">
        <f>VLOOKUP(Tabel1[[#This Row],[categorie]],Lijst!A:C,3,FALSE)</f>
        <v>Uitgave</v>
      </c>
      <c r="G1863">
        <f t="shared" si="88"/>
        <v>-61.83</v>
      </c>
      <c r="H1863" t="str">
        <f>VLOOKUP(Tabel1[[#This Row],[categorie]],Lijst!A:B,2,FALSE)</f>
        <v>Vast</v>
      </c>
      <c r="I1863" t="str">
        <f t="shared" si="89"/>
        <v>OK</v>
      </c>
    </row>
    <row r="1864" spans="1:9" hidden="1" x14ac:dyDescent="0.3">
      <c r="A1864" s="2">
        <v>45930</v>
      </c>
      <c r="B1864" t="str">
        <f t="shared" si="87"/>
        <v xml:space="preserve">september </v>
      </c>
      <c r="C1864">
        <v>-377.41</v>
      </c>
      <c r="D1864" t="str" cm="1">
        <f t="array" ref="D1864">IFERROR(
  _xlfn.XLOOKUP(TRUE, ISNUMBER(FIND(Trefwoorden!$A$2:$A$99, E1864)), Trefwoorden!$B$2:$B$99),
  "Onbekend"
)</f>
        <v>Leasing Auto</v>
      </c>
      <c r="E1864" t="s">
        <v>746</v>
      </c>
      <c r="F1864" t="str">
        <f>VLOOKUP(Tabel1[[#This Row],[categorie]],Lijst!A:C,3,FALSE)</f>
        <v>Uitgave</v>
      </c>
      <c r="G1864">
        <f t="shared" si="88"/>
        <v>-377.41</v>
      </c>
      <c r="H1864" t="str">
        <f>VLOOKUP(Tabel1[[#This Row],[categorie]],Lijst!A:B,2,FALSE)</f>
        <v>Vast</v>
      </c>
      <c r="I1864" t="str">
        <f t="shared" si="89"/>
        <v>OK</v>
      </c>
    </row>
    <row r="1865" spans="1:9" hidden="1" x14ac:dyDescent="0.3">
      <c r="A1865" s="2">
        <v>45930</v>
      </c>
      <c r="B1865" t="str">
        <f t="shared" si="87"/>
        <v xml:space="preserve">september </v>
      </c>
      <c r="C1865">
        <v>-132.5</v>
      </c>
      <c r="D1865" t="s">
        <v>32</v>
      </c>
      <c r="E1865" t="s">
        <v>826</v>
      </c>
      <c r="F1865" t="str">
        <f>VLOOKUP(Tabel1[[#This Row],[categorie]],Lijst!A:C,3,FALSE)</f>
        <v>Uitgave</v>
      </c>
      <c r="G1865">
        <f t="shared" si="88"/>
        <v>-132.5</v>
      </c>
      <c r="H1865" t="str">
        <f>VLOOKUP(Tabel1[[#This Row],[categorie]],Lijst!A:B,2,FALSE)</f>
        <v>Variabel</v>
      </c>
      <c r="I1865" t="str">
        <f t="shared" si="89"/>
        <v>OK</v>
      </c>
    </row>
    <row r="1866" spans="1:9" hidden="1" x14ac:dyDescent="0.3">
      <c r="A1866" s="2">
        <v>45930</v>
      </c>
      <c r="B1866" t="str">
        <f t="shared" si="87"/>
        <v xml:space="preserve">september </v>
      </c>
      <c r="C1866">
        <v>-5.24</v>
      </c>
      <c r="D1866" t="str" cm="1">
        <f t="array" ref="D1866">IFERROR(
  _xlfn.XLOOKUP(TRUE, ISNUMBER(FIND(Trefwoorden!$A$2:$A$99, E1866)), Trefwoorden!$B$2:$B$99),
  "Onbekend"
)</f>
        <v>voeding</v>
      </c>
      <c r="E1866" t="s">
        <v>827</v>
      </c>
      <c r="F1866" t="str">
        <f>VLOOKUP(Tabel1[[#This Row],[categorie]],Lijst!A:C,3,FALSE)</f>
        <v>Uitgave</v>
      </c>
      <c r="G1866">
        <f t="shared" si="88"/>
        <v>-5.24</v>
      </c>
      <c r="H1866" t="str">
        <f>VLOOKUP(Tabel1[[#This Row],[categorie]],Lijst!A:B,2,FALSE)</f>
        <v>Vast</v>
      </c>
      <c r="I1866" t="str">
        <f t="shared" si="89"/>
        <v>OK</v>
      </c>
    </row>
    <row r="1867" spans="1:9" hidden="1" x14ac:dyDescent="0.3">
      <c r="A1867" s="2">
        <v>45930</v>
      </c>
      <c r="B1867" t="str">
        <f t="shared" si="87"/>
        <v xml:space="preserve">september </v>
      </c>
      <c r="C1867">
        <v>-13.18</v>
      </c>
      <c r="D1867" t="str" cm="1">
        <f t="array" ref="D1867">IFERROR(
  _xlfn.XLOOKUP(TRUE, ISNUMBER(FIND(Trefwoorden!$A$2:$A$99, E1867)), Trefwoorden!$B$2:$B$99),
  "Onbekend"
)</f>
        <v>voeding</v>
      </c>
      <c r="E1867" t="s">
        <v>829</v>
      </c>
      <c r="F1867" t="str">
        <f>VLOOKUP(Tabel1[[#This Row],[categorie]],Lijst!A:C,3,FALSE)</f>
        <v>Uitgave</v>
      </c>
      <c r="G1867">
        <f t="shared" si="88"/>
        <v>-13.18</v>
      </c>
      <c r="H1867" t="str">
        <f>VLOOKUP(Tabel1[[#This Row],[categorie]],Lijst!A:B,2,FALSE)</f>
        <v>Vast</v>
      </c>
      <c r="I1867" t="str">
        <f t="shared" si="89"/>
        <v>OK</v>
      </c>
    </row>
    <row r="1868" spans="1:9" hidden="1" x14ac:dyDescent="0.3">
      <c r="A1868" s="2">
        <v>45930</v>
      </c>
      <c r="B1868" t="str">
        <f t="shared" ref="B1868:B1870" si="90">TEXT(A1868,"mmmm ")</f>
        <v xml:space="preserve">september </v>
      </c>
      <c r="C1868">
        <v>-71.180000000000007</v>
      </c>
      <c r="D1868" t="str" cm="1">
        <f t="array" ref="D1868">IFERROR(
  _xlfn.XLOOKUP(TRUE, ISNUMBER(FIND(Trefwoorden!$A$2:$A$99, E1868)), Trefwoorden!$B$2:$B$99),
  "Onbekend"
)</f>
        <v>kledij</v>
      </c>
      <c r="E1868" t="s">
        <v>830</v>
      </c>
      <c r="F1868" t="str">
        <f>VLOOKUP(Tabel1[[#This Row],[categorie]],Lijst!A:C,3,FALSE)</f>
        <v>Uitgave</v>
      </c>
      <c r="G1868">
        <f t="shared" ref="G1868:G1870" si="91">IF(F1868="Uitgave", -ABS(C1868), ABS(C1868))</f>
        <v>-71.180000000000007</v>
      </c>
      <c r="H1868" t="str">
        <f>VLOOKUP(Tabel1[[#This Row],[categorie]],Lijst!A:B,2,FALSE)</f>
        <v>Variabel</v>
      </c>
      <c r="I1868" t="str">
        <f t="shared" ref="I1868:I1870" si="92">IF(OR(AND(F1868="Uitgave", C1868&lt;0), AND(F1868="Inkomst", C1868&gt;0)), "OK", "FOUT")</f>
        <v>OK</v>
      </c>
    </row>
    <row r="1869" spans="1:9" hidden="1" x14ac:dyDescent="0.3">
      <c r="A1869" s="2">
        <v>45930</v>
      </c>
      <c r="B1869" t="str">
        <f t="shared" si="90"/>
        <v xml:space="preserve">september </v>
      </c>
      <c r="C1869">
        <v>-112.98</v>
      </c>
      <c r="D1869" t="s">
        <v>32</v>
      </c>
      <c r="E1869" t="s">
        <v>831</v>
      </c>
      <c r="F1869" t="str">
        <f>VLOOKUP(Tabel1[[#This Row],[categorie]],Lijst!A:C,3,FALSE)</f>
        <v>Uitgave</v>
      </c>
      <c r="G1869">
        <f t="shared" si="91"/>
        <v>-112.98</v>
      </c>
      <c r="H1869" t="str">
        <f>VLOOKUP(Tabel1[[#This Row],[categorie]],Lijst!A:B,2,FALSE)</f>
        <v>Variabel</v>
      </c>
      <c r="I1869" t="str">
        <f t="shared" si="92"/>
        <v>OK</v>
      </c>
    </row>
    <row r="1870" spans="1:9" hidden="1" x14ac:dyDescent="0.3">
      <c r="A1870" s="2">
        <v>45930</v>
      </c>
      <c r="B1870" t="str">
        <f t="shared" si="90"/>
        <v xml:space="preserve">september </v>
      </c>
      <c r="C1870">
        <v>-20.059999999999999</v>
      </c>
      <c r="D1870" t="str" cm="1">
        <f t="array" ref="D1870">IFERROR(
  _xlfn.XLOOKUP(TRUE, ISNUMBER(FIND(Trefwoorden!$A$2:$A$99, E1870)), Trefwoorden!$B$2:$B$99),
  "Onbekend"
)</f>
        <v>Action</v>
      </c>
      <c r="E1870" t="s">
        <v>832</v>
      </c>
      <c r="F1870" t="str">
        <f>VLOOKUP(Tabel1[[#This Row],[categorie]],Lijst!A:C,3,FALSE)</f>
        <v>Uitgave</v>
      </c>
      <c r="G1870">
        <f t="shared" si="91"/>
        <v>-20.059999999999999</v>
      </c>
      <c r="H1870" t="str">
        <f>VLOOKUP(Tabel1[[#This Row],[categorie]],Lijst!A:B,2,FALSE)</f>
        <v>Variabel</v>
      </c>
      <c r="I1870" t="str">
        <f t="shared" si="92"/>
        <v>OK</v>
      </c>
    </row>
    <row r="1871" spans="1:9" hidden="1" x14ac:dyDescent="0.3">
      <c r="A1871" s="2">
        <v>45931</v>
      </c>
      <c r="B1871" t="str">
        <f t="shared" ref="B1871:B1934" si="93">TEXT(A1871,"mmmm ")</f>
        <v xml:space="preserve">oktober </v>
      </c>
      <c r="C1871">
        <v>2805.88</v>
      </c>
      <c r="D1871" t="s">
        <v>83</v>
      </c>
      <c r="E1871" t="s">
        <v>919</v>
      </c>
      <c r="F1871" t="str">
        <f>VLOOKUP(Tabel1[[#This Row],[categorie]],Lijst!A:C,3,FALSE)</f>
        <v>Inkomst</v>
      </c>
      <c r="G1871">
        <f t="shared" ref="G1871:G1934" si="94">IF(F1871="Uitgave", -ABS(C1871), ABS(C1871))</f>
        <v>2805.88</v>
      </c>
      <c r="H1871" t="str">
        <f>VLOOKUP(Tabel1[[#This Row],[categorie]],Lijst!A:B,2,FALSE)</f>
        <v>Inkomsten</v>
      </c>
      <c r="I1871" t="str">
        <f t="shared" ref="I1871:I1934" si="95">IF(OR(AND(F1871="Uitgave", C1871&lt;0), AND(F1871="Inkomst", C1871&gt;0)), "OK", "FOUT")</f>
        <v>OK</v>
      </c>
    </row>
    <row r="1872" spans="1:9" hidden="1" x14ac:dyDescent="0.3">
      <c r="A1872" s="2">
        <v>45931</v>
      </c>
      <c r="B1872" t="str">
        <f t="shared" si="93"/>
        <v xml:space="preserve">oktober </v>
      </c>
      <c r="C1872">
        <v>2399.4299999999998</v>
      </c>
      <c r="D1872" t="str" cm="1">
        <f t="array" ref="D1872">IFERROR(
  _xlfn.XLOOKUP(TRUE, ISNUMBER(FIND(Trefwoorden!$A$2:$A$99, E1872)), Trefwoorden!$B$2:$B$99),
  "Onbekend"
)</f>
        <v>Inkomsten Loon</v>
      </c>
      <c r="E1872" t="s">
        <v>747</v>
      </c>
      <c r="F1872" t="str">
        <f>VLOOKUP(Tabel1[[#This Row],[categorie]],Lijst!A:C,3,FALSE)</f>
        <v>Inkomst</v>
      </c>
      <c r="G1872">
        <f t="shared" si="94"/>
        <v>2399.4299999999998</v>
      </c>
      <c r="H1872" t="str">
        <f>VLOOKUP(Tabel1[[#This Row],[categorie]],Lijst!A:B,2,FALSE)</f>
        <v>Inkomsten</v>
      </c>
      <c r="I1872" t="str">
        <f t="shared" si="95"/>
        <v>OK</v>
      </c>
    </row>
    <row r="1873" spans="1:9" hidden="1" x14ac:dyDescent="0.3">
      <c r="A1873" s="2">
        <v>45931</v>
      </c>
      <c r="B1873" t="str">
        <f t="shared" si="93"/>
        <v xml:space="preserve">oktober </v>
      </c>
      <c r="C1873">
        <v>-7.99</v>
      </c>
      <c r="D1873" t="str" cm="1">
        <f t="array" ref="D1873">IFERROR(
  _xlfn.XLOOKUP(TRUE, ISNUMBER(FIND(Trefwoorden!$A$2:$A$99, E1873)), Trefwoorden!$B$2:$B$99),
  "Onbekend"
)</f>
        <v>voeding</v>
      </c>
      <c r="E1873" t="s">
        <v>821</v>
      </c>
      <c r="F1873" t="str">
        <f>VLOOKUP(Tabel1[[#This Row],[categorie]],Lijst!A:C,3,FALSE)</f>
        <v>Uitgave</v>
      </c>
      <c r="G1873">
        <f t="shared" si="94"/>
        <v>-7.99</v>
      </c>
      <c r="H1873" t="str">
        <f>VLOOKUP(Tabel1[[#This Row],[categorie]],Lijst!A:B,2,FALSE)</f>
        <v>Vast</v>
      </c>
      <c r="I1873" t="str">
        <f t="shared" si="95"/>
        <v>OK</v>
      </c>
    </row>
    <row r="1874" spans="1:9" hidden="1" x14ac:dyDescent="0.3">
      <c r="A1874" s="2">
        <v>45931</v>
      </c>
      <c r="B1874" t="str">
        <f t="shared" si="93"/>
        <v xml:space="preserve">oktober </v>
      </c>
      <c r="C1874">
        <v>-2.09</v>
      </c>
      <c r="D1874" t="str" cm="1">
        <f t="array" ref="D1874">IFERROR(
  _xlfn.XLOOKUP(TRUE, ISNUMBER(FIND(Trefwoorden!$A$2:$A$99, E1874)), Trefwoorden!$B$2:$B$99),
  "Onbekend"
)</f>
        <v>voeding</v>
      </c>
      <c r="E1874" t="s">
        <v>822</v>
      </c>
      <c r="F1874" t="str">
        <f>VLOOKUP(Tabel1[[#This Row],[categorie]],Lijst!A:C,3,FALSE)</f>
        <v>Uitgave</v>
      </c>
      <c r="G1874">
        <f t="shared" si="94"/>
        <v>-2.09</v>
      </c>
      <c r="H1874" t="str">
        <f>VLOOKUP(Tabel1[[#This Row],[categorie]],Lijst!A:B,2,FALSE)</f>
        <v>Vast</v>
      </c>
      <c r="I1874" t="str">
        <f t="shared" si="95"/>
        <v>OK</v>
      </c>
    </row>
    <row r="1875" spans="1:9" hidden="1" x14ac:dyDescent="0.3">
      <c r="A1875" s="2">
        <v>45931</v>
      </c>
      <c r="B1875" t="str">
        <f t="shared" si="93"/>
        <v xml:space="preserve">oktober </v>
      </c>
      <c r="C1875">
        <v>-7.85</v>
      </c>
      <c r="D1875" t="str" cm="1">
        <f t="array" ref="D1875">IFERROR(
  _xlfn.XLOOKUP(TRUE, ISNUMBER(FIND(Trefwoorden!$A$2:$A$99, E1875)), Trefwoorden!$B$2:$B$99),
  "Onbekend"
)</f>
        <v>voeding</v>
      </c>
      <c r="E1875" t="s">
        <v>835</v>
      </c>
      <c r="F1875" t="str">
        <f>VLOOKUP(Tabel1[[#This Row],[categorie]],Lijst!A:C,3,FALSE)</f>
        <v>Uitgave</v>
      </c>
      <c r="G1875">
        <f t="shared" si="94"/>
        <v>-7.85</v>
      </c>
      <c r="H1875" t="str">
        <f>VLOOKUP(Tabel1[[#This Row],[categorie]],Lijst!A:B,2,FALSE)</f>
        <v>Vast</v>
      </c>
      <c r="I1875" t="str">
        <f t="shared" si="95"/>
        <v>OK</v>
      </c>
    </row>
    <row r="1876" spans="1:9" hidden="1" x14ac:dyDescent="0.3">
      <c r="A1876" s="2">
        <v>45931</v>
      </c>
      <c r="B1876" t="str">
        <f t="shared" si="93"/>
        <v xml:space="preserve">oktober </v>
      </c>
      <c r="C1876">
        <v>-6.3</v>
      </c>
      <c r="D1876" t="s">
        <v>3</v>
      </c>
      <c r="E1876" t="s">
        <v>836</v>
      </c>
      <c r="F1876" t="str">
        <f>VLOOKUP(Tabel1[[#This Row],[categorie]],Lijst!A:C,3,FALSE)</f>
        <v>Uitgave</v>
      </c>
      <c r="G1876">
        <f t="shared" si="94"/>
        <v>-6.3</v>
      </c>
      <c r="H1876" t="str">
        <f>VLOOKUP(Tabel1[[#This Row],[categorie]],Lijst!A:B,2,FALSE)</f>
        <v>Vast</v>
      </c>
      <c r="I1876" t="str">
        <f t="shared" si="95"/>
        <v>OK</v>
      </c>
    </row>
    <row r="1877" spans="1:9" hidden="1" x14ac:dyDescent="0.3">
      <c r="A1877" s="2">
        <v>45931</v>
      </c>
      <c r="B1877" t="str">
        <f t="shared" si="93"/>
        <v xml:space="preserve">oktober </v>
      </c>
      <c r="C1877">
        <v>-14.99</v>
      </c>
      <c r="D1877" t="str" cm="1">
        <f t="array" ref="D1877">IFERROR(
  _xlfn.XLOOKUP(TRUE, ISNUMBER(FIND(Trefwoorden!$A$2:$A$99, E1877)), Trefwoorden!$B$2:$B$99),
  "Onbekend"
)</f>
        <v>Bol</v>
      </c>
      <c r="E1877" t="s">
        <v>837</v>
      </c>
      <c r="F1877" t="str">
        <f>VLOOKUP(Tabel1[[#This Row],[categorie]],Lijst!A:C,3,FALSE)</f>
        <v>Uitgave</v>
      </c>
      <c r="G1877">
        <f t="shared" si="94"/>
        <v>-14.99</v>
      </c>
      <c r="H1877" t="str">
        <f>VLOOKUP(Tabel1[[#This Row],[categorie]],Lijst!A:B,2,FALSE)</f>
        <v>Variabel</v>
      </c>
      <c r="I1877" t="str">
        <f t="shared" si="95"/>
        <v>OK</v>
      </c>
    </row>
    <row r="1878" spans="1:9" hidden="1" x14ac:dyDescent="0.3">
      <c r="A1878" s="2">
        <v>45931</v>
      </c>
      <c r="B1878" t="str">
        <f t="shared" si="93"/>
        <v xml:space="preserve">oktober </v>
      </c>
      <c r="C1878">
        <v>-18.95</v>
      </c>
      <c r="D1878" t="s">
        <v>82</v>
      </c>
      <c r="E1878" t="s">
        <v>838</v>
      </c>
      <c r="F1878" t="s">
        <v>18</v>
      </c>
      <c r="G1878">
        <f t="shared" si="94"/>
        <v>-18.95</v>
      </c>
      <c r="H1878" t="str">
        <f>VLOOKUP(Tabel1[[#This Row],[categorie]],Lijst!A:B,2,FALSE)</f>
        <v>Vast</v>
      </c>
      <c r="I1878" t="str">
        <f t="shared" si="95"/>
        <v>OK</v>
      </c>
    </row>
    <row r="1879" spans="1:9" hidden="1" x14ac:dyDescent="0.3">
      <c r="A1879" s="2">
        <v>45931</v>
      </c>
      <c r="B1879" t="str">
        <f t="shared" si="93"/>
        <v xml:space="preserve">oktober </v>
      </c>
      <c r="C1879">
        <v>-45.25</v>
      </c>
      <c r="D1879" t="s">
        <v>82</v>
      </c>
      <c r="E1879" t="s">
        <v>839</v>
      </c>
      <c r="F1879" t="s">
        <v>18</v>
      </c>
      <c r="G1879">
        <f t="shared" si="94"/>
        <v>-45.25</v>
      </c>
      <c r="H1879" t="str">
        <f>VLOOKUP(Tabel1[[#This Row],[categorie]],Lijst!A:B,2,FALSE)</f>
        <v>Vast</v>
      </c>
      <c r="I1879" t="str">
        <f t="shared" si="95"/>
        <v>OK</v>
      </c>
    </row>
    <row r="1880" spans="1:9" hidden="1" x14ac:dyDescent="0.3">
      <c r="A1880" s="2">
        <v>45931</v>
      </c>
      <c r="B1880" t="str">
        <f t="shared" si="93"/>
        <v xml:space="preserve">oktober </v>
      </c>
      <c r="C1880">
        <v>-100</v>
      </c>
      <c r="D1880" t="str" cm="1">
        <f t="array" ref="D1880">IFERROR(
  _xlfn.XLOOKUP(TRUE, ISNUMBER(FIND(Trefwoorden!$A$2:$A$99, E1880)), Trefwoorden!$B$2:$B$99),
  "Onbekend"
)</f>
        <v>voeding</v>
      </c>
      <c r="E1880" t="s">
        <v>840</v>
      </c>
      <c r="F1880" t="str">
        <f>VLOOKUP(Tabel1[[#This Row],[categorie]],Lijst!A:C,3,FALSE)</f>
        <v>Uitgave</v>
      </c>
      <c r="G1880">
        <f t="shared" si="94"/>
        <v>-100</v>
      </c>
      <c r="H1880" t="str">
        <f>VLOOKUP(Tabel1[[#This Row],[categorie]],Lijst!A:B,2,FALSE)</f>
        <v>Vast</v>
      </c>
      <c r="I1880" t="str">
        <f t="shared" si="95"/>
        <v>OK</v>
      </c>
    </row>
    <row r="1881" spans="1:9" hidden="1" x14ac:dyDescent="0.3">
      <c r="A1881" s="2">
        <v>45931</v>
      </c>
      <c r="B1881" t="str">
        <f t="shared" si="93"/>
        <v xml:space="preserve">oktober </v>
      </c>
      <c r="C1881">
        <v>-150.69</v>
      </c>
      <c r="D1881" t="s">
        <v>40</v>
      </c>
      <c r="E1881" t="s">
        <v>841</v>
      </c>
      <c r="F1881" t="str">
        <f>VLOOKUP(Tabel1[[#This Row],[categorie]],Lijst!A:C,3,FALSE)</f>
        <v>Uitgave</v>
      </c>
      <c r="G1881">
        <f t="shared" si="94"/>
        <v>-150.69</v>
      </c>
      <c r="H1881" t="str">
        <f>VLOOKUP(Tabel1[[#This Row],[categorie]],Lijst!A:B,2,FALSE)</f>
        <v>Variabel</v>
      </c>
      <c r="I1881" t="str">
        <f t="shared" si="95"/>
        <v>OK</v>
      </c>
    </row>
    <row r="1882" spans="1:9" hidden="1" x14ac:dyDescent="0.3">
      <c r="A1882" s="2">
        <v>45932</v>
      </c>
      <c r="B1882" t="str">
        <f t="shared" si="93"/>
        <v xml:space="preserve">oktober </v>
      </c>
      <c r="C1882">
        <v>-14.22</v>
      </c>
      <c r="D1882" t="str" cm="1">
        <f t="array" ref="D1882">IFERROR(
  _xlfn.XLOOKUP(TRUE, ISNUMBER(FIND(Trefwoorden!$A$2:$A$99, E1882)), Trefwoorden!$B$2:$B$99),
  "Onbekend"
)</f>
        <v>voeding</v>
      </c>
      <c r="E1882" t="s">
        <v>788</v>
      </c>
      <c r="F1882" t="str">
        <f>VLOOKUP(Tabel1[[#This Row],[categorie]],Lijst!A:C,3,FALSE)</f>
        <v>Uitgave</v>
      </c>
      <c r="G1882">
        <f t="shared" si="94"/>
        <v>-14.22</v>
      </c>
      <c r="H1882" t="str">
        <f>VLOOKUP(Tabel1[[#This Row],[categorie]],Lijst!A:B,2,FALSE)</f>
        <v>Vast</v>
      </c>
      <c r="I1882" t="str">
        <f t="shared" si="95"/>
        <v>OK</v>
      </c>
    </row>
    <row r="1883" spans="1:9" hidden="1" x14ac:dyDescent="0.3">
      <c r="A1883" s="2">
        <v>45932</v>
      </c>
      <c r="B1883" t="str">
        <f t="shared" si="93"/>
        <v xml:space="preserve">oktober </v>
      </c>
      <c r="C1883">
        <v>-17.84</v>
      </c>
      <c r="D1883" t="str" cm="1">
        <f t="array" ref="D1883">IFERROR(
  _xlfn.XLOOKUP(TRUE, ISNUMBER(FIND(Trefwoorden!$A$2:$A$99, E1883)), Trefwoorden!$B$2:$B$99),
  "Onbekend"
)</f>
        <v>voeding</v>
      </c>
      <c r="E1883" t="s">
        <v>789</v>
      </c>
      <c r="F1883" t="str">
        <f>VLOOKUP(Tabel1[[#This Row],[categorie]],Lijst!A:C,3,FALSE)</f>
        <v>Uitgave</v>
      </c>
      <c r="G1883">
        <f t="shared" si="94"/>
        <v>-17.84</v>
      </c>
      <c r="H1883" t="str">
        <f>VLOOKUP(Tabel1[[#This Row],[categorie]],Lijst!A:B,2,FALSE)</f>
        <v>Vast</v>
      </c>
      <c r="I1883" t="str">
        <f t="shared" si="95"/>
        <v>OK</v>
      </c>
    </row>
    <row r="1884" spans="1:9" hidden="1" x14ac:dyDescent="0.3">
      <c r="A1884" s="2">
        <v>45932</v>
      </c>
      <c r="B1884" t="str">
        <f t="shared" si="93"/>
        <v xml:space="preserve">oktober </v>
      </c>
      <c r="C1884">
        <v>53.5</v>
      </c>
      <c r="D1884" t="str" cm="1">
        <f t="array" ref="D1884">IFERROR(
  _xlfn.XLOOKUP(TRUE, ISNUMBER(FIND(Trefwoorden!$A$2:$A$99, E1884)), Trefwoorden!$B$2:$B$99),
  "Onbekend"
)</f>
        <v>Inkomsten Loon</v>
      </c>
      <c r="E1884" t="s">
        <v>820</v>
      </c>
      <c r="F1884" t="str">
        <f>VLOOKUP(Tabel1[[#This Row],[categorie]],Lijst!A:C,3,FALSE)</f>
        <v>Inkomst</v>
      </c>
      <c r="G1884">
        <f t="shared" si="94"/>
        <v>53.5</v>
      </c>
      <c r="H1884" t="str">
        <f>VLOOKUP(Tabel1[[#This Row],[categorie]],Lijst!A:B,2,FALSE)</f>
        <v>Inkomsten</v>
      </c>
      <c r="I1884" t="str">
        <f t="shared" si="95"/>
        <v>OK</v>
      </c>
    </row>
    <row r="1885" spans="1:9" hidden="1" x14ac:dyDescent="0.3">
      <c r="A1885" s="2">
        <v>45932</v>
      </c>
      <c r="B1885" t="str">
        <f t="shared" si="93"/>
        <v xml:space="preserve">oktober </v>
      </c>
      <c r="C1885">
        <v>-240.78</v>
      </c>
      <c r="D1885" t="str" cm="1">
        <f t="array" ref="D1885">IFERROR(
  _xlfn.XLOOKUP(TRUE, ISNUMBER(FIND(Trefwoorden!$A$2:$A$99, E1885)), Trefwoorden!$B$2:$B$99),
  "Onbekend"
)</f>
        <v>Gezondheid</v>
      </c>
      <c r="E1885" t="s">
        <v>823</v>
      </c>
      <c r="F1885" t="s">
        <v>18</v>
      </c>
      <c r="G1885">
        <f t="shared" si="94"/>
        <v>-240.78</v>
      </c>
      <c r="H1885" t="str">
        <f>VLOOKUP(Tabel1[[#This Row],[categorie]],Lijst!A:B,2,FALSE)</f>
        <v>Vast</v>
      </c>
      <c r="I1885" t="str">
        <f t="shared" si="95"/>
        <v>OK</v>
      </c>
    </row>
    <row r="1886" spans="1:9" hidden="1" x14ac:dyDescent="0.3">
      <c r="A1886" s="2">
        <v>45932</v>
      </c>
      <c r="B1886" t="str">
        <f t="shared" si="93"/>
        <v xml:space="preserve">oktober </v>
      </c>
      <c r="C1886">
        <v>-150</v>
      </c>
      <c r="D1886" t="str" cm="1">
        <f t="array" ref="D1886">IFERROR(
  _xlfn.XLOOKUP(TRUE, ISNUMBER(FIND(Trefwoorden!$A$2:$A$99, E1886)), Trefwoorden!$B$2:$B$99),
  "Onbekend"
)</f>
        <v>Laserontharing</v>
      </c>
      <c r="E1886" t="s">
        <v>824</v>
      </c>
      <c r="F1886" t="str">
        <f>VLOOKUP(Tabel1[[#This Row],[categorie]],Lijst!A:C,3,FALSE)</f>
        <v>Uitgave</v>
      </c>
      <c r="G1886">
        <f t="shared" si="94"/>
        <v>-150</v>
      </c>
      <c r="H1886" t="str">
        <f>VLOOKUP(Tabel1[[#This Row],[categorie]],Lijst!A:B,2,FALSE)</f>
        <v>Variabel</v>
      </c>
      <c r="I1886" t="str">
        <f t="shared" si="95"/>
        <v>OK</v>
      </c>
    </row>
    <row r="1887" spans="1:9" hidden="1" x14ac:dyDescent="0.3">
      <c r="A1887" s="2">
        <v>45932</v>
      </c>
      <c r="B1887" t="str">
        <f t="shared" si="93"/>
        <v xml:space="preserve">oktober </v>
      </c>
      <c r="C1887">
        <v>-8.9</v>
      </c>
      <c r="D1887" t="s">
        <v>44</v>
      </c>
      <c r="E1887" t="s">
        <v>825</v>
      </c>
      <c r="F1887" t="str">
        <f>VLOOKUP(Tabel1[[#This Row],[categorie]],Lijst!A:C,3,FALSE)</f>
        <v>Uitgave</v>
      </c>
      <c r="G1887">
        <f t="shared" si="94"/>
        <v>-8.9</v>
      </c>
      <c r="H1887" t="str">
        <f>VLOOKUP(Tabel1[[#This Row],[categorie]],Lijst!A:B,2,FALSE)</f>
        <v>Variabel</v>
      </c>
      <c r="I1887" t="str">
        <f t="shared" si="95"/>
        <v>OK</v>
      </c>
    </row>
    <row r="1888" spans="1:9" hidden="1" x14ac:dyDescent="0.3">
      <c r="A1888" s="2">
        <v>45932</v>
      </c>
      <c r="B1888" t="str">
        <f t="shared" si="93"/>
        <v xml:space="preserve">oktober </v>
      </c>
      <c r="C1888">
        <v>-1.5</v>
      </c>
      <c r="D1888" t="str" cm="1">
        <f t="array" ref="D1888">IFERROR(
  _xlfn.XLOOKUP(TRUE, ISNUMBER(FIND(Trefwoorden!$A$2:$A$99, E1888)), Trefwoorden!$B$2:$B$99),
  "Onbekend"
)</f>
        <v>automaat De Lijn</v>
      </c>
      <c r="E1888" t="s">
        <v>828</v>
      </c>
      <c r="F1888" t="str">
        <f>VLOOKUP(Tabel1[[#This Row],[categorie]],Lijst!A:C,3,FALSE)</f>
        <v>Uitgave</v>
      </c>
      <c r="G1888">
        <f t="shared" si="94"/>
        <v>-1.5</v>
      </c>
      <c r="H1888" t="str">
        <f>VLOOKUP(Tabel1[[#This Row],[categorie]],Lijst!A:B,2,FALSE)</f>
        <v>Variabel</v>
      </c>
      <c r="I1888" t="str">
        <f t="shared" si="95"/>
        <v>OK</v>
      </c>
    </row>
    <row r="1889" spans="1:9" hidden="1" x14ac:dyDescent="0.3">
      <c r="A1889" s="2">
        <v>45932</v>
      </c>
      <c r="B1889" t="str">
        <f t="shared" si="93"/>
        <v xml:space="preserve">oktober </v>
      </c>
      <c r="C1889">
        <v>-55</v>
      </c>
      <c r="D1889" t="s">
        <v>11</v>
      </c>
      <c r="E1889" t="s">
        <v>833</v>
      </c>
      <c r="F1889" t="s">
        <v>18</v>
      </c>
      <c r="G1889">
        <f t="shared" si="94"/>
        <v>-55</v>
      </c>
      <c r="H1889" t="str">
        <f>VLOOKUP(Tabel1[[#This Row],[categorie]],Lijst!A:B,2,FALSE)</f>
        <v>Vast</v>
      </c>
      <c r="I1889" t="str">
        <f t="shared" si="95"/>
        <v>OK</v>
      </c>
    </row>
    <row r="1890" spans="1:9" hidden="1" x14ac:dyDescent="0.3">
      <c r="A1890" s="2">
        <v>45932</v>
      </c>
      <c r="B1890" t="str">
        <f t="shared" si="93"/>
        <v xml:space="preserve">oktober </v>
      </c>
      <c r="C1890">
        <v>-12</v>
      </c>
      <c r="D1890" t="s">
        <v>71</v>
      </c>
      <c r="E1890" t="s">
        <v>834</v>
      </c>
      <c r="F1890" t="str">
        <f>VLOOKUP(Tabel1[[#This Row],[categorie]],Lijst!A:C,3,FALSE)</f>
        <v>Uitgave</v>
      </c>
      <c r="G1890">
        <f t="shared" si="94"/>
        <v>-12</v>
      </c>
      <c r="H1890" t="str">
        <f>VLOOKUP(Tabel1[[#This Row],[categorie]],Lijst!A:B,2,FALSE)</f>
        <v>Variabel</v>
      </c>
      <c r="I1890" t="str">
        <f t="shared" si="95"/>
        <v>OK</v>
      </c>
    </row>
    <row r="1891" spans="1:9" hidden="1" x14ac:dyDescent="0.3">
      <c r="A1891" s="2">
        <v>45933</v>
      </c>
      <c r="B1891" t="str">
        <f t="shared" si="93"/>
        <v xml:space="preserve">oktober </v>
      </c>
      <c r="C1891">
        <v>-24.46</v>
      </c>
      <c r="D1891" t="str" cm="1">
        <f t="array" ref="D1891">IFERROR(
  _xlfn.XLOOKUP(TRUE, ISNUMBER(FIND(Trefwoorden!$A$2:$A$99, E1891)), Trefwoorden!$B$2:$B$99),
  "Onbekend"
)</f>
        <v>voeding</v>
      </c>
      <c r="E1891" t="s">
        <v>798</v>
      </c>
      <c r="F1891" t="str">
        <f>VLOOKUP(Tabel1[[#This Row],[categorie]],Lijst!A:C,3,FALSE)</f>
        <v>Uitgave</v>
      </c>
      <c r="G1891">
        <f t="shared" si="94"/>
        <v>-24.46</v>
      </c>
      <c r="H1891" t="str">
        <f>VLOOKUP(Tabel1[[#This Row],[categorie]],Lijst!A:B,2,FALSE)</f>
        <v>Vast</v>
      </c>
      <c r="I1891" t="str">
        <f t="shared" si="95"/>
        <v>OK</v>
      </c>
    </row>
    <row r="1892" spans="1:9" hidden="1" x14ac:dyDescent="0.3">
      <c r="A1892" s="2">
        <v>45933</v>
      </c>
      <c r="B1892" t="str">
        <f t="shared" si="93"/>
        <v xml:space="preserve">oktober </v>
      </c>
      <c r="C1892">
        <v>-13.67</v>
      </c>
      <c r="D1892" t="str" cm="1">
        <f t="array" ref="D1892">IFERROR(
  _xlfn.XLOOKUP(TRUE, ISNUMBER(FIND(Trefwoorden!$A$2:$A$99, E1892)), Trefwoorden!$B$2:$B$99),
  "Onbekend"
)</f>
        <v>voeding</v>
      </c>
      <c r="E1892" t="s">
        <v>799</v>
      </c>
      <c r="F1892" t="str">
        <f>VLOOKUP(Tabel1[[#This Row],[categorie]],Lijst!A:C,3,FALSE)</f>
        <v>Uitgave</v>
      </c>
      <c r="G1892">
        <f t="shared" si="94"/>
        <v>-13.67</v>
      </c>
      <c r="H1892" t="str">
        <f>VLOOKUP(Tabel1[[#This Row],[categorie]],Lijst!A:B,2,FALSE)</f>
        <v>Vast</v>
      </c>
      <c r="I1892" t="str">
        <f t="shared" si="95"/>
        <v>OK</v>
      </c>
    </row>
    <row r="1893" spans="1:9" hidden="1" x14ac:dyDescent="0.3">
      <c r="A1893" s="2">
        <v>45933</v>
      </c>
      <c r="B1893" t="str">
        <f t="shared" si="93"/>
        <v xml:space="preserve">oktober </v>
      </c>
      <c r="C1893">
        <v>-150.44</v>
      </c>
      <c r="D1893" t="s">
        <v>21</v>
      </c>
      <c r="E1893" t="s">
        <v>815</v>
      </c>
      <c r="F1893" t="str">
        <f>VLOOKUP(Tabel1[[#This Row],[categorie]],Lijst!A:C,3,FALSE)</f>
        <v>Uitgave</v>
      </c>
      <c r="G1893">
        <f t="shared" si="94"/>
        <v>-150.44</v>
      </c>
      <c r="H1893" t="str">
        <f>VLOOKUP(Tabel1[[#This Row],[categorie]],Lijst!A:B,2,FALSE)</f>
        <v>Variabel</v>
      </c>
      <c r="I1893" t="str">
        <f t="shared" si="95"/>
        <v>OK</v>
      </c>
    </row>
    <row r="1894" spans="1:9" hidden="1" x14ac:dyDescent="0.3">
      <c r="A1894" s="2">
        <v>45933</v>
      </c>
      <c r="B1894" t="str">
        <f t="shared" si="93"/>
        <v xml:space="preserve">oktober </v>
      </c>
      <c r="C1894">
        <v>-60.25</v>
      </c>
      <c r="D1894" t="s">
        <v>82</v>
      </c>
      <c r="E1894" t="s">
        <v>816</v>
      </c>
      <c r="F1894" t="s">
        <v>18</v>
      </c>
      <c r="G1894">
        <f t="shared" si="94"/>
        <v>-60.25</v>
      </c>
      <c r="H1894" t="str">
        <f>VLOOKUP(Tabel1[[#This Row],[categorie]],Lijst!A:B,2,FALSE)</f>
        <v>Vast</v>
      </c>
      <c r="I1894" t="str">
        <f t="shared" si="95"/>
        <v>OK</v>
      </c>
    </row>
    <row r="1895" spans="1:9" hidden="1" x14ac:dyDescent="0.3">
      <c r="A1895" s="2">
        <v>45933</v>
      </c>
      <c r="B1895" t="str">
        <f t="shared" si="93"/>
        <v xml:space="preserve">oktober </v>
      </c>
      <c r="C1895">
        <v>-1.1000000000000001</v>
      </c>
      <c r="D1895" t="str" cm="1">
        <f t="array" ref="D1895">IFERROR(
  _xlfn.XLOOKUP(TRUE, ISNUMBER(FIND(Trefwoorden!$A$2:$A$99, E1895)), Trefwoorden!$B$2:$B$99),
  "Onbekend"
)</f>
        <v>automaat De Lijn</v>
      </c>
      <c r="E1895" t="s">
        <v>817</v>
      </c>
      <c r="F1895" t="str">
        <f>VLOOKUP(Tabel1[[#This Row],[categorie]],Lijst!A:C,3,FALSE)</f>
        <v>Uitgave</v>
      </c>
      <c r="G1895">
        <f t="shared" si="94"/>
        <v>-1.1000000000000001</v>
      </c>
      <c r="H1895" t="str">
        <f>VLOOKUP(Tabel1[[#This Row],[categorie]],Lijst!A:B,2,FALSE)</f>
        <v>Variabel</v>
      </c>
      <c r="I1895" t="str">
        <f t="shared" si="95"/>
        <v>OK</v>
      </c>
    </row>
    <row r="1896" spans="1:9" hidden="1" x14ac:dyDescent="0.3">
      <c r="A1896" s="2">
        <v>45933</v>
      </c>
      <c r="B1896" t="str">
        <f t="shared" si="93"/>
        <v xml:space="preserve">oktober </v>
      </c>
      <c r="C1896">
        <v>-4.24</v>
      </c>
      <c r="D1896" t="str" cm="1">
        <f t="array" ref="D1896">IFERROR(
  _xlfn.XLOOKUP(TRUE, ISNUMBER(FIND(Trefwoorden!$A$2:$A$99, E1896)), Trefwoorden!$B$2:$B$99),
  "Onbekend"
)</f>
        <v>Laadbeurt</v>
      </c>
      <c r="E1896" t="s">
        <v>818</v>
      </c>
      <c r="F1896" t="str">
        <f>VLOOKUP(Tabel1[[#This Row],[categorie]],Lijst!A:C,3,FALSE)</f>
        <v>Uitgave</v>
      </c>
      <c r="G1896">
        <f t="shared" si="94"/>
        <v>-4.24</v>
      </c>
      <c r="H1896" t="str">
        <f>VLOOKUP(Tabel1[[#This Row],[categorie]],Lijst!A:B,2,FALSE)</f>
        <v>Vast</v>
      </c>
      <c r="I1896" t="str">
        <f t="shared" si="95"/>
        <v>OK</v>
      </c>
    </row>
    <row r="1897" spans="1:9" hidden="1" x14ac:dyDescent="0.3">
      <c r="A1897" s="2">
        <v>45933</v>
      </c>
      <c r="B1897" t="str">
        <f t="shared" si="93"/>
        <v xml:space="preserve">oktober </v>
      </c>
      <c r="C1897">
        <v>-5</v>
      </c>
      <c r="D1897" t="str" cm="1">
        <f t="array" ref="D1897">IFERROR(
  _xlfn.XLOOKUP(TRUE, ISNUMBER(FIND(Trefwoorden!$A$2:$A$99, E1897)), Trefwoorden!$B$2:$B$99),
  "Onbekend"
)</f>
        <v>Laadbeurt</v>
      </c>
      <c r="E1897" t="s">
        <v>818</v>
      </c>
      <c r="F1897" t="str">
        <f>VLOOKUP(Tabel1[[#This Row],[categorie]],Lijst!A:C,3,FALSE)</f>
        <v>Uitgave</v>
      </c>
      <c r="G1897">
        <f t="shared" si="94"/>
        <v>-5</v>
      </c>
      <c r="H1897" t="str">
        <f>VLOOKUP(Tabel1[[#This Row],[categorie]],Lijst!A:B,2,FALSE)</f>
        <v>Vast</v>
      </c>
      <c r="I1897" t="str">
        <f t="shared" si="95"/>
        <v>OK</v>
      </c>
    </row>
    <row r="1898" spans="1:9" hidden="1" x14ac:dyDescent="0.3">
      <c r="A1898" s="2">
        <v>45933</v>
      </c>
      <c r="B1898" t="str">
        <f t="shared" si="93"/>
        <v xml:space="preserve">oktober </v>
      </c>
      <c r="C1898">
        <v>-20.71</v>
      </c>
      <c r="D1898" t="str" cm="1">
        <f t="array" ref="D1898">IFERROR(
  _xlfn.XLOOKUP(TRUE, ISNUMBER(FIND(Trefwoorden!$A$2:$A$99, E1898)), Trefwoorden!$B$2:$B$99),
  "Onbekend"
)</f>
        <v>vakbond</v>
      </c>
      <c r="E1898" t="s">
        <v>819</v>
      </c>
      <c r="F1898" t="s">
        <v>18</v>
      </c>
      <c r="G1898">
        <f t="shared" si="94"/>
        <v>-20.71</v>
      </c>
      <c r="H1898" t="str">
        <f>VLOOKUP(Tabel1[[#This Row],[categorie]],Lijst!A:B,2,FALSE)</f>
        <v>Vast</v>
      </c>
      <c r="I1898" t="str">
        <f t="shared" si="95"/>
        <v>OK</v>
      </c>
    </row>
    <row r="1899" spans="1:9" hidden="1" x14ac:dyDescent="0.3">
      <c r="A1899" s="2">
        <v>45934</v>
      </c>
      <c r="B1899" t="str">
        <f t="shared" si="93"/>
        <v xml:space="preserve">oktober </v>
      </c>
      <c r="C1899">
        <v>-8.4</v>
      </c>
      <c r="D1899" t="s">
        <v>21</v>
      </c>
      <c r="E1899" t="s">
        <v>795</v>
      </c>
      <c r="F1899" t="str">
        <f>VLOOKUP(Tabel1[[#This Row],[categorie]],Lijst!A:C,3,FALSE)</f>
        <v>Uitgave</v>
      </c>
      <c r="G1899">
        <f t="shared" si="94"/>
        <v>-8.4</v>
      </c>
      <c r="H1899" t="str">
        <f>VLOOKUP(Tabel1[[#This Row],[categorie]],Lijst!A:B,2,FALSE)</f>
        <v>Variabel</v>
      </c>
      <c r="I1899" t="str">
        <f t="shared" si="95"/>
        <v>OK</v>
      </c>
    </row>
    <row r="1900" spans="1:9" hidden="1" x14ac:dyDescent="0.3">
      <c r="A1900" s="2">
        <v>45934</v>
      </c>
      <c r="B1900" t="str">
        <f t="shared" si="93"/>
        <v xml:space="preserve">oktober </v>
      </c>
      <c r="C1900">
        <v>-7.25</v>
      </c>
      <c r="D1900" t="str" cm="1">
        <f t="array" ref="D1900">IFERROR(
  _xlfn.XLOOKUP(TRUE, ISNUMBER(FIND(Trefwoorden!$A$2:$A$99, E1900)), Trefwoorden!$B$2:$B$99),
  "Onbekend"
)</f>
        <v>voeding</v>
      </c>
      <c r="E1900" t="s">
        <v>796</v>
      </c>
      <c r="F1900" t="str">
        <f>VLOOKUP(Tabel1[[#This Row],[categorie]],Lijst!A:C,3,FALSE)</f>
        <v>Uitgave</v>
      </c>
      <c r="G1900">
        <f t="shared" si="94"/>
        <v>-7.25</v>
      </c>
      <c r="H1900" t="str">
        <f>VLOOKUP(Tabel1[[#This Row],[categorie]],Lijst!A:B,2,FALSE)</f>
        <v>Vast</v>
      </c>
      <c r="I1900" t="str">
        <f t="shared" si="95"/>
        <v>OK</v>
      </c>
    </row>
    <row r="1901" spans="1:9" hidden="1" x14ac:dyDescent="0.3">
      <c r="A1901" s="2">
        <v>45934</v>
      </c>
      <c r="B1901" t="str">
        <f t="shared" si="93"/>
        <v xml:space="preserve">oktober </v>
      </c>
      <c r="C1901">
        <v>-1</v>
      </c>
      <c r="D1901" t="s">
        <v>75</v>
      </c>
      <c r="E1901" t="s">
        <v>797</v>
      </c>
      <c r="F1901" t="s">
        <v>18</v>
      </c>
      <c r="G1901">
        <f t="shared" si="94"/>
        <v>-1</v>
      </c>
      <c r="H1901" t="str">
        <f>VLOOKUP(Tabel1[[#This Row],[categorie]],Lijst!A:B,2,FALSE)</f>
        <v>Variabel</v>
      </c>
      <c r="I1901" t="str">
        <f t="shared" si="95"/>
        <v>OK</v>
      </c>
    </row>
    <row r="1902" spans="1:9" hidden="1" x14ac:dyDescent="0.3">
      <c r="A1902" s="2">
        <v>45934</v>
      </c>
      <c r="B1902" t="str">
        <f t="shared" si="93"/>
        <v xml:space="preserve">oktober </v>
      </c>
      <c r="C1902">
        <v>-12.73</v>
      </c>
      <c r="D1902" t="str" cm="1">
        <f t="array" ref="D1902">IFERROR(
  _xlfn.XLOOKUP(TRUE, ISNUMBER(FIND(Trefwoorden!$A$2:$A$99, E1902)), Trefwoorden!$B$2:$B$99),
  "Onbekend"
)</f>
        <v>voeding</v>
      </c>
      <c r="E1902" t="s">
        <v>800</v>
      </c>
      <c r="F1902" t="str">
        <f>VLOOKUP(Tabel1[[#This Row],[categorie]],Lijst!A:C,3,FALSE)</f>
        <v>Uitgave</v>
      </c>
      <c r="G1902">
        <f t="shared" si="94"/>
        <v>-12.73</v>
      </c>
      <c r="H1902" t="str">
        <f>VLOOKUP(Tabel1[[#This Row],[categorie]],Lijst!A:B,2,FALSE)</f>
        <v>Vast</v>
      </c>
      <c r="I1902" t="str">
        <f t="shared" si="95"/>
        <v>OK</v>
      </c>
    </row>
    <row r="1903" spans="1:9" hidden="1" x14ac:dyDescent="0.3">
      <c r="A1903" s="2">
        <v>45934</v>
      </c>
      <c r="B1903" t="str">
        <f t="shared" si="93"/>
        <v xml:space="preserve">oktober </v>
      </c>
      <c r="C1903">
        <v>-1</v>
      </c>
      <c r="D1903" t="s">
        <v>75</v>
      </c>
      <c r="E1903" t="s">
        <v>801</v>
      </c>
      <c r="F1903" t="s">
        <v>18</v>
      </c>
      <c r="G1903">
        <f t="shared" si="94"/>
        <v>-1</v>
      </c>
      <c r="H1903" t="str">
        <f>VLOOKUP(Tabel1[[#This Row],[categorie]],Lijst!A:B,2,FALSE)</f>
        <v>Variabel</v>
      </c>
      <c r="I1903" t="str">
        <f t="shared" si="95"/>
        <v>OK</v>
      </c>
    </row>
    <row r="1904" spans="1:9" hidden="1" x14ac:dyDescent="0.3">
      <c r="A1904" s="2">
        <v>45934</v>
      </c>
      <c r="B1904" t="str">
        <f t="shared" si="93"/>
        <v xml:space="preserve">oktober </v>
      </c>
      <c r="C1904">
        <v>-15</v>
      </c>
      <c r="D1904" t="s">
        <v>75</v>
      </c>
      <c r="E1904" t="s">
        <v>802</v>
      </c>
      <c r="F1904" t="s">
        <v>18</v>
      </c>
      <c r="G1904">
        <f t="shared" si="94"/>
        <v>-15</v>
      </c>
      <c r="H1904" t="str">
        <f>VLOOKUP(Tabel1[[#This Row],[categorie]],Lijst!A:B,2,FALSE)</f>
        <v>Variabel</v>
      </c>
      <c r="I1904" t="str">
        <f t="shared" si="95"/>
        <v>OK</v>
      </c>
    </row>
    <row r="1905" spans="1:9" hidden="1" x14ac:dyDescent="0.3">
      <c r="A1905" s="2">
        <v>45934</v>
      </c>
      <c r="B1905" t="str">
        <f t="shared" si="93"/>
        <v xml:space="preserve">oktober </v>
      </c>
      <c r="C1905">
        <v>-10.8</v>
      </c>
      <c r="D1905" t="s">
        <v>9</v>
      </c>
      <c r="E1905" t="s">
        <v>803</v>
      </c>
      <c r="F1905" t="s">
        <v>18</v>
      </c>
      <c r="G1905">
        <f t="shared" si="94"/>
        <v>-10.8</v>
      </c>
      <c r="H1905" t="str">
        <f>VLOOKUP(Tabel1[[#This Row],[categorie]],Lijst!A:B,2,FALSE)</f>
        <v>Variabel</v>
      </c>
      <c r="I1905" t="str">
        <f t="shared" si="95"/>
        <v>OK</v>
      </c>
    </row>
    <row r="1906" spans="1:9" hidden="1" x14ac:dyDescent="0.3">
      <c r="A1906" s="2">
        <v>45934</v>
      </c>
      <c r="B1906" t="str">
        <f t="shared" si="93"/>
        <v xml:space="preserve">oktober </v>
      </c>
      <c r="C1906">
        <v>-76.180000000000007</v>
      </c>
      <c r="D1906" t="str" cm="1">
        <f t="array" ref="D1906">IFERROR(
  _xlfn.XLOOKUP(TRUE, ISNUMBER(FIND(Trefwoorden!$A$2:$A$99, E1906)), Trefwoorden!$B$2:$B$99),
  "Onbekend"
)</f>
        <v>kledij</v>
      </c>
      <c r="E1906" t="s">
        <v>804</v>
      </c>
      <c r="F1906" t="str">
        <f>VLOOKUP(Tabel1[[#This Row],[categorie]],Lijst!A:C,3,FALSE)</f>
        <v>Uitgave</v>
      </c>
      <c r="G1906">
        <f t="shared" si="94"/>
        <v>-76.180000000000007</v>
      </c>
      <c r="H1906" t="str">
        <f>VLOOKUP(Tabel1[[#This Row],[categorie]],Lijst!A:B,2,FALSE)</f>
        <v>Variabel</v>
      </c>
      <c r="I1906" t="str">
        <f t="shared" si="95"/>
        <v>OK</v>
      </c>
    </row>
    <row r="1907" spans="1:9" hidden="1" x14ac:dyDescent="0.3">
      <c r="A1907" s="2">
        <v>45934</v>
      </c>
      <c r="B1907" t="str">
        <f t="shared" si="93"/>
        <v xml:space="preserve">oktober </v>
      </c>
      <c r="C1907">
        <v>-26.99</v>
      </c>
      <c r="D1907" t="str" cm="1">
        <f t="array" ref="D1907">IFERROR(
  _xlfn.XLOOKUP(TRUE, ISNUMBER(FIND(Trefwoorden!$A$2:$A$99, E1907)), Trefwoorden!$B$2:$B$99),
  "Onbekend"
)</f>
        <v>Louis/Vis</v>
      </c>
      <c r="E1907" t="s">
        <v>805</v>
      </c>
      <c r="F1907" t="str">
        <f>VLOOKUP(Tabel1[[#This Row],[categorie]],Lijst!A:C,3,FALSE)</f>
        <v>Uitgave</v>
      </c>
      <c r="G1907">
        <f t="shared" si="94"/>
        <v>-26.99</v>
      </c>
      <c r="H1907" t="str">
        <f>VLOOKUP(Tabel1[[#This Row],[categorie]],Lijst!A:B,2,FALSE)</f>
        <v>Variabel</v>
      </c>
      <c r="I1907" t="str">
        <f t="shared" si="95"/>
        <v>OK</v>
      </c>
    </row>
    <row r="1908" spans="1:9" hidden="1" x14ac:dyDescent="0.3">
      <c r="A1908" s="2">
        <v>45935</v>
      </c>
      <c r="B1908" t="str">
        <f t="shared" si="93"/>
        <v xml:space="preserve">oktober </v>
      </c>
      <c r="C1908">
        <v>-6.6</v>
      </c>
      <c r="D1908" t="str" cm="1">
        <f t="array" ref="D1908">IFERROR(
  _xlfn.XLOOKUP(TRUE, ISNUMBER(FIND(Trefwoorden!$A$2:$A$99, E1908)), Trefwoorden!$B$2:$B$99),
  "Onbekend"
)</f>
        <v>voeding</v>
      </c>
      <c r="E1908" t="s">
        <v>787</v>
      </c>
      <c r="F1908" t="str">
        <f>VLOOKUP(Tabel1[[#This Row],[categorie]],Lijst!A:C,3,FALSE)</f>
        <v>Uitgave</v>
      </c>
      <c r="G1908">
        <f t="shared" si="94"/>
        <v>-6.6</v>
      </c>
      <c r="H1908" t="str">
        <f>VLOOKUP(Tabel1[[#This Row],[categorie]],Lijst!A:B,2,FALSE)</f>
        <v>Vast</v>
      </c>
      <c r="I1908" t="str">
        <f t="shared" si="95"/>
        <v>OK</v>
      </c>
    </row>
    <row r="1909" spans="1:9" hidden="1" x14ac:dyDescent="0.3">
      <c r="A1909" s="2">
        <v>45935</v>
      </c>
      <c r="B1909" t="str">
        <f t="shared" si="93"/>
        <v xml:space="preserve">oktober </v>
      </c>
      <c r="C1909">
        <v>-2</v>
      </c>
      <c r="D1909" t="s">
        <v>22</v>
      </c>
      <c r="E1909" t="s">
        <v>790</v>
      </c>
      <c r="F1909" t="str">
        <f>VLOOKUP(Tabel1[[#This Row],[categorie]],Lijst!A:C,3,FALSE)</f>
        <v>Uitgave</v>
      </c>
      <c r="G1909">
        <f t="shared" si="94"/>
        <v>-2</v>
      </c>
      <c r="H1909" t="str">
        <f>VLOOKUP(Tabel1[[#This Row],[categorie]],Lijst!A:B,2,FALSE)</f>
        <v>Variabel</v>
      </c>
      <c r="I1909" t="str">
        <f t="shared" si="95"/>
        <v>OK</v>
      </c>
    </row>
    <row r="1910" spans="1:9" hidden="1" x14ac:dyDescent="0.3">
      <c r="A1910" s="2">
        <v>45936</v>
      </c>
      <c r="B1910" t="str">
        <f t="shared" si="93"/>
        <v xml:space="preserve">oktober </v>
      </c>
      <c r="C1910">
        <v>-22.92</v>
      </c>
      <c r="D1910" t="str" cm="1">
        <f t="array" ref="D1910">IFERROR(
  _xlfn.XLOOKUP(TRUE, ISNUMBER(FIND(Trefwoorden!$A$2:$A$99, E1910)), Trefwoorden!$B$2:$B$99),
  "Onbekend"
)</f>
        <v>voeding</v>
      </c>
      <c r="E1910" t="s">
        <v>786</v>
      </c>
      <c r="F1910" t="str">
        <f>VLOOKUP(Tabel1[[#This Row],[categorie]],Lijst!A:C,3,FALSE)</f>
        <v>Uitgave</v>
      </c>
      <c r="G1910">
        <f t="shared" si="94"/>
        <v>-22.92</v>
      </c>
      <c r="H1910" t="str">
        <f>VLOOKUP(Tabel1[[#This Row],[categorie]],Lijst!A:B,2,FALSE)</f>
        <v>Vast</v>
      </c>
      <c r="I1910" t="str">
        <f t="shared" si="95"/>
        <v>OK</v>
      </c>
    </row>
    <row r="1911" spans="1:9" hidden="1" x14ac:dyDescent="0.3">
      <c r="A1911" s="2">
        <v>45936</v>
      </c>
      <c r="B1911" t="str">
        <f t="shared" si="93"/>
        <v xml:space="preserve">oktober </v>
      </c>
      <c r="C1911">
        <v>-8.6</v>
      </c>
      <c r="D1911" t="s">
        <v>21</v>
      </c>
      <c r="E1911" t="s">
        <v>806</v>
      </c>
      <c r="F1911" t="str">
        <f>VLOOKUP(Tabel1[[#This Row],[categorie]],Lijst!A:C,3,FALSE)</f>
        <v>Uitgave</v>
      </c>
      <c r="G1911">
        <f t="shared" si="94"/>
        <v>-8.6</v>
      </c>
      <c r="H1911" t="str">
        <f>VLOOKUP(Tabel1[[#This Row],[categorie]],Lijst!A:B,2,FALSE)</f>
        <v>Variabel</v>
      </c>
      <c r="I1911" t="str">
        <f t="shared" si="95"/>
        <v>OK</v>
      </c>
    </row>
    <row r="1912" spans="1:9" hidden="1" x14ac:dyDescent="0.3">
      <c r="A1912" s="2">
        <v>45936</v>
      </c>
      <c r="B1912" t="str">
        <f t="shared" si="93"/>
        <v xml:space="preserve">oktober </v>
      </c>
      <c r="C1912">
        <v>-1</v>
      </c>
      <c r="D1912" t="s">
        <v>75</v>
      </c>
      <c r="E1912" t="s">
        <v>807</v>
      </c>
      <c r="F1912" t="s">
        <v>18</v>
      </c>
      <c r="G1912">
        <f t="shared" si="94"/>
        <v>-1</v>
      </c>
      <c r="H1912" t="str">
        <f>VLOOKUP(Tabel1[[#This Row],[categorie]],Lijst!A:B,2,FALSE)</f>
        <v>Variabel</v>
      </c>
      <c r="I1912" t="str">
        <f t="shared" si="95"/>
        <v>OK</v>
      </c>
    </row>
    <row r="1913" spans="1:9" hidden="1" x14ac:dyDescent="0.3">
      <c r="A1913" s="2">
        <v>45936</v>
      </c>
      <c r="B1913" t="str">
        <f t="shared" si="93"/>
        <v xml:space="preserve">oktober </v>
      </c>
      <c r="C1913">
        <v>-1</v>
      </c>
      <c r="D1913" t="s">
        <v>75</v>
      </c>
      <c r="E1913" t="s">
        <v>808</v>
      </c>
      <c r="F1913" t="s">
        <v>18</v>
      </c>
      <c r="G1913">
        <f t="shared" si="94"/>
        <v>-1</v>
      </c>
      <c r="H1913" t="str">
        <f>VLOOKUP(Tabel1[[#This Row],[categorie]],Lijst!A:B,2,FALSE)</f>
        <v>Variabel</v>
      </c>
      <c r="I1913" t="str">
        <f t="shared" si="95"/>
        <v>OK</v>
      </c>
    </row>
    <row r="1914" spans="1:9" hidden="1" x14ac:dyDescent="0.3">
      <c r="A1914" s="2">
        <v>45936</v>
      </c>
      <c r="B1914" t="str">
        <f t="shared" si="93"/>
        <v xml:space="preserve">oktober </v>
      </c>
      <c r="C1914">
        <v>-6.99</v>
      </c>
      <c r="D1914" t="str" cm="1">
        <f t="array" ref="D1914">IFERROR(
  _xlfn.XLOOKUP(TRUE, ISNUMBER(FIND(Trefwoorden!$A$2:$A$99, E1914)), Trefwoorden!$B$2:$B$99),
  "Onbekend"
)</f>
        <v>Gezondheid</v>
      </c>
      <c r="E1914" t="s">
        <v>809</v>
      </c>
      <c r="F1914" t="s">
        <v>18</v>
      </c>
      <c r="G1914">
        <f t="shared" si="94"/>
        <v>-6.99</v>
      </c>
      <c r="H1914" t="str">
        <f>VLOOKUP(Tabel1[[#This Row],[categorie]],Lijst!A:B,2,FALSE)</f>
        <v>Vast</v>
      </c>
      <c r="I1914" t="str">
        <f t="shared" si="95"/>
        <v>OK</v>
      </c>
    </row>
    <row r="1915" spans="1:9" hidden="1" x14ac:dyDescent="0.3">
      <c r="A1915" s="2">
        <v>45936</v>
      </c>
      <c r="B1915" t="str">
        <f t="shared" si="93"/>
        <v xml:space="preserve">oktober </v>
      </c>
      <c r="C1915">
        <v>-50</v>
      </c>
      <c r="D1915" t="s">
        <v>9</v>
      </c>
      <c r="E1915" t="s">
        <v>810</v>
      </c>
      <c r="F1915" t="s">
        <v>18</v>
      </c>
      <c r="G1915">
        <f t="shared" si="94"/>
        <v>-50</v>
      </c>
      <c r="H1915" t="str">
        <f>VLOOKUP(Tabel1[[#This Row],[categorie]],Lijst!A:B,2,FALSE)</f>
        <v>Variabel</v>
      </c>
      <c r="I1915" t="str">
        <f t="shared" si="95"/>
        <v>OK</v>
      </c>
    </row>
    <row r="1916" spans="1:9" hidden="1" x14ac:dyDescent="0.3">
      <c r="A1916" s="2">
        <v>45936</v>
      </c>
      <c r="B1916" t="str">
        <f t="shared" si="93"/>
        <v xml:space="preserve">oktober </v>
      </c>
      <c r="C1916">
        <v>-1.5</v>
      </c>
      <c r="D1916" t="str" cm="1">
        <f t="array" ref="D1916">IFERROR(
  _xlfn.XLOOKUP(TRUE, ISNUMBER(FIND(Trefwoorden!$A$2:$A$99, E1916)), Trefwoorden!$B$2:$B$99),
  "Onbekend"
)</f>
        <v>automaat De Lijn</v>
      </c>
      <c r="E1916" t="s">
        <v>811</v>
      </c>
      <c r="F1916" t="str">
        <f>VLOOKUP(Tabel1[[#This Row],[categorie]],Lijst!A:C,3,FALSE)</f>
        <v>Uitgave</v>
      </c>
      <c r="G1916">
        <f t="shared" si="94"/>
        <v>-1.5</v>
      </c>
      <c r="H1916" t="str">
        <f>VLOOKUP(Tabel1[[#This Row],[categorie]],Lijst!A:B,2,FALSE)</f>
        <v>Variabel</v>
      </c>
      <c r="I1916" t="str">
        <f t="shared" si="95"/>
        <v>OK</v>
      </c>
    </row>
    <row r="1917" spans="1:9" hidden="1" x14ac:dyDescent="0.3">
      <c r="A1917" s="2">
        <v>45936</v>
      </c>
      <c r="B1917" t="str">
        <f t="shared" si="93"/>
        <v xml:space="preserve">oktober </v>
      </c>
      <c r="C1917">
        <v>-15.69</v>
      </c>
      <c r="D1917" t="s">
        <v>11</v>
      </c>
      <c r="E1917" t="s">
        <v>812</v>
      </c>
      <c r="F1917" t="s">
        <v>18</v>
      </c>
      <c r="G1917">
        <f t="shared" si="94"/>
        <v>-15.69</v>
      </c>
      <c r="H1917" t="str">
        <f>VLOOKUP(Tabel1[[#This Row],[categorie]],Lijst!A:B,2,FALSE)</f>
        <v>Vast</v>
      </c>
      <c r="I1917" t="str">
        <f t="shared" si="95"/>
        <v>OK</v>
      </c>
    </row>
    <row r="1918" spans="1:9" hidden="1" x14ac:dyDescent="0.3">
      <c r="A1918" s="2">
        <v>45936</v>
      </c>
      <c r="B1918" t="str">
        <f t="shared" si="93"/>
        <v xml:space="preserve">oktober </v>
      </c>
      <c r="C1918">
        <v>-29.33</v>
      </c>
      <c r="D1918" t="str" cm="1">
        <f t="array" ref="D1918">IFERROR(
  _xlfn.XLOOKUP(TRUE, ISNUMBER(FIND(Trefwoorden!$A$2:$A$99, E1918)), Trefwoorden!$B$2:$B$99),
  "Onbekend"
)</f>
        <v>Laadbeurt</v>
      </c>
      <c r="E1918" t="s">
        <v>813</v>
      </c>
      <c r="F1918" t="str">
        <f>VLOOKUP(Tabel1[[#This Row],[categorie]],Lijst!A:C,3,FALSE)</f>
        <v>Uitgave</v>
      </c>
      <c r="G1918">
        <f t="shared" si="94"/>
        <v>-29.33</v>
      </c>
      <c r="H1918" t="str">
        <f>VLOOKUP(Tabel1[[#This Row],[categorie]],Lijst!A:B,2,FALSE)</f>
        <v>Vast</v>
      </c>
      <c r="I1918" t="str">
        <f t="shared" si="95"/>
        <v>OK</v>
      </c>
    </row>
    <row r="1919" spans="1:9" hidden="1" x14ac:dyDescent="0.3">
      <c r="A1919" s="2">
        <v>45936</v>
      </c>
      <c r="B1919" t="str">
        <f t="shared" si="93"/>
        <v xml:space="preserve">oktober </v>
      </c>
      <c r="C1919">
        <v>-125.81</v>
      </c>
      <c r="D1919" t="s">
        <v>24</v>
      </c>
      <c r="E1919" t="s">
        <v>814</v>
      </c>
      <c r="F1919" t="str">
        <f>VLOOKUP(Tabel1[[#This Row],[categorie]],Lijst!A:C,3,FALSE)</f>
        <v>Uitgave</v>
      </c>
      <c r="G1919">
        <f t="shared" si="94"/>
        <v>-125.81</v>
      </c>
      <c r="H1919" t="str">
        <f>VLOOKUP(Tabel1[[#This Row],[categorie]],Lijst!A:B,2,FALSE)</f>
        <v>Vast</v>
      </c>
      <c r="I1919" t="str">
        <f t="shared" si="95"/>
        <v>OK</v>
      </c>
    </row>
    <row r="1920" spans="1:9" hidden="1" x14ac:dyDescent="0.3">
      <c r="A1920" s="2">
        <v>45937</v>
      </c>
      <c r="B1920" t="str">
        <f t="shared" si="93"/>
        <v xml:space="preserve">oktober </v>
      </c>
      <c r="C1920">
        <v>-10.3</v>
      </c>
      <c r="D1920" t="s">
        <v>82</v>
      </c>
      <c r="E1920" t="s">
        <v>791</v>
      </c>
      <c r="F1920" t="s">
        <v>18</v>
      </c>
      <c r="G1920">
        <f t="shared" si="94"/>
        <v>-10.3</v>
      </c>
      <c r="H1920" t="str">
        <f>VLOOKUP(Tabel1[[#This Row],[categorie]],Lijst!A:B,2,FALSE)</f>
        <v>Vast</v>
      </c>
      <c r="I1920" t="str">
        <f t="shared" si="95"/>
        <v>OK</v>
      </c>
    </row>
    <row r="1921" spans="1:9" hidden="1" x14ac:dyDescent="0.3">
      <c r="A1921" s="2">
        <v>45937</v>
      </c>
      <c r="B1921" t="str">
        <f t="shared" si="93"/>
        <v xml:space="preserve">oktober </v>
      </c>
      <c r="C1921">
        <v>-1.5</v>
      </c>
      <c r="D1921" t="str" cm="1">
        <f t="array" ref="D1921">IFERROR(
  _xlfn.XLOOKUP(TRUE, ISNUMBER(FIND(Trefwoorden!$A$2:$A$99, E1921)), Trefwoorden!$B$2:$B$99),
  "Onbekend"
)</f>
        <v>automaat De Lijn</v>
      </c>
      <c r="E1921" t="s">
        <v>792</v>
      </c>
      <c r="F1921" t="str">
        <f>VLOOKUP(Tabel1[[#This Row],[categorie]],Lijst!A:C,3,FALSE)</f>
        <v>Uitgave</v>
      </c>
      <c r="G1921">
        <f t="shared" si="94"/>
        <v>-1.5</v>
      </c>
      <c r="H1921" t="str">
        <f>VLOOKUP(Tabel1[[#This Row],[categorie]],Lijst!A:B,2,FALSE)</f>
        <v>Variabel</v>
      </c>
      <c r="I1921" t="str">
        <f t="shared" si="95"/>
        <v>OK</v>
      </c>
    </row>
    <row r="1922" spans="1:9" hidden="1" x14ac:dyDescent="0.3">
      <c r="A1922" s="2">
        <v>45937</v>
      </c>
      <c r="B1922" t="str">
        <f t="shared" si="93"/>
        <v xml:space="preserve">oktober </v>
      </c>
      <c r="C1922">
        <v>-810.65</v>
      </c>
      <c r="D1922" t="str" cm="1">
        <f t="array" ref="D1922">IFERROR(
  _xlfn.XLOOKUP(TRUE, ISNUMBER(FIND(Trefwoorden!$A$2:$A$99, E1922)), Trefwoorden!$B$2:$B$99),
  "Onbekend"
)</f>
        <v>Hypotheek</v>
      </c>
      <c r="E1922" t="s">
        <v>793</v>
      </c>
      <c r="F1922" t="str">
        <f>VLOOKUP(Tabel1[[#This Row],[categorie]],Lijst!A:C,3,FALSE)</f>
        <v>Uitgave</v>
      </c>
      <c r="G1922">
        <f t="shared" si="94"/>
        <v>-810.65</v>
      </c>
      <c r="H1922" t="str">
        <f>VLOOKUP(Tabel1[[#This Row],[categorie]],Lijst!A:B,2,FALSE)</f>
        <v>Vast</v>
      </c>
      <c r="I1922" t="str">
        <f t="shared" si="95"/>
        <v>OK</v>
      </c>
    </row>
    <row r="1923" spans="1:9" hidden="1" x14ac:dyDescent="0.3">
      <c r="A1923" s="2">
        <v>45937</v>
      </c>
      <c r="B1923" t="str">
        <f t="shared" si="93"/>
        <v xml:space="preserve">oktober </v>
      </c>
      <c r="C1923">
        <v>-12.01</v>
      </c>
      <c r="D1923" t="str" cm="1">
        <f t="array" ref="D1923">IFERROR(
  _xlfn.XLOOKUP(TRUE, ISNUMBER(FIND(Trefwoorden!$A$2:$A$99, E1923)), Trefwoorden!$B$2:$B$99),
  "Onbekend"
)</f>
        <v>Euromex</v>
      </c>
      <c r="E1923" t="s">
        <v>794</v>
      </c>
      <c r="F1923" t="str">
        <f>VLOOKUP(Tabel1[[#This Row],[categorie]],Lijst!A:C,3,FALSE)</f>
        <v>Uitgave</v>
      </c>
      <c r="G1923">
        <f t="shared" si="94"/>
        <v>-12.01</v>
      </c>
      <c r="H1923" t="str">
        <f>VLOOKUP(Tabel1[[#This Row],[categorie]],Lijst!A:B,2,FALSE)</f>
        <v>Vast</v>
      </c>
      <c r="I1923" t="str">
        <f t="shared" si="95"/>
        <v>OK</v>
      </c>
    </row>
    <row r="1924" spans="1:9" hidden="1" x14ac:dyDescent="0.3">
      <c r="A1924" s="2">
        <v>45938</v>
      </c>
      <c r="B1924" t="str">
        <f t="shared" si="93"/>
        <v xml:space="preserve">oktober </v>
      </c>
      <c r="C1924">
        <v>-14.09</v>
      </c>
      <c r="D1924" t="str" cm="1">
        <f t="array" ref="D1924">IFERROR(
  _xlfn.XLOOKUP(TRUE, ISNUMBER(FIND(Trefwoorden!$A$2:$A$99, E1924)), Trefwoorden!$B$2:$B$99),
  "Onbekend"
)</f>
        <v>voeding</v>
      </c>
      <c r="E1924" t="s">
        <v>779</v>
      </c>
      <c r="F1924" t="str">
        <f>VLOOKUP(Tabel1[[#This Row],[categorie]],Lijst!A:C,3,FALSE)</f>
        <v>Uitgave</v>
      </c>
      <c r="G1924">
        <f t="shared" si="94"/>
        <v>-14.09</v>
      </c>
      <c r="H1924" t="str">
        <f>VLOOKUP(Tabel1[[#This Row],[categorie]],Lijst!A:B,2,FALSE)</f>
        <v>Vast</v>
      </c>
      <c r="I1924" t="str">
        <f t="shared" si="95"/>
        <v>OK</v>
      </c>
    </row>
    <row r="1925" spans="1:9" hidden="1" x14ac:dyDescent="0.3">
      <c r="A1925" s="2">
        <v>45938</v>
      </c>
      <c r="B1925" t="str">
        <f t="shared" si="93"/>
        <v xml:space="preserve">oktober </v>
      </c>
      <c r="C1925">
        <v>-124.5</v>
      </c>
      <c r="D1925" t="s">
        <v>82</v>
      </c>
      <c r="E1925" t="s">
        <v>781</v>
      </c>
      <c r="F1925" t="s">
        <v>18</v>
      </c>
      <c r="G1925">
        <f t="shared" si="94"/>
        <v>-124.5</v>
      </c>
      <c r="H1925" t="str">
        <f>VLOOKUP(Tabel1[[#This Row],[categorie]],Lijst!A:B,2,FALSE)</f>
        <v>Vast</v>
      </c>
      <c r="I1925" t="str">
        <f t="shared" si="95"/>
        <v>OK</v>
      </c>
    </row>
    <row r="1926" spans="1:9" hidden="1" x14ac:dyDescent="0.3">
      <c r="A1926" s="2">
        <v>45938</v>
      </c>
      <c r="B1926" t="str">
        <f t="shared" si="93"/>
        <v xml:space="preserve">oktober </v>
      </c>
      <c r="C1926">
        <v>-1.5</v>
      </c>
      <c r="D1926" t="str" cm="1">
        <f t="array" ref="D1926">IFERROR(
  _xlfn.XLOOKUP(TRUE, ISNUMBER(FIND(Trefwoorden!$A$2:$A$99, E1926)), Trefwoorden!$B$2:$B$99),
  "Onbekend"
)</f>
        <v>automaat De Lijn</v>
      </c>
      <c r="E1926" t="s">
        <v>783</v>
      </c>
      <c r="F1926" t="str">
        <f>VLOOKUP(Tabel1[[#This Row],[categorie]],Lijst!A:C,3,FALSE)</f>
        <v>Uitgave</v>
      </c>
      <c r="G1926">
        <f t="shared" si="94"/>
        <v>-1.5</v>
      </c>
      <c r="H1926" t="str">
        <f>VLOOKUP(Tabel1[[#This Row],[categorie]],Lijst!A:B,2,FALSE)</f>
        <v>Variabel</v>
      </c>
      <c r="I1926" t="str">
        <f t="shared" si="95"/>
        <v>OK</v>
      </c>
    </row>
    <row r="1927" spans="1:9" hidden="1" x14ac:dyDescent="0.3">
      <c r="A1927" s="2">
        <v>45938</v>
      </c>
      <c r="B1927" t="str">
        <f t="shared" si="93"/>
        <v xml:space="preserve">oktober </v>
      </c>
      <c r="C1927">
        <v>-3.5</v>
      </c>
      <c r="D1927" t="s">
        <v>22</v>
      </c>
      <c r="E1927" t="s">
        <v>784</v>
      </c>
      <c r="F1927" t="str">
        <f>VLOOKUP(Tabel1[[#This Row],[categorie]],Lijst!A:C,3,FALSE)</f>
        <v>Uitgave</v>
      </c>
      <c r="G1927">
        <f t="shared" si="94"/>
        <v>-3.5</v>
      </c>
      <c r="H1927" t="str">
        <f>VLOOKUP(Tabel1[[#This Row],[categorie]],Lijst!A:B,2,FALSE)</f>
        <v>Variabel</v>
      </c>
      <c r="I1927" t="str">
        <f t="shared" si="95"/>
        <v>OK</v>
      </c>
    </row>
    <row r="1928" spans="1:9" hidden="1" x14ac:dyDescent="0.3">
      <c r="A1928" s="2">
        <v>45938</v>
      </c>
      <c r="B1928" t="str">
        <f t="shared" si="93"/>
        <v xml:space="preserve">oktober </v>
      </c>
      <c r="C1928">
        <v>-9.41</v>
      </c>
      <c r="D1928" t="s">
        <v>13</v>
      </c>
      <c r="E1928" t="s">
        <v>785</v>
      </c>
      <c r="F1928" t="str">
        <f>VLOOKUP(Tabel1[[#This Row],[categorie]],Lijst!A:C,3,FALSE)</f>
        <v>Uitgave</v>
      </c>
      <c r="G1928">
        <f t="shared" si="94"/>
        <v>-9.41</v>
      </c>
      <c r="H1928" t="str">
        <f>VLOOKUP(Tabel1[[#This Row],[categorie]],Lijst!A:B,2,FALSE)</f>
        <v>Vast</v>
      </c>
      <c r="I1928" t="str">
        <f t="shared" si="95"/>
        <v>OK</v>
      </c>
    </row>
    <row r="1929" spans="1:9" hidden="1" x14ac:dyDescent="0.3">
      <c r="A1929" s="2">
        <v>45939</v>
      </c>
      <c r="B1929" t="str">
        <f t="shared" si="93"/>
        <v xml:space="preserve">oktober </v>
      </c>
      <c r="C1929">
        <v>-2.5</v>
      </c>
      <c r="D1929" t="str" cm="1">
        <f t="array" ref="D1929">IFERROR(
  _xlfn.XLOOKUP(TRUE, ISNUMBER(FIND(Trefwoorden!$A$2:$A$99, E1929)), Trefwoorden!$B$2:$B$99),
  "Onbekend"
)</f>
        <v>EuroShop</v>
      </c>
      <c r="E1929" t="s">
        <v>773</v>
      </c>
      <c r="F1929" t="str">
        <f>VLOOKUP(Tabel1[[#This Row],[categorie]],Lijst!A:C,3,FALSE)</f>
        <v>Uitgave</v>
      </c>
      <c r="G1929">
        <f t="shared" si="94"/>
        <v>-2.5</v>
      </c>
      <c r="H1929" t="str">
        <f>VLOOKUP(Tabel1[[#This Row],[categorie]],Lijst!A:B,2,FALSE)</f>
        <v>Variabel</v>
      </c>
      <c r="I1929" t="str">
        <f t="shared" si="95"/>
        <v>OK</v>
      </c>
    </row>
    <row r="1930" spans="1:9" hidden="1" x14ac:dyDescent="0.3">
      <c r="A1930" s="2">
        <v>45939</v>
      </c>
      <c r="B1930" t="str">
        <f t="shared" si="93"/>
        <v xml:space="preserve">oktober </v>
      </c>
      <c r="C1930">
        <v>-0.25</v>
      </c>
      <c r="D1930" t="str" cm="1">
        <f t="array" ref="D1930">IFERROR(
  _xlfn.XLOOKUP(TRUE, ISNUMBER(FIND(Trefwoorden!$A$2:$A$99, E1930)), Trefwoorden!$B$2:$B$99),
  "Onbekend"
)</f>
        <v>voeding</v>
      </c>
      <c r="E1930" t="s">
        <v>774</v>
      </c>
      <c r="F1930" t="str">
        <f>VLOOKUP(Tabel1[[#This Row],[categorie]],Lijst!A:C,3,FALSE)</f>
        <v>Uitgave</v>
      </c>
      <c r="G1930">
        <f t="shared" si="94"/>
        <v>-0.25</v>
      </c>
      <c r="H1930" t="str">
        <f>VLOOKUP(Tabel1[[#This Row],[categorie]],Lijst!A:B,2,FALSE)</f>
        <v>Vast</v>
      </c>
      <c r="I1930" t="str">
        <f t="shared" si="95"/>
        <v>OK</v>
      </c>
    </row>
    <row r="1931" spans="1:9" hidden="1" x14ac:dyDescent="0.3">
      <c r="A1931" s="2">
        <v>45939</v>
      </c>
      <c r="B1931" t="str">
        <f t="shared" si="93"/>
        <v xml:space="preserve">oktober </v>
      </c>
      <c r="C1931">
        <v>58.5</v>
      </c>
      <c r="D1931" t="str" cm="1">
        <f t="array" ref="D1931">IFERROR(
  _xlfn.XLOOKUP(TRUE, ISNUMBER(FIND(Trefwoorden!$A$2:$A$99, E1931)), Trefwoorden!$B$2:$B$99),
  "Onbekend"
)</f>
        <v>Gezondheid</v>
      </c>
      <c r="E1931" t="s">
        <v>778</v>
      </c>
      <c r="F1931" t="s">
        <v>17</v>
      </c>
      <c r="G1931">
        <f t="shared" si="94"/>
        <v>58.5</v>
      </c>
      <c r="H1931" t="str">
        <f>VLOOKUP(Tabel1[[#This Row],[categorie]],Lijst!A:B,2,FALSE)</f>
        <v>Vast</v>
      </c>
      <c r="I1931" t="str">
        <f t="shared" si="95"/>
        <v>OK</v>
      </c>
    </row>
    <row r="1932" spans="1:9" hidden="1" x14ac:dyDescent="0.3">
      <c r="A1932" s="2">
        <v>45939</v>
      </c>
      <c r="B1932" t="str">
        <f t="shared" si="93"/>
        <v xml:space="preserve">oktober </v>
      </c>
      <c r="C1932">
        <v>-26</v>
      </c>
      <c r="D1932" t="s">
        <v>36</v>
      </c>
      <c r="E1932" t="s">
        <v>780</v>
      </c>
      <c r="F1932" t="s">
        <v>18</v>
      </c>
      <c r="G1932">
        <f t="shared" si="94"/>
        <v>-26</v>
      </c>
      <c r="H1932" t="str">
        <f>VLOOKUP(Tabel1[[#This Row],[categorie]],Lijst!A:B,2,FALSE)</f>
        <v>Variabel</v>
      </c>
      <c r="I1932" t="str">
        <f t="shared" si="95"/>
        <v>OK</v>
      </c>
    </row>
    <row r="1933" spans="1:9" hidden="1" x14ac:dyDescent="0.3">
      <c r="A1933" s="2">
        <v>45939</v>
      </c>
      <c r="B1933" t="str">
        <f t="shared" si="93"/>
        <v xml:space="preserve">oktober </v>
      </c>
      <c r="C1933">
        <v>-25.95</v>
      </c>
      <c r="D1933" t="str" cm="1">
        <f t="array" ref="D1933">IFERROR(
  _xlfn.XLOOKUP(TRUE, ISNUMBER(FIND(Trefwoorden!$A$2:$A$99, E1933)), Trefwoorden!$B$2:$B$99),
  "Onbekend"
)</f>
        <v>Gezondheid</v>
      </c>
      <c r="E1933" t="s">
        <v>782</v>
      </c>
      <c r="F1933" t="s">
        <v>18</v>
      </c>
      <c r="G1933">
        <f t="shared" si="94"/>
        <v>-25.95</v>
      </c>
      <c r="H1933" t="str">
        <f>VLOOKUP(Tabel1[[#This Row],[categorie]],Lijst!A:B,2,FALSE)</f>
        <v>Vast</v>
      </c>
      <c r="I1933" t="str">
        <f t="shared" si="95"/>
        <v>OK</v>
      </c>
    </row>
    <row r="1934" spans="1:9" hidden="1" x14ac:dyDescent="0.3">
      <c r="A1934" s="2">
        <v>45940</v>
      </c>
      <c r="B1934" t="str">
        <f t="shared" si="93"/>
        <v xml:space="preserve">oktober </v>
      </c>
      <c r="C1934">
        <v>-95.4</v>
      </c>
      <c r="D1934" t="s">
        <v>69</v>
      </c>
      <c r="E1934" t="s">
        <v>771</v>
      </c>
      <c r="F1934" t="s">
        <v>18</v>
      </c>
      <c r="G1934">
        <f t="shared" si="94"/>
        <v>-95.4</v>
      </c>
      <c r="H1934" t="str">
        <f>VLOOKUP(Tabel1[[#This Row],[categorie]],Lijst!A:B,2,FALSE)</f>
        <v>Variabel</v>
      </c>
      <c r="I1934" t="str">
        <f t="shared" si="95"/>
        <v>OK</v>
      </c>
    </row>
    <row r="1935" spans="1:9" hidden="1" x14ac:dyDescent="0.3">
      <c r="A1935" s="2">
        <v>45940</v>
      </c>
      <c r="B1935" t="str">
        <f t="shared" ref="B1935:B1998" si="96">TEXT(A1935,"mmmm ")</f>
        <v xml:space="preserve">oktober </v>
      </c>
      <c r="C1935">
        <v>-1385</v>
      </c>
      <c r="D1935" t="str" cm="1">
        <f t="array" ref="D1935">IFERROR(
  _xlfn.XLOOKUP(TRUE, ISNUMBER(FIND(Trefwoorden!$A$2:$A$99, E1935)), Trefwoorden!$B$2:$B$99),
  "Onbekend"
)</f>
        <v>Ouders Bram</v>
      </c>
      <c r="E1935" t="s">
        <v>772</v>
      </c>
      <c r="F1935" t="s">
        <v>18</v>
      </c>
      <c r="G1935">
        <f t="shared" ref="G1935:G1998" si="97">IF(F1935="Uitgave", -ABS(C1935), ABS(C1935))</f>
        <v>-1385</v>
      </c>
      <c r="H1935" t="str">
        <f>VLOOKUP(Tabel1[[#This Row],[categorie]],Lijst!A:B,2,FALSE)</f>
        <v>Variabel</v>
      </c>
      <c r="I1935" t="str">
        <f t="shared" ref="I1935:I1998" si="98">IF(OR(AND(F1935="Uitgave", C1935&lt;0), AND(F1935="Inkomst", C1935&gt;0)), "OK", "FOUT")</f>
        <v>OK</v>
      </c>
    </row>
    <row r="1936" spans="1:9" hidden="1" x14ac:dyDescent="0.3">
      <c r="A1936" s="2">
        <v>45940</v>
      </c>
      <c r="B1936" t="str">
        <f t="shared" si="96"/>
        <v xml:space="preserve">oktober </v>
      </c>
      <c r="C1936">
        <v>-1.5</v>
      </c>
      <c r="D1936" t="str" cm="1">
        <f t="array" ref="D1936">IFERROR(
  _xlfn.XLOOKUP(TRUE, ISNUMBER(FIND(Trefwoorden!$A$2:$A$99, E1936)), Trefwoorden!$B$2:$B$99),
  "Onbekend"
)</f>
        <v>automaat De Lijn</v>
      </c>
      <c r="E1936" t="s">
        <v>775</v>
      </c>
      <c r="F1936" t="str">
        <f>VLOOKUP(Tabel1[[#This Row],[categorie]],Lijst!A:C,3,FALSE)</f>
        <v>Uitgave</v>
      </c>
      <c r="G1936">
        <f t="shared" si="97"/>
        <v>-1.5</v>
      </c>
      <c r="H1936" t="str">
        <f>VLOOKUP(Tabel1[[#This Row],[categorie]],Lijst!A:B,2,FALSE)</f>
        <v>Variabel</v>
      </c>
      <c r="I1936" t="str">
        <f t="shared" si="98"/>
        <v>OK</v>
      </c>
    </row>
    <row r="1937" spans="1:9" hidden="1" x14ac:dyDescent="0.3">
      <c r="A1937" s="2">
        <v>45940</v>
      </c>
      <c r="B1937" t="str">
        <f t="shared" si="96"/>
        <v xml:space="preserve">oktober </v>
      </c>
      <c r="C1937">
        <v>-0.9</v>
      </c>
      <c r="D1937" t="str" cm="1">
        <f t="array" ref="D1937">IFERROR(
  _xlfn.XLOOKUP(TRUE, ISNUMBER(FIND(Trefwoorden!$A$2:$A$99, E1937)), Trefwoorden!$B$2:$B$99),
  "Onbekend"
)</f>
        <v>automaat De Lijn</v>
      </c>
      <c r="E1937" t="s">
        <v>776</v>
      </c>
      <c r="F1937" t="str">
        <f>VLOOKUP(Tabel1[[#This Row],[categorie]],Lijst!A:C,3,FALSE)</f>
        <v>Uitgave</v>
      </c>
      <c r="G1937">
        <f t="shared" si="97"/>
        <v>-0.9</v>
      </c>
      <c r="H1937" t="str">
        <f>VLOOKUP(Tabel1[[#This Row],[categorie]],Lijst!A:B,2,FALSE)</f>
        <v>Variabel</v>
      </c>
      <c r="I1937" t="str">
        <f t="shared" si="98"/>
        <v>OK</v>
      </c>
    </row>
    <row r="1938" spans="1:9" hidden="1" x14ac:dyDescent="0.3">
      <c r="A1938" s="2">
        <v>45940</v>
      </c>
      <c r="B1938" t="str">
        <f t="shared" si="96"/>
        <v xml:space="preserve">oktober </v>
      </c>
      <c r="C1938">
        <v>-1.5</v>
      </c>
      <c r="D1938" t="str" cm="1">
        <f t="array" ref="D1938">IFERROR(
  _xlfn.XLOOKUP(TRUE, ISNUMBER(FIND(Trefwoorden!$A$2:$A$99, E1938)), Trefwoorden!$B$2:$B$99),
  "Onbekend"
)</f>
        <v>automaat De Lijn</v>
      </c>
      <c r="E1938" t="s">
        <v>777</v>
      </c>
      <c r="F1938" t="str">
        <f>VLOOKUP(Tabel1[[#This Row],[categorie]],Lijst!A:C,3,FALSE)</f>
        <v>Uitgave</v>
      </c>
      <c r="G1938">
        <f t="shared" si="97"/>
        <v>-1.5</v>
      </c>
      <c r="H1938" t="str">
        <f>VLOOKUP(Tabel1[[#This Row],[categorie]],Lijst!A:B,2,FALSE)</f>
        <v>Variabel</v>
      </c>
      <c r="I1938" t="str">
        <f t="shared" si="98"/>
        <v>OK</v>
      </c>
    </row>
    <row r="1939" spans="1:9" hidden="1" x14ac:dyDescent="0.3">
      <c r="A1939" s="2">
        <v>45941</v>
      </c>
      <c r="B1939" t="str">
        <f t="shared" si="96"/>
        <v xml:space="preserve">oktober </v>
      </c>
      <c r="C1939">
        <v>-21.59</v>
      </c>
      <c r="D1939" t="str" cm="1">
        <f t="array" ref="D1939">IFERROR(
  _xlfn.XLOOKUP(TRUE, ISNUMBER(FIND(Trefwoorden!$A$2:$A$99, E1939)), Trefwoorden!$B$2:$B$99),
  "Onbekend"
)</f>
        <v>voeding</v>
      </c>
      <c r="E1939" t="s">
        <v>759</v>
      </c>
      <c r="F1939" t="str">
        <f>VLOOKUP(Tabel1[[#This Row],[categorie]],Lijst!A:C,3,FALSE)</f>
        <v>Uitgave</v>
      </c>
      <c r="G1939">
        <f t="shared" si="97"/>
        <v>-21.59</v>
      </c>
      <c r="H1939" t="str">
        <f>VLOOKUP(Tabel1[[#This Row],[categorie]],Lijst!A:B,2,FALSE)</f>
        <v>Vast</v>
      </c>
      <c r="I1939" t="str">
        <f t="shared" si="98"/>
        <v>OK</v>
      </c>
    </row>
    <row r="1940" spans="1:9" hidden="1" x14ac:dyDescent="0.3">
      <c r="A1940" s="2">
        <v>45941</v>
      </c>
      <c r="B1940" t="str">
        <f t="shared" si="96"/>
        <v xml:space="preserve">oktober </v>
      </c>
      <c r="C1940">
        <v>-9.36</v>
      </c>
      <c r="D1940" t="str" cm="1">
        <f t="array" ref="D1940">IFERROR(
  _xlfn.XLOOKUP(TRUE, ISNUMBER(FIND(Trefwoorden!$A$2:$A$99, E1940)), Trefwoorden!$B$2:$B$99),
  "Onbekend"
)</f>
        <v>Hema</v>
      </c>
      <c r="E1940" t="s">
        <v>767</v>
      </c>
      <c r="F1940" t="str">
        <f>VLOOKUP(Tabel1[[#This Row],[categorie]],Lijst!A:C,3,FALSE)</f>
        <v>Uitgave</v>
      </c>
      <c r="G1940">
        <f t="shared" si="97"/>
        <v>-9.36</v>
      </c>
      <c r="H1940" t="str">
        <f>VLOOKUP(Tabel1[[#This Row],[categorie]],Lijst!A:B,2,FALSE)</f>
        <v>Variabel</v>
      </c>
      <c r="I1940" t="str">
        <f t="shared" si="98"/>
        <v>OK</v>
      </c>
    </row>
    <row r="1941" spans="1:9" hidden="1" x14ac:dyDescent="0.3">
      <c r="A1941" s="2">
        <v>45941</v>
      </c>
      <c r="B1941" t="str">
        <f t="shared" si="96"/>
        <v xml:space="preserve">oktober </v>
      </c>
      <c r="C1941">
        <v>-11.95</v>
      </c>
      <c r="D1941" t="str" cm="1">
        <f t="array" ref="D1941">IFERROR(
  _xlfn.XLOOKUP(TRUE, ISNUMBER(FIND(Trefwoorden!$A$2:$A$99, E1941)), Trefwoorden!$B$2:$B$99),
  "Onbekend"
)</f>
        <v>voeding</v>
      </c>
      <c r="E1941" t="s">
        <v>768</v>
      </c>
      <c r="F1941" t="str">
        <f>VLOOKUP(Tabel1[[#This Row],[categorie]],Lijst!A:C,3,FALSE)</f>
        <v>Uitgave</v>
      </c>
      <c r="G1941">
        <f t="shared" si="97"/>
        <v>-11.95</v>
      </c>
      <c r="H1941" t="str">
        <f>VLOOKUP(Tabel1[[#This Row],[categorie]],Lijst!A:B,2,FALSE)</f>
        <v>Vast</v>
      </c>
      <c r="I1941" t="str">
        <f t="shared" si="98"/>
        <v>OK</v>
      </c>
    </row>
    <row r="1942" spans="1:9" hidden="1" x14ac:dyDescent="0.3">
      <c r="A1942" s="2">
        <v>45941</v>
      </c>
      <c r="B1942" t="str">
        <f t="shared" si="96"/>
        <v xml:space="preserve">oktober </v>
      </c>
      <c r="C1942">
        <v>-8</v>
      </c>
      <c r="D1942" t="str" cm="1">
        <f t="array" ref="D1942">IFERROR(
  _xlfn.XLOOKUP(TRUE, ISNUMBER(FIND(Trefwoorden!$A$2:$A$99, E1942)), Trefwoorden!$B$2:$B$99),
  "Onbekend"
)</f>
        <v>Laadbeurt</v>
      </c>
      <c r="E1942" t="s">
        <v>769</v>
      </c>
      <c r="F1942" t="str">
        <f>VLOOKUP(Tabel1[[#This Row],[categorie]],Lijst!A:C,3,FALSE)</f>
        <v>Uitgave</v>
      </c>
      <c r="G1942">
        <f t="shared" si="97"/>
        <v>-8</v>
      </c>
      <c r="H1942" t="str">
        <f>VLOOKUP(Tabel1[[#This Row],[categorie]],Lijst!A:B,2,FALSE)</f>
        <v>Vast</v>
      </c>
      <c r="I1942" t="str">
        <f t="shared" si="98"/>
        <v>OK</v>
      </c>
    </row>
    <row r="1943" spans="1:9" hidden="1" x14ac:dyDescent="0.3">
      <c r="A1943" s="2">
        <v>45941</v>
      </c>
      <c r="B1943" t="str">
        <f t="shared" si="96"/>
        <v xml:space="preserve">oktober </v>
      </c>
      <c r="C1943">
        <v>-71.8</v>
      </c>
      <c r="D1943" t="s">
        <v>44</v>
      </c>
      <c r="E1943" t="s">
        <v>770</v>
      </c>
      <c r="F1943" t="str">
        <f>VLOOKUP(Tabel1[[#This Row],[categorie]],Lijst!A:C,3,FALSE)</f>
        <v>Uitgave</v>
      </c>
      <c r="G1943">
        <f t="shared" si="97"/>
        <v>-71.8</v>
      </c>
      <c r="H1943" t="str">
        <f>VLOOKUP(Tabel1[[#This Row],[categorie]],Lijst!A:B,2,FALSE)</f>
        <v>Variabel</v>
      </c>
      <c r="I1943" t="str">
        <f t="shared" si="98"/>
        <v>OK</v>
      </c>
    </row>
    <row r="1944" spans="1:9" hidden="1" x14ac:dyDescent="0.3">
      <c r="A1944" s="2">
        <v>45942</v>
      </c>
      <c r="B1944" t="str">
        <f t="shared" si="96"/>
        <v xml:space="preserve">oktober </v>
      </c>
      <c r="C1944">
        <v>-5.48</v>
      </c>
      <c r="D1944" t="str" cm="1">
        <f t="array" ref="D1944">IFERROR(
  _xlfn.XLOOKUP(TRUE, ISNUMBER(FIND(Trefwoorden!$A$2:$A$99, E1944)), Trefwoorden!$B$2:$B$99),
  "Onbekend"
)</f>
        <v>voeding</v>
      </c>
      <c r="E1944" t="s">
        <v>760</v>
      </c>
      <c r="F1944" t="str">
        <f>VLOOKUP(Tabel1[[#This Row],[categorie]],Lijst!A:C,3,FALSE)</f>
        <v>Uitgave</v>
      </c>
      <c r="G1944">
        <f t="shared" si="97"/>
        <v>-5.48</v>
      </c>
      <c r="H1944" t="str">
        <f>VLOOKUP(Tabel1[[#This Row],[categorie]],Lijst!A:B,2,FALSE)</f>
        <v>Vast</v>
      </c>
      <c r="I1944" t="str">
        <f t="shared" si="98"/>
        <v>OK</v>
      </c>
    </row>
    <row r="1945" spans="1:9" hidden="1" x14ac:dyDescent="0.3">
      <c r="A1945" s="2">
        <v>45943</v>
      </c>
      <c r="B1945" t="str">
        <f t="shared" si="96"/>
        <v xml:space="preserve">oktober </v>
      </c>
      <c r="C1945">
        <v>-7.07</v>
      </c>
      <c r="D1945" t="str" cm="1">
        <f t="array" ref="D1945">IFERROR(
  _xlfn.XLOOKUP(TRUE, ISNUMBER(FIND(Trefwoorden!$A$2:$A$99, E1945)), Trefwoorden!$B$2:$B$99),
  "Onbekend"
)</f>
        <v>Hema</v>
      </c>
      <c r="E1945" t="s">
        <v>751</v>
      </c>
      <c r="F1945" t="str">
        <f>VLOOKUP(Tabel1[[#This Row],[categorie]],Lijst!A:C,3,FALSE)</f>
        <v>Uitgave</v>
      </c>
      <c r="G1945">
        <f t="shared" si="97"/>
        <v>-7.07</v>
      </c>
      <c r="H1945" t="str">
        <f>VLOOKUP(Tabel1[[#This Row],[categorie]],Lijst!A:B,2,FALSE)</f>
        <v>Variabel</v>
      </c>
      <c r="I1945" t="str">
        <f t="shared" si="98"/>
        <v>OK</v>
      </c>
    </row>
    <row r="1946" spans="1:9" hidden="1" x14ac:dyDescent="0.3">
      <c r="A1946" s="2">
        <v>45943</v>
      </c>
      <c r="B1946" t="str">
        <f t="shared" si="96"/>
        <v xml:space="preserve">oktober </v>
      </c>
      <c r="C1946">
        <v>-9.6999999999999993</v>
      </c>
      <c r="D1946" t="str" cm="1">
        <f t="array" ref="D1946">IFERROR(
  _xlfn.XLOOKUP(TRUE, ISNUMBER(FIND(Trefwoorden!$A$2:$A$99, E1946)), Trefwoorden!$B$2:$B$99),
  "Onbekend"
)</f>
        <v>Laadbeurt</v>
      </c>
      <c r="E1946" t="s">
        <v>756</v>
      </c>
      <c r="F1946" t="str">
        <f>VLOOKUP(Tabel1[[#This Row],[categorie]],Lijst!A:C,3,FALSE)</f>
        <v>Uitgave</v>
      </c>
      <c r="G1946">
        <f t="shared" si="97"/>
        <v>-9.6999999999999993</v>
      </c>
      <c r="H1946" t="str">
        <f>VLOOKUP(Tabel1[[#This Row],[categorie]],Lijst!A:B,2,FALSE)</f>
        <v>Vast</v>
      </c>
      <c r="I1946" t="str">
        <f t="shared" si="98"/>
        <v>OK</v>
      </c>
    </row>
    <row r="1947" spans="1:9" hidden="1" x14ac:dyDescent="0.3">
      <c r="A1947" s="2">
        <v>45943</v>
      </c>
      <c r="B1947" t="str">
        <f t="shared" si="96"/>
        <v xml:space="preserve">oktober </v>
      </c>
      <c r="C1947">
        <v>-5</v>
      </c>
      <c r="D1947" t="str" cm="1">
        <f t="array" ref="D1947">IFERROR(
  _xlfn.XLOOKUP(TRUE, ISNUMBER(FIND(Trefwoorden!$A$2:$A$99, E1947)), Trefwoorden!$B$2:$B$99),
  "Onbekend"
)</f>
        <v>Laadbeurt</v>
      </c>
      <c r="E1947" t="s">
        <v>756</v>
      </c>
      <c r="F1947" t="str">
        <f>VLOOKUP(Tabel1[[#This Row],[categorie]],Lijst!A:C,3,FALSE)</f>
        <v>Uitgave</v>
      </c>
      <c r="G1947">
        <f t="shared" si="97"/>
        <v>-5</v>
      </c>
      <c r="H1947" t="str">
        <f>VLOOKUP(Tabel1[[#This Row],[categorie]],Lijst!A:B,2,FALSE)</f>
        <v>Vast</v>
      </c>
      <c r="I1947" t="str">
        <f t="shared" si="98"/>
        <v>OK</v>
      </c>
    </row>
    <row r="1948" spans="1:9" hidden="1" x14ac:dyDescent="0.3">
      <c r="A1948" s="2">
        <v>45943</v>
      </c>
      <c r="B1948" t="str">
        <f t="shared" si="96"/>
        <v xml:space="preserve">oktober </v>
      </c>
      <c r="C1948">
        <v>-5</v>
      </c>
      <c r="D1948" t="s">
        <v>32</v>
      </c>
      <c r="E1948" t="s">
        <v>757</v>
      </c>
      <c r="F1948" t="str">
        <f>VLOOKUP(Tabel1[[#This Row],[categorie]],Lijst!A:C,3,FALSE)</f>
        <v>Uitgave</v>
      </c>
      <c r="G1948">
        <f t="shared" si="97"/>
        <v>-5</v>
      </c>
      <c r="H1948" t="str">
        <f>VLOOKUP(Tabel1[[#This Row],[categorie]],Lijst!A:B,2,FALSE)</f>
        <v>Variabel</v>
      </c>
      <c r="I1948" t="str">
        <f t="shared" si="98"/>
        <v>OK</v>
      </c>
    </row>
    <row r="1949" spans="1:9" hidden="1" x14ac:dyDescent="0.3">
      <c r="A1949" s="2">
        <v>45943</v>
      </c>
      <c r="B1949" t="str">
        <f t="shared" si="96"/>
        <v xml:space="preserve">oktober </v>
      </c>
      <c r="C1949">
        <v>-2.9</v>
      </c>
      <c r="D1949" t="s">
        <v>22</v>
      </c>
      <c r="E1949" t="s">
        <v>758</v>
      </c>
      <c r="F1949" t="str">
        <f>VLOOKUP(Tabel1[[#This Row],[categorie]],Lijst!A:C,3,FALSE)</f>
        <v>Uitgave</v>
      </c>
      <c r="G1949">
        <f t="shared" si="97"/>
        <v>-2.9</v>
      </c>
      <c r="H1949" t="str">
        <f>VLOOKUP(Tabel1[[#This Row],[categorie]],Lijst!A:B,2,FALSE)</f>
        <v>Variabel</v>
      </c>
      <c r="I1949" t="str">
        <f t="shared" si="98"/>
        <v>OK</v>
      </c>
    </row>
    <row r="1950" spans="1:9" hidden="1" x14ac:dyDescent="0.3">
      <c r="A1950" s="2">
        <v>45943</v>
      </c>
      <c r="B1950" t="str">
        <f t="shared" si="96"/>
        <v xml:space="preserve">oktober </v>
      </c>
      <c r="C1950">
        <v>-8</v>
      </c>
      <c r="D1950" t="str" cm="1">
        <f t="array" ref="D1950">IFERROR(
  _xlfn.XLOOKUP(TRUE, ISNUMBER(FIND(Trefwoorden!$A$2:$A$99, E1950)), Trefwoorden!$B$2:$B$99),
  "Onbekend"
)</f>
        <v>Laadbeurt</v>
      </c>
      <c r="E1950" t="s">
        <v>761</v>
      </c>
      <c r="F1950" t="str">
        <f>VLOOKUP(Tabel1[[#This Row],[categorie]],Lijst!A:C,3,FALSE)</f>
        <v>Uitgave</v>
      </c>
      <c r="G1950">
        <f t="shared" si="97"/>
        <v>-8</v>
      </c>
      <c r="H1950" t="str">
        <f>VLOOKUP(Tabel1[[#This Row],[categorie]],Lijst!A:B,2,FALSE)</f>
        <v>Vast</v>
      </c>
      <c r="I1950" t="str">
        <f t="shared" si="98"/>
        <v>OK</v>
      </c>
    </row>
    <row r="1951" spans="1:9" hidden="1" x14ac:dyDescent="0.3">
      <c r="A1951" s="2">
        <v>45943</v>
      </c>
      <c r="B1951" t="str">
        <f t="shared" si="96"/>
        <v xml:space="preserve">oktober </v>
      </c>
      <c r="C1951">
        <v>-5.23</v>
      </c>
      <c r="D1951" t="str" cm="1">
        <f t="array" ref="D1951">IFERROR(
  _xlfn.XLOOKUP(TRUE, ISNUMBER(FIND(Trefwoorden!$A$2:$A$99, E1951)), Trefwoorden!$B$2:$B$99),
  "Onbekend"
)</f>
        <v>Laadbeurt</v>
      </c>
      <c r="E1951" t="s">
        <v>762</v>
      </c>
      <c r="F1951" t="str">
        <f>VLOOKUP(Tabel1[[#This Row],[categorie]],Lijst!A:C,3,FALSE)</f>
        <v>Uitgave</v>
      </c>
      <c r="G1951">
        <f t="shared" si="97"/>
        <v>-5.23</v>
      </c>
      <c r="H1951" t="str">
        <f>VLOOKUP(Tabel1[[#This Row],[categorie]],Lijst!A:B,2,FALSE)</f>
        <v>Vast</v>
      </c>
      <c r="I1951" t="str">
        <f t="shared" si="98"/>
        <v>OK</v>
      </c>
    </row>
    <row r="1952" spans="1:9" hidden="1" x14ac:dyDescent="0.3">
      <c r="A1952" s="2">
        <v>45943</v>
      </c>
      <c r="B1952" t="str">
        <f t="shared" si="96"/>
        <v xml:space="preserve">oktober </v>
      </c>
      <c r="C1952">
        <v>-5</v>
      </c>
      <c r="D1952" t="str" cm="1">
        <f t="array" ref="D1952">IFERROR(
  _xlfn.XLOOKUP(TRUE, ISNUMBER(FIND(Trefwoorden!$A$2:$A$99, E1952)), Trefwoorden!$B$2:$B$99),
  "Onbekend"
)</f>
        <v>Laadbeurt</v>
      </c>
      <c r="E1952" t="s">
        <v>762</v>
      </c>
      <c r="F1952" t="str">
        <f>VLOOKUP(Tabel1[[#This Row],[categorie]],Lijst!A:C,3,FALSE)</f>
        <v>Uitgave</v>
      </c>
      <c r="G1952">
        <f t="shared" si="97"/>
        <v>-5</v>
      </c>
      <c r="H1952" t="str">
        <f>VLOOKUP(Tabel1[[#This Row],[categorie]],Lijst!A:B,2,FALSE)</f>
        <v>Vast</v>
      </c>
      <c r="I1952" t="str">
        <f t="shared" si="98"/>
        <v>OK</v>
      </c>
    </row>
    <row r="1953" spans="1:9" hidden="1" x14ac:dyDescent="0.3">
      <c r="A1953" s="2">
        <v>45943</v>
      </c>
      <c r="B1953" t="str">
        <f t="shared" si="96"/>
        <v xml:space="preserve">oktober </v>
      </c>
      <c r="C1953">
        <v>-1.5</v>
      </c>
      <c r="D1953" t="str" cm="1">
        <f t="array" ref="D1953">IFERROR(
  _xlfn.XLOOKUP(TRUE, ISNUMBER(FIND(Trefwoorden!$A$2:$A$99, E1953)), Trefwoorden!$B$2:$B$99),
  "Onbekend"
)</f>
        <v>automaat De Lijn</v>
      </c>
      <c r="E1953" t="s">
        <v>763</v>
      </c>
      <c r="F1953" t="str">
        <f>VLOOKUP(Tabel1[[#This Row],[categorie]],Lijst!A:C,3,FALSE)</f>
        <v>Uitgave</v>
      </c>
      <c r="G1953">
        <f t="shared" si="97"/>
        <v>-1.5</v>
      </c>
      <c r="H1953" t="str">
        <f>VLOOKUP(Tabel1[[#This Row],[categorie]],Lijst!A:B,2,FALSE)</f>
        <v>Variabel</v>
      </c>
      <c r="I1953" t="str">
        <f t="shared" si="98"/>
        <v>OK</v>
      </c>
    </row>
    <row r="1954" spans="1:9" hidden="1" x14ac:dyDescent="0.3">
      <c r="A1954" s="2">
        <v>45943</v>
      </c>
      <c r="B1954" t="str">
        <f t="shared" si="96"/>
        <v xml:space="preserve">oktober </v>
      </c>
      <c r="C1954">
        <v>-1.5</v>
      </c>
      <c r="D1954" t="str" cm="1">
        <f t="array" ref="D1954">IFERROR(
  _xlfn.XLOOKUP(TRUE, ISNUMBER(FIND(Trefwoorden!$A$2:$A$99, E1954)), Trefwoorden!$B$2:$B$99),
  "Onbekend"
)</f>
        <v>automaat De Lijn</v>
      </c>
      <c r="E1954" t="s">
        <v>764</v>
      </c>
      <c r="F1954" t="str">
        <f>VLOOKUP(Tabel1[[#This Row],[categorie]],Lijst!A:C,3,FALSE)</f>
        <v>Uitgave</v>
      </c>
      <c r="G1954">
        <f t="shared" si="97"/>
        <v>-1.5</v>
      </c>
      <c r="H1954" t="str">
        <f>VLOOKUP(Tabel1[[#This Row],[categorie]],Lijst!A:B,2,FALSE)</f>
        <v>Variabel</v>
      </c>
      <c r="I1954" t="str">
        <f t="shared" si="98"/>
        <v>OK</v>
      </c>
    </row>
    <row r="1955" spans="1:9" hidden="1" x14ac:dyDescent="0.3">
      <c r="A1955" s="2">
        <v>45943</v>
      </c>
      <c r="B1955" t="str">
        <f t="shared" si="96"/>
        <v xml:space="preserve">oktober </v>
      </c>
      <c r="C1955">
        <v>-4.5</v>
      </c>
      <c r="D1955" t="str" cm="1">
        <f t="array" ref="D1955">IFERROR(
  _xlfn.XLOOKUP(TRUE, ISNUMBER(FIND(Trefwoorden!$A$2:$A$99, E1955)), Trefwoorden!$B$2:$B$99),
  "Onbekend"
)</f>
        <v>Hema</v>
      </c>
      <c r="E1955" t="s">
        <v>765</v>
      </c>
      <c r="F1955" t="str">
        <f>VLOOKUP(Tabel1[[#This Row],[categorie]],Lijst!A:C,3,FALSE)</f>
        <v>Uitgave</v>
      </c>
      <c r="G1955">
        <f t="shared" si="97"/>
        <v>-4.5</v>
      </c>
      <c r="H1955" t="str">
        <f>VLOOKUP(Tabel1[[#This Row],[categorie]],Lijst!A:B,2,FALSE)</f>
        <v>Variabel</v>
      </c>
      <c r="I1955" t="str">
        <f t="shared" si="98"/>
        <v>OK</v>
      </c>
    </row>
    <row r="1956" spans="1:9" hidden="1" x14ac:dyDescent="0.3">
      <c r="A1956" s="2">
        <v>45943</v>
      </c>
      <c r="B1956" t="str">
        <f t="shared" si="96"/>
        <v xml:space="preserve">oktober </v>
      </c>
      <c r="C1956">
        <v>-4</v>
      </c>
      <c r="D1956" t="str" cm="1">
        <f t="array" ref="D1956">IFERROR(
  _xlfn.XLOOKUP(TRUE, ISNUMBER(FIND(Trefwoorden!$A$2:$A$99, E1956)), Trefwoorden!$B$2:$B$99),
  "Onbekend"
)</f>
        <v>voeding</v>
      </c>
      <c r="E1956" t="s">
        <v>766</v>
      </c>
      <c r="F1956" t="str">
        <f>VLOOKUP(Tabel1[[#This Row],[categorie]],Lijst!A:C,3,FALSE)</f>
        <v>Uitgave</v>
      </c>
      <c r="G1956">
        <f t="shared" si="97"/>
        <v>-4</v>
      </c>
      <c r="H1956" t="str">
        <f>VLOOKUP(Tabel1[[#This Row],[categorie]],Lijst!A:B,2,FALSE)</f>
        <v>Vast</v>
      </c>
      <c r="I1956" t="str">
        <f t="shared" si="98"/>
        <v>OK</v>
      </c>
    </row>
    <row r="1957" spans="1:9" hidden="1" x14ac:dyDescent="0.3">
      <c r="A1957" s="2">
        <v>45944</v>
      </c>
      <c r="B1957" t="str">
        <f t="shared" si="96"/>
        <v xml:space="preserve">oktober </v>
      </c>
      <c r="C1957">
        <v>-51.75</v>
      </c>
      <c r="D1957" t="s">
        <v>14</v>
      </c>
      <c r="E1957" t="s">
        <v>900</v>
      </c>
      <c r="F1957" t="str">
        <f>VLOOKUP(Tabel1[[#This Row],[categorie]],Lijst!A:C,3,FALSE)</f>
        <v>Uitgave</v>
      </c>
      <c r="G1957">
        <f t="shared" si="97"/>
        <v>-51.75</v>
      </c>
      <c r="H1957" t="str">
        <f>VLOOKUP(Tabel1[[#This Row],[categorie]],Lijst!A:B,2,FALSE)</f>
        <v>Variabel</v>
      </c>
      <c r="I1957" t="str">
        <f t="shared" si="98"/>
        <v>OK</v>
      </c>
    </row>
    <row r="1958" spans="1:9" hidden="1" x14ac:dyDescent="0.3">
      <c r="A1958" s="2">
        <v>45944</v>
      </c>
      <c r="B1958" t="str">
        <f t="shared" si="96"/>
        <v xml:space="preserve">oktober </v>
      </c>
      <c r="C1958">
        <v>-25.51</v>
      </c>
      <c r="D1958" t="str" cm="1">
        <f t="array" ref="D1958">IFERROR(
  _xlfn.XLOOKUP(TRUE, ISNUMBER(FIND(Trefwoorden!$A$2:$A$99, E1958)), Trefwoorden!$B$2:$B$99),
  "Onbekend"
)</f>
        <v>voeding</v>
      </c>
      <c r="E1958" t="s">
        <v>904</v>
      </c>
      <c r="F1958" t="str">
        <f>VLOOKUP(Tabel1[[#This Row],[categorie]],Lijst!A:C,3,FALSE)</f>
        <v>Uitgave</v>
      </c>
      <c r="G1958">
        <f t="shared" si="97"/>
        <v>-25.51</v>
      </c>
      <c r="H1958" t="str">
        <f>VLOOKUP(Tabel1[[#This Row],[categorie]],Lijst!A:B,2,FALSE)</f>
        <v>Vast</v>
      </c>
      <c r="I1958" t="str">
        <f t="shared" si="98"/>
        <v>OK</v>
      </c>
    </row>
    <row r="1959" spans="1:9" hidden="1" x14ac:dyDescent="0.3">
      <c r="A1959" s="2">
        <v>45944</v>
      </c>
      <c r="B1959" t="str">
        <f t="shared" si="96"/>
        <v xml:space="preserve">oktober </v>
      </c>
      <c r="C1959">
        <v>-3.87</v>
      </c>
      <c r="D1959" t="str" cm="1">
        <f t="array" ref="D1959">IFERROR(
  _xlfn.XLOOKUP(TRUE, ISNUMBER(FIND(Trefwoorden!$A$2:$A$99, E1959)), Trefwoorden!$B$2:$B$99),
  "Onbekend"
)</f>
        <v>Laadbeurt</v>
      </c>
      <c r="E1959" t="s">
        <v>911</v>
      </c>
      <c r="F1959" t="str">
        <f>VLOOKUP(Tabel1[[#This Row],[categorie]],Lijst!A:C,3,FALSE)</f>
        <v>Uitgave</v>
      </c>
      <c r="G1959">
        <f t="shared" si="97"/>
        <v>-3.87</v>
      </c>
      <c r="H1959" t="str">
        <f>VLOOKUP(Tabel1[[#This Row],[categorie]],Lijst!A:B,2,FALSE)</f>
        <v>Vast</v>
      </c>
      <c r="I1959" t="str">
        <f t="shared" si="98"/>
        <v>OK</v>
      </c>
    </row>
    <row r="1960" spans="1:9" hidden="1" x14ac:dyDescent="0.3">
      <c r="A1960" s="2">
        <v>45944</v>
      </c>
      <c r="B1960" t="str">
        <f t="shared" si="96"/>
        <v xml:space="preserve">oktober </v>
      </c>
      <c r="C1960">
        <v>-8.9499999999999993</v>
      </c>
      <c r="D1960" t="str" cm="1">
        <f t="array" ref="D1960">IFERROR(
  _xlfn.XLOOKUP(TRUE, ISNUMBER(FIND(Trefwoorden!$A$2:$A$99, E1960)), Trefwoorden!$B$2:$B$99),
  "Onbekend"
)</f>
        <v>Action</v>
      </c>
      <c r="E1960" t="s">
        <v>912</v>
      </c>
      <c r="F1960" t="str">
        <f>VLOOKUP(Tabel1[[#This Row],[categorie]],Lijst!A:C,3,FALSE)</f>
        <v>Uitgave</v>
      </c>
      <c r="G1960">
        <f t="shared" si="97"/>
        <v>-8.9499999999999993</v>
      </c>
      <c r="H1960" t="str">
        <f>VLOOKUP(Tabel1[[#This Row],[categorie]],Lijst!A:B,2,FALSE)</f>
        <v>Variabel</v>
      </c>
      <c r="I1960" t="str">
        <f t="shared" si="98"/>
        <v>OK</v>
      </c>
    </row>
    <row r="1961" spans="1:9" hidden="1" x14ac:dyDescent="0.3">
      <c r="A1961" s="2">
        <v>45944</v>
      </c>
      <c r="B1961" t="str">
        <f t="shared" si="96"/>
        <v xml:space="preserve">oktober </v>
      </c>
      <c r="C1961">
        <v>-5</v>
      </c>
      <c r="D1961" t="str" cm="1">
        <f t="array" ref="D1961">IFERROR(
  _xlfn.XLOOKUP(TRUE, ISNUMBER(FIND(Trefwoorden!$A$2:$A$99, E1961)), Trefwoorden!$B$2:$B$99),
  "Onbekend"
)</f>
        <v>Laadbeurt</v>
      </c>
      <c r="E1961" t="s">
        <v>911</v>
      </c>
      <c r="F1961" t="str">
        <f>VLOOKUP(Tabel1[[#This Row],[categorie]],Lijst!A:C,3,FALSE)</f>
        <v>Uitgave</v>
      </c>
      <c r="G1961">
        <f t="shared" si="97"/>
        <v>-5</v>
      </c>
      <c r="H1961" t="str">
        <f>VLOOKUP(Tabel1[[#This Row],[categorie]],Lijst!A:B,2,FALSE)</f>
        <v>Vast</v>
      </c>
      <c r="I1961" t="str">
        <f t="shared" si="98"/>
        <v>OK</v>
      </c>
    </row>
    <row r="1962" spans="1:9" hidden="1" x14ac:dyDescent="0.3">
      <c r="A1962" s="2">
        <v>45944</v>
      </c>
      <c r="B1962" t="str">
        <f t="shared" si="96"/>
        <v xml:space="preserve">oktober </v>
      </c>
      <c r="C1962">
        <v>-6.35</v>
      </c>
      <c r="D1962" t="str" cm="1">
        <f t="array" ref="D1962">IFERROR(
  _xlfn.XLOOKUP(TRUE, ISNUMBER(FIND(Trefwoorden!$A$2:$A$99, E1962)), Trefwoorden!$B$2:$B$99),
  "Onbekend"
)</f>
        <v>Parkeren</v>
      </c>
      <c r="E1962" t="s">
        <v>752</v>
      </c>
      <c r="F1962" t="str">
        <f>VLOOKUP(Tabel1[[#This Row],[categorie]],Lijst!A:C,3,FALSE)</f>
        <v>Uitgave</v>
      </c>
      <c r="G1962">
        <f t="shared" si="97"/>
        <v>-6.35</v>
      </c>
      <c r="H1962" t="str">
        <f>VLOOKUP(Tabel1[[#This Row],[categorie]],Lijst!A:B,2,FALSE)</f>
        <v>Variabel</v>
      </c>
      <c r="I1962" t="str">
        <f t="shared" si="98"/>
        <v>OK</v>
      </c>
    </row>
    <row r="1963" spans="1:9" hidden="1" x14ac:dyDescent="0.3">
      <c r="A1963" s="2">
        <v>45944</v>
      </c>
      <c r="B1963" t="str">
        <f t="shared" si="96"/>
        <v xml:space="preserve">oktober </v>
      </c>
      <c r="C1963">
        <v>42.8</v>
      </c>
      <c r="D1963" t="s">
        <v>82</v>
      </c>
      <c r="E1963" t="s">
        <v>753</v>
      </c>
      <c r="F1963" t="s">
        <v>17</v>
      </c>
      <c r="G1963">
        <f t="shared" si="97"/>
        <v>42.8</v>
      </c>
      <c r="H1963" t="str">
        <f>VLOOKUP(Tabel1[[#This Row],[categorie]],Lijst!A:B,2,FALSE)</f>
        <v>Vast</v>
      </c>
      <c r="I1963" t="str">
        <f t="shared" si="98"/>
        <v>OK</v>
      </c>
    </row>
    <row r="1964" spans="1:9" hidden="1" x14ac:dyDescent="0.3">
      <c r="A1964" s="2">
        <v>45944</v>
      </c>
      <c r="B1964" t="str">
        <f t="shared" si="96"/>
        <v xml:space="preserve">oktober </v>
      </c>
      <c r="C1964">
        <v>50</v>
      </c>
      <c r="D1964" t="s">
        <v>32</v>
      </c>
      <c r="E1964" t="s">
        <v>914</v>
      </c>
      <c r="F1964" t="s">
        <v>17</v>
      </c>
      <c r="G1964">
        <f t="shared" si="97"/>
        <v>50</v>
      </c>
      <c r="H1964" t="str">
        <f>VLOOKUP(Tabel1[[#This Row],[categorie]],Lijst!A:B,2,FALSE)</f>
        <v>Variabel</v>
      </c>
      <c r="I1964" t="str">
        <f t="shared" si="98"/>
        <v>OK</v>
      </c>
    </row>
    <row r="1965" spans="1:9" hidden="1" x14ac:dyDescent="0.3">
      <c r="A1965" s="2">
        <v>45944</v>
      </c>
      <c r="B1965" t="str">
        <f t="shared" si="96"/>
        <v xml:space="preserve">oktober </v>
      </c>
      <c r="C1965">
        <v>-1.5</v>
      </c>
      <c r="D1965" t="str" cm="1">
        <f t="array" ref="D1965">IFERROR(
  _xlfn.XLOOKUP(TRUE, ISNUMBER(FIND(Trefwoorden!$A$2:$A$99, E1965)), Trefwoorden!$B$2:$B$99),
  "Onbekend"
)</f>
        <v>automaat De Lijn</v>
      </c>
      <c r="E1965" t="s">
        <v>754</v>
      </c>
      <c r="F1965" t="str">
        <f>VLOOKUP(Tabel1[[#This Row],[categorie]],Lijst!A:C,3,FALSE)</f>
        <v>Uitgave</v>
      </c>
      <c r="G1965">
        <f t="shared" si="97"/>
        <v>-1.5</v>
      </c>
      <c r="H1965" t="str">
        <f>VLOOKUP(Tabel1[[#This Row],[categorie]],Lijst!A:B,2,FALSE)</f>
        <v>Variabel</v>
      </c>
      <c r="I1965" t="str">
        <f t="shared" si="98"/>
        <v>OK</v>
      </c>
    </row>
    <row r="1966" spans="1:9" hidden="1" x14ac:dyDescent="0.3">
      <c r="A1966" s="2">
        <v>45944</v>
      </c>
      <c r="B1966" t="str">
        <f t="shared" si="96"/>
        <v xml:space="preserve">oktober </v>
      </c>
      <c r="C1966">
        <v>-1.5</v>
      </c>
      <c r="D1966" t="str" cm="1">
        <f t="array" ref="D1966">IFERROR(
  _xlfn.XLOOKUP(TRUE, ISNUMBER(FIND(Trefwoorden!$A$2:$A$99, E1966)), Trefwoorden!$B$2:$B$99),
  "Onbekend"
)</f>
        <v>automaat De Lijn</v>
      </c>
      <c r="E1966" t="s">
        <v>755</v>
      </c>
      <c r="F1966" t="str">
        <f>VLOOKUP(Tabel1[[#This Row],[categorie]],Lijst!A:C,3,FALSE)</f>
        <v>Uitgave</v>
      </c>
      <c r="G1966">
        <f t="shared" si="97"/>
        <v>-1.5</v>
      </c>
      <c r="H1966" t="str">
        <f>VLOOKUP(Tabel1[[#This Row],[categorie]],Lijst!A:B,2,FALSE)</f>
        <v>Variabel</v>
      </c>
      <c r="I1966" t="str">
        <f t="shared" si="98"/>
        <v>OK</v>
      </c>
    </row>
    <row r="1967" spans="1:9" hidden="1" x14ac:dyDescent="0.3">
      <c r="A1967" s="2">
        <v>45945</v>
      </c>
      <c r="B1967" t="str">
        <f t="shared" si="96"/>
        <v xml:space="preserve">oktober </v>
      </c>
      <c r="C1967">
        <v>-8.6300000000000008</v>
      </c>
      <c r="D1967" t="str" cm="1">
        <f t="array" ref="D1967">IFERROR(
  _xlfn.XLOOKUP(TRUE, ISNUMBER(FIND(Trefwoorden!$A$2:$A$99, E1967)), Trefwoorden!$B$2:$B$99),
  "Onbekend"
)</f>
        <v>voeding</v>
      </c>
      <c r="E1967" t="s">
        <v>901</v>
      </c>
      <c r="F1967" t="str">
        <f>VLOOKUP(Tabel1[[#This Row],[categorie]],Lijst!A:C,3,FALSE)</f>
        <v>Uitgave</v>
      </c>
      <c r="G1967">
        <f t="shared" si="97"/>
        <v>-8.6300000000000008</v>
      </c>
      <c r="H1967" t="str">
        <f>VLOOKUP(Tabel1[[#This Row],[categorie]],Lijst!A:B,2,FALSE)</f>
        <v>Vast</v>
      </c>
      <c r="I1967" t="str">
        <f t="shared" si="98"/>
        <v>OK</v>
      </c>
    </row>
    <row r="1968" spans="1:9" hidden="1" x14ac:dyDescent="0.3">
      <c r="A1968" s="2">
        <v>45945</v>
      </c>
      <c r="B1968" t="str">
        <f t="shared" si="96"/>
        <v xml:space="preserve">oktober </v>
      </c>
      <c r="C1968">
        <v>-3.81</v>
      </c>
      <c r="D1968" t="str" cm="1">
        <f t="array" ref="D1968">IFERROR(
  _xlfn.XLOOKUP(TRUE, ISNUMBER(FIND(Trefwoorden!$A$2:$A$99, E1968)), Trefwoorden!$B$2:$B$99),
  "Onbekend"
)</f>
        <v>Laadbeurt</v>
      </c>
      <c r="E1968" t="s">
        <v>905</v>
      </c>
      <c r="F1968" t="str">
        <f>VLOOKUP(Tabel1[[#This Row],[categorie]],Lijst!A:C,3,FALSE)</f>
        <v>Uitgave</v>
      </c>
      <c r="G1968">
        <f t="shared" si="97"/>
        <v>-3.81</v>
      </c>
      <c r="H1968" t="str">
        <f>VLOOKUP(Tabel1[[#This Row],[categorie]],Lijst!A:B,2,FALSE)</f>
        <v>Vast</v>
      </c>
      <c r="I1968" t="str">
        <f t="shared" si="98"/>
        <v>OK</v>
      </c>
    </row>
    <row r="1969" spans="1:9" hidden="1" x14ac:dyDescent="0.3">
      <c r="A1969" s="2">
        <v>45945</v>
      </c>
      <c r="B1969" t="str">
        <f t="shared" si="96"/>
        <v xml:space="preserve">oktober </v>
      </c>
      <c r="C1969">
        <v>-1.4</v>
      </c>
      <c r="D1969" t="s">
        <v>3</v>
      </c>
      <c r="E1969" t="s">
        <v>908</v>
      </c>
      <c r="F1969" t="str">
        <f>VLOOKUP(Tabel1[[#This Row],[categorie]],Lijst!A:C,3,FALSE)</f>
        <v>Uitgave</v>
      </c>
      <c r="G1969">
        <f t="shared" si="97"/>
        <v>-1.4</v>
      </c>
      <c r="H1969" t="str">
        <f>VLOOKUP(Tabel1[[#This Row],[categorie]],Lijst!A:B,2,FALSE)</f>
        <v>Vast</v>
      </c>
      <c r="I1969" t="str">
        <f t="shared" si="98"/>
        <v>OK</v>
      </c>
    </row>
    <row r="1970" spans="1:9" hidden="1" x14ac:dyDescent="0.3">
      <c r="A1970" s="2">
        <v>45945</v>
      </c>
      <c r="B1970" t="str">
        <f t="shared" si="96"/>
        <v xml:space="preserve">oktober </v>
      </c>
      <c r="C1970">
        <v>-2.2999999999999998</v>
      </c>
      <c r="D1970" t="s">
        <v>3</v>
      </c>
      <c r="E1970" t="s">
        <v>909</v>
      </c>
      <c r="F1970" t="str">
        <f>VLOOKUP(Tabel1[[#This Row],[categorie]],Lijst!A:C,3,FALSE)</f>
        <v>Uitgave</v>
      </c>
      <c r="G1970">
        <f t="shared" si="97"/>
        <v>-2.2999999999999998</v>
      </c>
      <c r="H1970" t="str">
        <f>VLOOKUP(Tabel1[[#This Row],[categorie]],Lijst!A:B,2,FALSE)</f>
        <v>Vast</v>
      </c>
      <c r="I1970" t="str">
        <f t="shared" si="98"/>
        <v>OK</v>
      </c>
    </row>
    <row r="1971" spans="1:9" hidden="1" x14ac:dyDescent="0.3">
      <c r="A1971" s="2">
        <v>45945</v>
      </c>
      <c r="B1971" t="str">
        <f t="shared" si="96"/>
        <v xml:space="preserve">oktober </v>
      </c>
      <c r="C1971">
        <v>-7.2</v>
      </c>
      <c r="D1971" t="s">
        <v>3</v>
      </c>
      <c r="E1971" t="s">
        <v>910</v>
      </c>
      <c r="F1971" t="str">
        <f>VLOOKUP(Tabel1[[#This Row],[categorie]],Lijst!A:C,3,FALSE)</f>
        <v>Uitgave</v>
      </c>
      <c r="G1971">
        <f t="shared" si="97"/>
        <v>-7.2</v>
      </c>
      <c r="H1971" t="str">
        <f>VLOOKUP(Tabel1[[#This Row],[categorie]],Lijst!A:B,2,FALSE)</f>
        <v>Vast</v>
      </c>
      <c r="I1971" t="str">
        <f t="shared" si="98"/>
        <v>OK</v>
      </c>
    </row>
    <row r="1972" spans="1:9" hidden="1" x14ac:dyDescent="0.3">
      <c r="A1972" s="2">
        <v>45945</v>
      </c>
      <c r="B1972" t="str">
        <f t="shared" si="96"/>
        <v xml:space="preserve">oktober </v>
      </c>
      <c r="C1972">
        <v>-5</v>
      </c>
      <c r="D1972" t="s">
        <v>30</v>
      </c>
      <c r="E1972" t="s">
        <v>913</v>
      </c>
      <c r="F1972" t="str">
        <f>VLOOKUP(Tabel1[[#This Row],[categorie]],Lijst!A:C,3,FALSE)</f>
        <v>Uitgave</v>
      </c>
      <c r="G1972">
        <f t="shared" si="97"/>
        <v>-5</v>
      </c>
      <c r="H1972" t="str">
        <f>VLOOKUP(Tabel1[[#This Row],[categorie]],Lijst!A:B,2,FALSE)</f>
        <v>Vast</v>
      </c>
      <c r="I1972" t="str">
        <f t="shared" si="98"/>
        <v>OK</v>
      </c>
    </row>
    <row r="1973" spans="1:9" hidden="1" x14ac:dyDescent="0.3">
      <c r="A1973" s="2">
        <v>45946</v>
      </c>
      <c r="B1973" t="str">
        <f t="shared" si="96"/>
        <v xml:space="preserve">oktober </v>
      </c>
      <c r="C1973">
        <v>-3</v>
      </c>
      <c r="D1973" t="str" cm="1">
        <f t="array" ref="D1973">IFERROR(
  _xlfn.XLOOKUP(TRUE, ISNUMBER(FIND(Trefwoorden!$A$2:$A$99, E1973)), Trefwoorden!$B$2:$B$99),
  "Onbekend"
)</f>
        <v>voeding</v>
      </c>
      <c r="E1973" t="s">
        <v>894</v>
      </c>
      <c r="F1973" t="str">
        <f>VLOOKUP(Tabel1[[#This Row],[categorie]],Lijst!A:C,3,FALSE)</f>
        <v>Uitgave</v>
      </c>
      <c r="G1973">
        <f t="shared" si="97"/>
        <v>-3</v>
      </c>
      <c r="H1973" t="str">
        <f>VLOOKUP(Tabel1[[#This Row],[categorie]],Lijst!A:B,2,FALSE)</f>
        <v>Vast</v>
      </c>
      <c r="I1973" t="str">
        <f t="shared" si="98"/>
        <v>OK</v>
      </c>
    </row>
    <row r="1974" spans="1:9" hidden="1" x14ac:dyDescent="0.3">
      <c r="A1974" s="2">
        <v>45946</v>
      </c>
      <c r="B1974" t="str">
        <f t="shared" si="96"/>
        <v xml:space="preserve">oktober </v>
      </c>
      <c r="C1974">
        <v>-15.38</v>
      </c>
      <c r="D1974" t="str" cm="1">
        <f t="array" ref="D1974">IFERROR(
  _xlfn.XLOOKUP(TRUE, ISNUMBER(FIND(Trefwoorden!$A$2:$A$99, E1974)), Trefwoorden!$B$2:$B$99),
  "Onbekend"
)</f>
        <v>Louis/Vis</v>
      </c>
      <c r="E1974" t="s">
        <v>895</v>
      </c>
      <c r="F1974" t="str">
        <f>VLOOKUP(Tabel1[[#This Row],[categorie]],Lijst!A:C,3,FALSE)</f>
        <v>Uitgave</v>
      </c>
      <c r="G1974">
        <f t="shared" si="97"/>
        <v>-15.38</v>
      </c>
      <c r="H1974" t="str">
        <f>VLOOKUP(Tabel1[[#This Row],[categorie]],Lijst!A:B,2,FALSE)</f>
        <v>Variabel</v>
      </c>
      <c r="I1974" t="str">
        <f t="shared" si="98"/>
        <v>OK</v>
      </c>
    </row>
    <row r="1975" spans="1:9" hidden="1" x14ac:dyDescent="0.3">
      <c r="A1975" s="2">
        <v>45946</v>
      </c>
      <c r="B1975" t="str">
        <f t="shared" si="96"/>
        <v xml:space="preserve">oktober </v>
      </c>
      <c r="C1975">
        <v>-13.21</v>
      </c>
      <c r="D1975" t="str" cm="1">
        <f t="array" ref="D1975">IFERROR(
  _xlfn.XLOOKUP(TRUE, ISNUMBER(FIND(Trefwoorden!$A$2:$A$99, E1975)), Trefwoorden!$B$2:$B$99),
  "Onbekend"
)</f>
        <v>voeding</v>
      </c>
      <c r="E1975" t="s">
        <v>896</v>
      </c>
      <c r="F1975" t="str">
        <f>VLOOKUP(Tabel1[[#This Row],[categorie]],Lijst!A:C,3,FALSE)</f>
        <v>Uitgave</v>
      </c>
      <c r="G1975">
        <f t="shared" si="97"/>
        <v>-13.21</v>
      </c>
      <c r="H1975" t="str">
        <f>VLOOKUP(Tabel1[[#This Row],[categorie]],Lijst!A:B,2,FALSE)</f>
        <v>Vast</v>
      </c>
      <c r="I1975" t="str">
        <f t="shared" si="98"/>
        <v>OK</v>
      </c>
    </row>
    <row r="1976" spans="1:9" hidden="1" x14ac:dyDescent="0.3">
      <c r="A1976" s="2">
        <v>45946</v>
      </c>
      <c r="B1976" t="str">
        <f t="shared" si="96"/>
        <v xml:space="preserve">oktober </v>
      </c>
      <c r="C1976">
        <v>-1.5</v>
      </c>
      <c r="D1976" t="str" cm="1">
        <f t="array" ref="D1976">IFERROR(
  _xlfn.XLOOKUP(TRUE, ISNUMBER(FIND(Trefwoorden!$A$2:$A$99, E1976)), Trefwoorden!$B$2:$B$99),
  "Onbekend"
)</f>
        <v>automaat De Lijn</v>
      </c>
      <c r="E1976" t="s">
        <v>902</v>
      </c>
      <c r="F1976" t="str">
        <f>VLOOKUP(Tabel1[[#This Row],[categorie]],Lijst!A:C,3,FALSE)</f>
        <v>Uitgave</v>
      </c>
      <c r="G1976">
        <f t="shared" si="97"/>
        <v>-1.5</v>
      </c>
      <c r="H1976" t="str">
        <f>VLOOKUP(Tabel1[[#This Row],[categorie]],Lijst!A:B,2,FALSE)</f>
        <v>Variabel</v>
      </c>
      <c r="I1976" t="str">
        <f t="shared" si="98"/>
        <v>OK</v>
      </c>
    </row>
    <row r="1977" spans="1:9" hidden="1" x14ac:dyDescent="0.3">
      <c r="A1977" s="2">
        <v>45946</v>
      </c>
      <c r="B1977" t="str">
        <f t="shared" si="96"/>
        <v xml:space="preserve">oktober </v>
      </c>
      <c r="C1977">
        <v>-1.5</v>
      </c>
      <c r="D1977" t="str" cm="1">
        <f t="array" ref="D1977">IFERROR(
  _xlfn.XLOOKUP(TRUE, ISNUMBER(FIND(Trefwoorden!$A$2:$A$99, E1977)), Trefwoorden!$B$2:$B$99),
  "Onbekend"
)</f>
        <v>automaat De Lijn</v>
      </c>
      <c r="E1977" t="s">
        <v>903</v>
      </c>
      <c r="F1977" t="str">
        <f>VLOOKUP(Tabel1[[#This Row],[categorie]],Lijst!A:C,3,FALSE)</f>
        <v>Uitgave</v>
      </c>
      <c r="G1977">
        <f t="shared" si="97"/>
        <v>-1.5</v>
      </c>
      <c r="H1977" t="str">
        <f>VLOOKUP(Tabel1[[#This Row],[categorie]],Lijst!A:B,2,FALSE)</f>
        <v>Variabel</v>
      </c>
      <c r="I1977" t="str">
        <f t="shared" si="98"/>
        <v>OK</v>
      </c>
    </row>
    <row r="1978" spans="1:9" hidden="1" x14ac:dyDescent="0.3">
      <c r="A1978" s="2">
        <v>45946</v>
      </c>
      <c r="B1978" t="str">
        <f t="shared" si="96"/>
        <v xml:space="preserve">oktober </v>
      </c>
      <c r="C1978">
        <v>-81.66</v>
      </c>
      <c r="D1978" t="str" cm="1">
        <f t="array" ref="D1978">IFERROR(
  _xlfn.XLOOKUP(TRUE, ISNUMBER(FIND(Trefwoorden!$A$2:$A$99, E1978)), Trefwoorden!$B$2:$B$99),
  "Onbekend"
)</f>
        <v>pensioensparen</v>
      </c>
      <c r="E1978" t="s">
        <v>906</v>
      </c>
      <c r="F1978" t="str">
        <f>VLOOKUP(Tabel1[[#This Row],[categorie]],Lijst!A:C,3,FALSE)</f>
        <v>Uitgave</v>
      </c>
      <c r="G1978">
        <f t="shared" si="97"/>
        <v>-81.66</v>
      </c>
      <c r="H1978" t="str">
        <f>VLOOKUP(Tabel1[[#This Row],[categorie]],Lijst!A:B,2,FALSE)</f>
        <v>Vast</v>
      </c>
      <c r="I1978" t="str">
        <f t="shared" si="98"/>
        <v>OK</v>
      </c>
    </row>
    <row r="1979" spans="1:9" hidden="1" x14ac:dyDescent="0.3">
      <c r="A1979" s="2">
        <v>45946</v>
      </c>
      <c r="B1979" t="str">
        <f t="shared" si="96"/>
        <v xml:space="preserve">oktober </v>
      </c>
      <c r="C1979">
        <v>-90</v>
      </c>
      <c r="D1979" t="str" cm="1">
        <f t="array" ref="D1979">IFERROR(
  _xlfn.XLOOKUP(TRUE, ISNUMBER(FIND(Trefwoorden!$A$2:$A$99, E1979)), Trefwoorden!$B$2:$B$99),
  "Onbekend"
)</f>
        <v>pensioensparen</v>
      </c>
      <c r="E1979" t="s">
        <v>907</v>
      </c>
      <c r="F1979" t="str">
        <f>VLOOKUP(Tabel1[[#This Row],[categorie]],Lijst!A:C,3,FALSE)</f>
        <v>Uitgave</v>
      </c>
      <c r="G1979">
        <f t="shared" si="97"/>
        <v>-90</v>
      </c>
      <c r="H1979" t="str">
        <f>VLOOKUP(Tabel1[[#This Row],[categorie]],Lijst!A:B,2,FALSE)</f>
        <v>Vast</v>
      </c>
      <c r="I1979" t="str">
        <f t="shared" si="98"/>
        <v>OK</v>
      </c>
    </row>
    <row r="1980" spans="1:9" hidden="1" x14ac:dyDescent="0.3">
      <c r="A1980" s="2">
        <v>45947</v>
      </c>
      <c r="B1980" t="str">
        <f t="shared" si="96"/>
        <v xml:space="preserve">oktober </v>
      </c>
      <c r="C1980">
        <v>-2.8</v>
      </c>
      <c r="D1980" t="s">
        <v>3</v>
      </c>
      <c r="E1980" t="s">
        <v>897</v>
      </c>
      <c r="F1980" t="str">
        <f>VLOOKUP(Tabel1[[#This Row],[categorie]],Lijst!A:C,3,FALSE)</f>
        <v>Uitgave</v>
      </c>
      <c r="G1980">
        <f t="shared" si="97"/>
        <v>-2.8</v>
      </c>
      <c r="H1980" t="str">
        <f>VLOOKUP(Tabel1[[#This Row],[categorie]],Lijst!A:B,2,FALSE)</f>
        <v>Vast</v>
      </c>
      <c r="I1980" t="str">
        <f t="shared" si="98"/>
        <v>OK</v>
      </c>
    </row>
    <row r="1981" spans="1:9" hidden="1" x14ac:dyDescent="0.3">
      <c r="A1981" s="2">
        <v>45947</v>
      </c>
      <c r="B1981" t="str">
        <f t="shared" si="96"/>
        <v xml:space="preserve">oktober </v>
      </c>
      <c r="C1981">
        <v>-7.39</v>
      </c>
      <c r="D1981" t="str" cm="1">
        <f t="array" ref="D1981">IFERROR(
  _xlfn.XLOOKUP(TRUE, ISNUMBER(FIND(Trefwoorden!$A$2:$A$99, E1981)), Trefwoorden!$B$2:$B$99),
  "Onbekend"
)</f>
        <v>voeding</v>
      </c>
      <c r="E1981" t="s">
        <v>898</v>
      </c>
      <c r="F1981" t="str">
        <f>VLOOKUP(Tabel1[[#This Row],[categorie]],Lijst!A:C,3,FALSE)</f>
        <v>Uitgave</v>
      </c>
      <c r="G1981">
        <f t="shared" si="97"/>
        <v>-7.39</v>
      </c>
      <c r="H1981" t="str">
        <f>VLOOKUP(Tabel1[[#This Row],[categorie]],Lijst!A:B,2,FALSE)</f>
        <v>Vast</v>
      </c>
      <c r="I1981" t="str">
        <f t="shared" si="98"/>
        <v>OK</v>
      </c>
    </row>
    <row r="1982" spans="1:9" hidden="1" x14ac:dyDescent="0.3">
      <c r="A1982" s="2">
        <v>45947</v>
      </c>
      <c r="B1982" t="str">
        <f t="shared" si="96"/>
        <v xml:space="preserve">oktober </v>
      </c>
      <c r="C1982">
        <v>900</v>
      </c>
      <c r="D1982" t="s">
        <v>69</v>
      </c>
      <c r="E1982" t="s">
        <v>899</v>
      </c>
      <c r="F1982" t="s">
        <v>17</v>
      </c>
      <c r="G1982">
        <f t="shared" si="97"/>
        <v>900</v>
      </c>
      <c r="H1982" t="str">
        <f>VLOOKUP(Tabel1[[#This Row],[categorie]],Lijst!A:B,2,FALSE)</f>
        <v>Variabel</v>
      </c>
      <c r="I1982" t="str">
        <f t="shared" si="98"/>
        <v>OK</v>
      </c>
    </row>
    <row r="1983" spans="1:9" hidden="1" x14ac:dyDescent="0.3">
      <c r="A1983" s="2">
        <v>45948</v>
      </c>
      <c r="B1983" t="str">
        <f t="shared" si="96"/>
        <v xml:space="preserve">oktober </v>
      </c>
      <c r="C1983">
        <v>-19.98</v>
      </c>
      <c r="D1983" t="s">
        <v>32</v>
      </c>
      <c r="E1983" t="s">
        <v>861</v>
      </c>
      <c r="F1983" t="str">
        <f>VLOOKUP(Tabel1[[#This Row],[categorie]],Lijst!A:C,3,FALSE)</f>
        <v>Uitgave</v>
      </c>
      <c r="G1983">
        <f t="shared" si="97"/>
        <v>-19.98</v>
      </c>
      <c r="H1983" t="str">
        <f>VLOOKUP(Tabel1[[#This Row],[categorie]],Lijst!A:B,2,FALSE)</f>
        <v>Variabel</v>
      </c>
      <c r="I1983" t="str">
        <f t="shared" si="98"/>
        <v>OK</v>
      </c>
    </row>
    <row r="1984" spans="1:9" hidden="1" x14ac:dyDescent="0.3">
      <c r="A1984" s="2">
        <v>45948</v>
      </c>
      <c r="B1984" t="str">
        <f t="shared" si="96"/>
        <v xml:space="preserve">oktober </v>
      </c>
      <c r="C1984">
        <v>-7.51</v>
      </c>
      <c r="D1984" t="str" cm="1">
        <f t="array" ref="D1984">IFERROR(
  _xlfn.XLOOKUP(TRUE, ISNUMBER(FIND(Trefwoorden!$A$2:$A$99, E1984)), Trefwoorden!$B$2:$B$99),
  "Onbekend"
)</f>
        <v>voeding</v>
      </c>
      <c r="E1984" t="s">
        <v>885</v>
      </c>
      <c r="F1984" t="str">
        <f>VLOOKUP(Tabel1[[#This Row],[categorie]],Lijst!A:C,3,FALSE)</f>
        <v>Uitgave</v>
      </c>
      <c r="G1984">
        <f t="shared" si="97"/>
        <v>-7.51</v>
      </c>
      <c r="H1984" t="str">
        <f>VLOOKUP(Tabel1[[#This Row],[categorie]],Lijst!A:B,2,FALSE)</f>
        <v>Vast</v>
      </c>
      <c r="I1984" t="str">
        <f t="shared" si="98"/>
        <v>OK</v>
      </c>
    </row>
    <row r="1985" spans="1:9" hidden="1" x14ac:dyDescent="0.3">
      <c r="A1985" s="2">
        <v>45948</v>
      </c>
      <c r="B1985" t="str">
        <f t="shared" si="96"/>
        <v xml:space="preserve">oktober </v>
      </c>
      <c r="C1985">
        <v>-3.38</v>
      </c>
      <c r="D1985" t="str" cm="1">
        <f t="array" ref="D1985">IFERROR(
  _xlfn.XLOOKUP(TRUE, ISNUMBER(FIND(Trefwoorden!$A$2:$A$99, E1985)), Trefwoorden!$B$2:$B$99),
  "Onbekend"
)</f>
        <v>Laadbeurt</v>
      </c>
      <c r="E1985" t="s">
        <v>886</v>
      </c>
      <c r="F1985" t="str">
        <f>VLOOKUP(Tabel1[[#This Row],[categorie]],Lijst!A:C,3,FALSE)</f>
        <v>Uitgave</v>
      </c>
      <c r="G1985">
        <f t="shared" si="97"/>
        <v>-3.38</v>
      </c>
      <c r="H1985" t="str">
        <f>VLOOKUP(Tabel1[[#This Row],[categorie]],Lijst!A:B,2,FALSE)</f>
        <v>Vast</v>
      </c>
      <c r="I1985" t="str">
        <f t="shared" si="98"/>
        <v>OK</v>
      </c>
    </row>
    <row r="1986" spans="1:9" hidden="1" x14ac:dyDescent="0.3">
      <c r="A1986" s="2">
        <v>45948</v>
      </c>
      <c r="B1986" t="str">
        <f t="shared" si="96"/>
        <v xml:space="preserve">oktober </v>
      </c>
      <c r="C1986">
        <v>-9.5299999999999994</v>
      </c>
      <c r="D1986" t="str" cm="1">
        <f t="array" ref="D1986">IFERROR(
  _xlfn.XLOOKUP(TRUE, ISNUMBER(FIND(Trefwoorden!$A$2:$A$99, E1986)), Trefwoorden!$B$2:$B$99),
  "Onbekend"
)</f>
        <v>Laadbeurt</v>
      </c>
      <c r="E1986" t="s">
        <v>887</v>
      </c>
      <c r="F1986" t="str">
        <f>VLOOKUP(Tabel1[[#This Row],[categorie]],Lijst!A:C,3,FALSE)</f>
        <v>Uitgave</v>
      </c>
      <c r="G1986">
        <f t="shared" si="97"/>
        <v>-9.5299999999999994</v>
      </c>
      <c r="H1986" t="str">
        <f>VLOOKUP(Tabel1[[#This Row],[categorie]],Lijst!A:B,2,FALSE)</f>
        <v>Vast</v>
      </c>
      <c r="I1986" t="str">
        <f t="shared" si="98"/>
        <v>OK</v>
      </c>
    </row>
    <row r="1987" spans="1:9" hidden="1" x14ac:dyDescent="0.3">
      <c r="A1987" s="2">
        <v>45948</v>
      </c>
      <c r="B1987" t="str">
        <f t="shared" si="96"/>
        <v xml:space="preserve">oktober </v>
      </c>
      <c r="C1987">
        <v>45</v>
      </c>
      <c r="D1987" t="str" cm="1">
        <f t="array" ref="D1987">IFERROR(
  _xlfn.XLOOKUP(TRUE, ISNUMBER(FIND(Trefwoorden!$A$2:$A$99, E1987)), Trefwoorden!$B$2:$B$99),
  "Onbekend"
)</f>
        <v>Ouders Bram</v>
      </c>
      <c r="E1987" t="s">
        <v>888</v>
      </c>
      <c r="F1987" t="s">
        <v>17</v>
      </c>
      <c r="G1987">
        <f t="shared" si="97"/>
        <v>45</v>
      </c>
      <c r="H1987" t="str">
        <f>VLOOKUP(Tabel1[[#This Row],[categorie]],Lijst!A:B,2,FALSE)</f>
        <v>Variabel</v>
      </c>
      <c r="I1987" t="str">
        <f t="shared" si="98"/>
        <v>OK</v>
      </c>
    </row>
    <row r="1988" spans="1:9" hidden="1" x14ac:dyDescent="0.3">
      <c r="A1988" s="2">
        <v>45948</v>
      </c>
      <c r="B1988" t="str">
        <f t="shared" si="96"/>
        <v xml:space="preserve">oktober </v>
      </c>
      <c r="C1988">
        <v>-90</v>
      </c>
      <c r="D1988" t="s">
        <v>32</v>
      </c>
      <c r="E1988" t="s">
        <v>889</v>
      </c>
      <c r="F1988" t="str">
        <f>VLOOKUP(Tabel1[[#This Row],[categorie]],Lijst!A:C,3,FALSE)</f>
        <v>Uitgave</v>
      </c>
      <c r="G1988">
        <f t="shared" si="97"/>
        <v>-90</v>
      </c>
      <c r="H1988" t="str">
        <f>VLOOKUP(Tabel1[[#This Row],[categorie]],Lijst!A:B,2,FALSE)</f>
        <v>Variabel</v>
      </c>
      <c r="I1988" t="str">
        <f t="shared" si="98"/>
        <v>OK</v>
      </c>
    </row>
    <row r="1989" spans="1:9" hidden="1" x14ac:dyDescent="0.3">
      <c r="A1989" s="2">
        <v>45948</v>
      </c>
      <c r="B1989" t="str">
        <f t="shared" si="96"/>
        <v xml:space="preserve">oktober </v>
      </c>
      <c r="C1989">
        <v>-8.9499999999999993</v>
      </c>
      <c r="D1989" t="s">
        <v>3</v>
      </c>
      <c r="E1989" t="s">
        <v>890</v>
      </c>
      <c r="F1989" t="str">
        <f>VLOOKUP(Tabel1[[#This Row],[categorie]],Lijst!A:C,3,FALSE)</f>
        <v>Uitgave</v>
      </c>
      <c r="G1989">
        <f t="shared" si="97"/>
        <v>-8.9499999999999993</v>
      </c>
      <c r="H1989" t="str">
        <f>VLOOKUP(Tabel1[[#This Row],[categorie]],Lijst!A:B,2,FALSE)</f>
        <v>Vast</v>
      </c>
      <c r="I1989" t="str">
        <f t="shared" si="98"/>
        <v>OK</v>
      </c>
    </row>
    <row r="1990" spans="1:9" hidden="1" x14ac:dyDescent="0.3">
      <c r="A1990" s="2">
        <v>45948</v>
      </c>
      <c r="B1990" t="str">
        <f t="shared" si="96"/>
        <v xml:space="preserve">oktober </v>
      </c>
      <c r="C1990">
        <v>-24.99</v>
      </c>
      <c r="D1990" t="str" cm="1">
        <f t="array" ref="D1990">IFERROR(
  _xlfn.XLOOKUP(TRUE, ISNUMBER(FIND(Trefwoorden!$A$2:$A$99, E1990)), Trefwoorden!$B$2:$B$99),
  "Onbekend"
)</f>
        <v>Bol</v>
      </c>
      <c r="E1990" t="s">
        <v>891</v>
      </c>
      <c r="F1990" t="str">
        <f>VLOOKUP(Tabel1[[#This Row],[categorie]],Lijst!A:C,3,FALSE)</f>
        <v>Uitgave</v>
      </c>
      <c r="G1990">
        <f t="shared" si="97"/>
        <v>-24.99</v>
      </c>
      <c r="H1990" t="str">
        <f>VLOOKUP(Tabel1[[#This Row],[categorie]],Lijst!A:B,2,FALSE)</f>
        <v>Variabel</v>
      </c>
      <c r="I1990" t="str">
        <f t="shared" si="98"/>
        <v>OK</v>
      </c>
    </row>
    <row r="1991" spans="1:9" hidden="1" x14ac:dyDescent="0.3">
      <c r="A1991" s="2">
        <v>45948</v>
      </c>
      <c r="B1991" t="str">
        <f t="shared" si="96"/>
        <v xml:space="preserve">oktober </v>
      </c>
      <c r="C1991">
        <v>-10.5</v>
      </c>
      <c r="D1991" t="s">
        <v>75</v>
      </c>
      <c r="E1991" t="s">
        <v>892</v>
      </c>
      <c r="F1991" t="s">
        <v>18</v>
      </c>
      <c r="G1991">
        <f t="shared" si="97"/>
        <v>-10.5</v>
      </c>
      <c r="H1991" t="str">
        <f>VLOOKUP(Tabel1[[#This Row],[categorie]],Lijst!A:B,2,FALSE)</f>
        <v>Variabel</v>
      </c>
      <c r="I1991" t="str">
        <f t="shared" si="98"/>
        <v>OK</v>
      </c>
    </row>
    <row r="1992" spans="1:9" hidden="1" x14ac:dyDescent="0.3">
      <c r="A1992" s="2">
        <v>45948</v>
      </c>
      <c r="B1992" t="str">
        <f t="shared" si="96"/>
        <v xml:space="preserve">oktober </v>
      </c>
      <c r="C1992">
        <v>-49.99</v>
      </c>
      <c r="D1992" t="s">
        <v>75</v>
      </c>
      <c r="E1992" t="s">
        <v>893</v>
      </c>
      <c r="F1992" t="s">
        <v>18</v>
      </c>
      <c r="G1992">
        <f t="shared" si="97"/>
        <v>-49.99</v>
      </c>
      <c r="H1992" t="str">
        <f>VLOOKUP(Tabel1[[#This Row],[categorie]],Lijst!A:B,2,FALSE)</f>
        <v>Variabel</v>
      </c>
      <c r="I1992" t="str">
        <f t="shared" si="98"/>
        <v>OK</v>
      </c>
    </row>
    <row r="1993" spans="1:9" hidden="1" x14ac:dyDescent="0.3">
      <c r="A1993" s="2">
        <v>45949</v>
      </c>
      <c r="B1993" t="str">
        <f t="shared" si="96"/>
        <v xml:space="preserve">oktober </v>
      </c>
      <c r="C1993">
        <v>-2</v>
      </c>
      <c r="D1993" t="str" cm="1">
        <f t="array" ref="D1993">IFERROR(
  _xlfn.XLOOKUP(TRUE, ISNUMBER(FIND(Trefwoorden!$A$2:$A$99, E1993)), Trefwoorden!$B$2:$B$99),
  "Onbekend"
)</f>
        <v>voeding</v>
      </c>
      <c r="E1993" t="s">
        <v>877</v>
      </c>
      <c r="F1993" t="str">
        <f>VLOOKUP(Tabel1[[#This Row],[categorie]],Lijst!A:C,3,FALSE)</f>
        <v>Uitgave</v>
      </c>
      <c r="G1993">
        <f t="shared" si="97"/>
        <v>-2</v>
      </c>
      <c r="H1993" t="str">
        <f>VLOOKUP(Tabel1[[#This Row],[categorie]],Lijst!A:B,2,FALSE)</f>
        <v>Vast</v>
      </c>
      <c r="I1993" t="str">
        <f t="shared" si="98"/>
        <v>OK</v>
      </c>
    </row>
    <row r="1994" spans="1:9" hidden="1" x14ac:dyDescent="0.3">
      <c r="A1994" s="2">
        <v>45949</v>
      </c>
      <c r="B1994" t="str">
        <f t="shared" si="96"/>
        <v xml:space="preserve">oktober </v>
      </c>
      <c r="C1994">
        <v>-85</v>
      </c>
      <c r="D1994" t="str" cm="1">
        <f t="array" ref="D1994">IFERROR(
  _xlfn.XLOOKUP(TRUE, ISNUMBER(FIND(Trefwoorden!$A$2:$A$99, E1994)), Trefwoorden!$B$2:$B$99),
  "Onbekend"
)</f>
        <v>Coolblue</v>
      </c>
      <c r="E1994" t="s">
        <v>884</v>
      </c>
      <c r="F1994" t="str">
        <f>VLOOKUP(Tabel1[[#This Row],[categorie]],Lijst!A:C,3,FALSE)</f>
        <v>Uitgave</v>
      </c>
      <c r="G1994">
        <f t="shared" si="97"/>
        <v>-85</v>
      </c>
      <c r="H1994" t="str">
        <f>VLOOKUP(Tabel1[[#This Row],[categorie]],Lijst!A:B,2,FALSE)</f>
        <v>Variabel</v>
      </c>
      <c r="I1994" t="str">
        <f t="shared" si="98"/>
        <v>OK</v>
      </c>
    </row>
    <row r="1995" spans="1:9" hidden="1" x14ac:dyDescent="0.3">
      <c r="A1995" s="2">
        <v>45950</v>
      </c>
      <c r="B1995" t="str">
        <f t="shared" si="96"/>
        <v xml:space="preserve">oktober </v>
      </c>
      <c r="C1995">
        <v>-10.3</v>
      </c>
      <c r="D1995" t="str" cm="1">
        <f t="array" ref="D1995">IFERROR(
  _xlfn.XLOOKUP(TRUE, ISNUMBER(FIND(Trefwoorden!$A$2:$A$99, E1995)), Trefwoorden!$B$2:$B$99),
  "Onbekend"
)</f>
        <v>voeding</v>
      </c>
      <c r="E1995" t="s">
        <v>867</v>
      </c>
      <c r="F1995" t="str">
        <f>VLOOKUP(Tabel1[[#This Row],[categorie]],Lijst!A:C,3,FALSE)</f>
        <v>Uitgave</v>
      </c>
      <c r="G1995">
        <f t="shared" si="97"/>
        <v>-10.3</v>
      </c>
      <c r="H1995" t="str">
        <f>VLOOKUP(Tabel1[[#This Row],[categorie]],Lijst!A:B,2,FALSE)</f>
        <v>Vast</v>
      </c>
      <c r="I1995" t="str">
        <f t="shared" si="98"/>
        <v>OK</v>
      </c>
    </row>
    <row r="1996" spans="1:9" hidden="1" x14ac:dyDescent="0.3">
      <c r="A1996" s="2">
        <v>45950</v>
      </c>
      <c r="B1996" t="str">
        <f t="shared" si="96"/>
        <v xml:space="preserve">oktober </v>
      </c>
      <c r="C1996">
        <v>-16.579999999999998</v>
      </c>
      <c r="D1996" t="str" cm="1">
        <f t="array" ref="D1996">IFERROR(
  _xlfn.XLOOKUP(TRUE, ISNUMBER(FIND(Trefwoorden!$A$2:$A$99, E1996)), Trefwoorden!$B$2:$B$99),
  "Onbekend"
)</f>
        <v>Ikea</v>
      </c>
      <c r="E1996" t="s">
        <v>868</v>
      </c>
      <c r="F1996" t="str">
        <f>VLOOKUP(Tabel1[[#This Row],[categorie]],Lijst!A:C,3,FALSE)</f>
        <v>Uitgave</v>
      </c>
      <c r="G1996">
        <f t="shared" si="97"/>
        <v>-16.579999999999998</v>
      </c>
      <c r="H1996" t="str">
        <f>VLOOKUP(Tabel1[[#This Row],[categorie]],Lijst!A:B,2,FALSE)</f>
        <v>Variabel</v>
      </c>
      <c r="I1996" t="str">
        <f t="shared" si="98"/>
        <v>OK</v>
      </c>
    </row>
    <row r="1997" spans="1:9" hidden="1" x14ac:dyDescent="0.3">
      <c r="A1997" s="2">
        <v>45950</v>
      </c>
      <c r="B1997" t="str">
        <f t="shared" si="96"/>
        <v xml:space="preserve">oktober </v>
      </c>
      <c r="C1997">
        <v>-2</v>
      </c>
      <c r="D1997" t="s">
        <v>22</v>
      </c>
      <c r="E1997" t="s">
        <v>870</v>
      </c>
      <c r="F1997" t="str">
        <f>VLOOKUP(Tabel1[[#This Row],[categorie]],Lijst!A:C,3,FALSE)</f>
        <v>Uitgave</v>
      </c>
      <c r="G1997">
        <f t="shared" si="97"/>
        <v>-2</v>
      </c>
      <c r="H1997" t="str">
        <f>VLOOKUP(Tabel1[[#This Row],[categorie]],Lijst!A:B,2,FALSE)</f>
        <v>Variabel</v>
      </c>
      <c r="I1997" t="str">
        <f t="shared" si="98"/>
        <v>OK</v>
      </c>
    </row>
    <row r="1998" spans="1:9" hidden="1" x14ac:dyDescent="0.3">
      <c r="A1998" s="2">
        <v>45950</v>
      </c>
      <c r="B1998" t="str">
        <f t="shared" si="96"/>
        <v xml:space="preserve">oktober </v>
      </c>
      <c r="C1998">
        <v>-39.19</v>
      </c>
      <c r="D1998" t="str" cm="1">
        <f t="array" ref="D1998">IFERROR(
  _xlfn.XLOOKUP(TRUE, ISNUMBER(FIND(Trefwoorden!$A$2:$A$99, E1998)), Trefwoorden!$B$2:$B$99),
  "Onbekend"
)</f>
        <v>kledij</v>
      </c>
      <c r="E1998" t="s">
        <v>871</v>
      </c>
      <c r="F1998" t="str">
        <f>VLOOKUP(Tabel1[[#This Row],[categorie]],Lijst!A:C,3,FALSE)</f>
        <v>Uitgave</v>
      </c>
      <c r="G1998">
        <f t="shared" si="97"/>
        <v>-39.19</v>
      </c>
      <c r="H1998" t="str">
        <f>VLOOKUP(Tabel1[[#This Row],[categorie]],Lijst!A:B,2,FALSE)</f>
        <v>Variabel</v>
      </c>
      <c r="I1998" t="str">
        <f t="shared" si="98"/>
        <v>OK</v>
      </c>
    </row>
    <row r="1999" spans="1:9" hidden="1" x14ac:dyDescent="0.3">
      <c r="A1999" s="2">
        <v>45950</v>
      </c>
      <c r="B1999" t="str">
        <f t="shared" ref="B1999:B2062" si="99">TEXT(A1999,"mmmm ")</f>
        <v xml:space="preserve">oktober </v>
      </c>
      <c r="C1999">
        <v>-7.46</v>
      </c>
      <c r="D1999" t="str" cm="1">
        <f t="array" ref="D1999">IFERROR(
  _xlfn.XLOOKUP(TRUE, ISNUMBER(FIND(Trefwoorden!$A$2:$A$99, E1999)), Trefwoorden!$B$2:$B$99),
  "Onbekend"
)</f>
        <v>Laadbeurt</v>
      </c>
      <c r="E1999" t="s">
        <v>876</v>
      </c>
      <c r="F1999" t="str">
        <f>VLOOKUP(Tabel1[[#This Row],[categorie]],Lijst!A:C,3,FALSE)</f>
        <v>Uitgave</v>
      </c>
      <c r="G1999">
        <f t="shared" ref="G1999:G2062" si="100">IF(F1999="Uitgave", -ABS(C1999), ABS(C1999))</f>
        <v>-7.46</v>
      </c>
      <c r="H1999" t="str">
        <f>VLOOKUP(Tabel1[[#This Row],[categorie]],Lijst!A:B,2,FALSE)</f>
        <v>Vast</v>
      </c>
      <c r="I1999" t="str">
        <f t="shared" ref="I1999:I2062" si="101">IF(OR(AND(F1999="Uitgave", C1999&lt;0), AND(F1999="Inkomst", C1999&gt;0)), "OK", "FOUT")</f>
        <v>OK</v>
      </c>
    </row>
    <row r="2000" spans="1:9" hidden="1" x14ac:dyDescent="0.3">
      <c r="A2000" s="2">
        <v>45950</v>
      </c>
      <c r="B2000" t="str">
        <f t="shared" si="99"/>
        <v xml:space="preserve">oktober </v>
      </c>
      <c r="C2000">
        <v>-24.8</v>
      </c>
      <c r="D2000" t="s">
        <v>68</v>
      </c>
      <c r="E2000" t="s">
        <v>878</v>
      </c>
      <c r="F2000" t="str">
        <f>VLOOKUP(Tabel1[[#This Row],[categorie]],Lijst!A:C,3,FALSE)</f>
        <v>Uitgave</v>
      </c>
      <c r="G2000">
        <f t="shared" si="100"/>
        <v>-24.8</v>
      </c>
      <c r="H2000" t="str">
        <f>VLOOKUP(Tabel1[[#This Row],[categorie]],Lijst!A:B,2,FALSE)</f>
        <v>Variabel</v>
      </c>
      <c r="I2000" t="str">
        <f t="shared" si="101"/>
        <v>OK</v>
      </c>
    </row>
    <row r="2001" spans="1:9" hidden="1" x14ac:dyDescent="0.3">
      <c r="A2001" s="2">
        <v>45950</v>
      </c>
      <c r="B2001" t="str">
        <f t="shared" si="99"/>
        <v xml:space="preserve">oktober </v>
      </c>
      <c r="C2001">
        <v>-66</v>
      </c>
      <c r="D2001" t="s">
        <v>21</v>
      </c>
      <c r="E2001" t="s">
        <v>879</v>
      </c>
      <c r="F2001" t="str">
        <f>VLOOKUP(Tabel1[[#This Row],[categorie]],Lijst!A:C,3,FALSE)</f>
        <v>Uitgave</v>
      </c>
      <c r="G2001">
        <f t="shared" si="100"/>
        <v>-66</v>
      </c>
      <c r="H2001" t="str">
        <f>VLOOKUP(Tabel1[[#This Row],[categorie]],Lijst!A:B,2,FALSE)</f>
        <v>Variabel</v>
      </c>
      <c r="I2001" t="str">
        <f t="shared" si="101"/>
        <v>OK</v>
      </c>
    </row>
    <row r="2002" spans="1:9" hidden="1" x14ac:dyDescent="0.3">
      <c r="A2002" s="2">
        <v>45950</v>
      </c>
      <c r="B2002" t="str">
        <f t="shared" si="99"/>
        <v xml:space="preserve">oktober </v>
      </c>
      <c r="C2002">
        <v>-1.5</v>
      </c>
      <c r="D2002" t="str" cm="1">
        <f t="array" ref="D2002">IFERROR(
  _xlfn.XLOOKUP(TRUE, ISNUMBER(FIND(Trefwoorden!$A$2:$A$99, E2002)), Trefwoorden!$B$2:$B$99),
  "Onbekend"
)</f>
        <v>automaat De Lijn</v>
      </c>
      <c r="E2002" t="s">
        <v>880</v>
      </c>
      <c r="F2002" t="str">
        <f>VLOOKUP(Tabel1[[#This Row],[categorie]],Lijst!A:C,3,FALSE)</f>
        <v>Uitgave</v>
      </c>
      <c r="G2002">
        <f t="shared" si="100"/>
        <v>-1.5</v>
      </c>
      <c r="H2002" t="str">
        <f>VLOOKUP(Tabel1[[#This Row],[categorie]],Lijst!A:B,2,FALSE)</f>
        <v>Variabel</v>
      </c>
      <c r="I2002" t="str">
        <f t="shared" si="101"/>
        <v>OK</v>
      </c>
    </row>
    <row r="2003" spans="1:9" hidden="1" x14ac:dyDescent="0.3">
      <c r="A2003" s="2">
        <v>45950</v>
      </c>
      <c r="B2003" t="str">
        <f t="shared" si="99"/>
        <v xml:space="preserve">oktober </v>
      </c>
      <c r="C2003">
        <v>-7.5</v>
      </c>
      <c r="D2003" t="str" cm="1">
        <f t="array" ref="D2003">IFERROR(
  _xlfn.XLOOKUP(TRUE, ISNUMBER(FIND(Trefwoorden!$A$2:$A$99, E2003)), Trefwoorden!$B$2:$B$99),
  "Onbekend"
)</f>
        <v>voeding</v>
      </c>
      <c r="E2003" t="s">
        <v>881</v>
      </c>
      <c r="F2003" t="str">
        <f>VLOOKUP(Tabel1[[#This Row],[categorie]],Lijst!A:C,3,FALSE)</f>
        <v>Uitgave</v>
      </c>
      <c r="G2003">
        <f t="shared" si="100"/>
        <v>-7.5</v>
      </c>
      <c r="H2003" t="str">
        <f>VLOOKUP(Tabel1[[#This Row],[categorie]],Lijst!A:B,2,FALSE)</f>
        <v>Vast</v>
      </c>
      <c r="I2003" t="str">
        <f t="shared" si="101"/>
        <v>OK</v>
      </c>
    </row>
    <row r="2004" spans="1:9" hidden="1" x14ac:dyDescent="0.3">
      <c r="A2004" s="2">
        <v>45950</v>
      </c>
      <c r="B2004" t="str">
        <f t="shared" si="99"/>
        <v xml:space="preserve">oktober </v>
      </c>
      <c r="C2004">
        <v>-4</v>
      </c>
      <c r="D2004" t="str" cm="1">
        <f t="array" ref="D2004">IFERROR(
  _xlfn.XLOOKUP(TRUE, ISNUMBER(FIND(Trefwoorden!$A$2:$A$99, E2004)), Trefwoorden!$B$2:$B$99),
  "Onbekend"
)</f>
        <v>voeding</v>
      </c>
      <c r="E2004" t="s">
        <v>882</v>
      </c>
      <c r="F2004" t="str">
        <f>VLOOKUP(Tabel1[[#This Row],[categorie]],Lijst!A:C,3,FALSE)</f>
        <v>Uitgave</v>
      </c>
      <c r="G2004">
        <f t="shared" si="100"/>
        <v>-4</v>
      </c>
      <c r="H2004" t="str">
        <f>VLOOKUP(Tabel1[[#This Row],[categorie]],Lijst!A:B,2,FALSE)</f>
        <v>Vast</v>
      </c>
      <c r="I2004" t="str">
        <f t="shared" si="101"/>
        <v>OK</v>
      </c>
    </row>
    <row r="2005" spans="1:9" hidden="1" x14ac:dyDescent="0.3">
      <c r="A2005" s="2">
        <v>45950</v>
      </c>
      <c r="B2005" t="str">
        <f t="shared" si="99"/>
        <v xml:space="preserve">oktober </v>
      </c>
      <c r="C2005">
        <v>-33.549999999999997</v>
      </c>
      <c r="D2005" t="str" cm="1">
        <f t="array" ref="D2005">IFERROR(
  _xlfn.XLOOKUP(TRUE, ISNUMBER(FIND(Trefwoorden!$A$2:$A$99, E2005)), Trefwoorden!$B$2:$B$99),
  "Onbekend"
)</f>
        <v>Cardif</v>
      </c>
      <c r="E2005" t="s">
        <v>883</v>
      </c>
      <c r="F2005" t="str">
        <f>VLOOKUP(Tabel1[[#This Row],[categorie]],Lijst!A:C,3,FALSE)</f>
        <v>Uitgave</v>
      </c>
      <c r="G2005">
        <f t="shared" si="100"/>
        <v>-33.549999999999997</v>
      </c>
      <c r="H2005" t="str">
        <f>VLOOKUP(Tabel1[[#This Row],[categorie]],Lijst!A:B,2,FALSE)</f>
        <v>Vast</v>
      </c>
      <c r="I2005" t="str">
        <f t="shared" si="101"/>
        <v>OK</v>
      </c>
    </row>
    <row r="2006" spans="1:9" hidden="1" x14ac:dyDescent="0.3">
      <c r="A2006" s="2">
        <v>45951</v>
      </c>
      <c r="B2006" t="str">
        <f t="shared" si="99"/>
        <v xml:space="preserve">oktober </v>
      </c>
      <c r="C2006">
        <v>-13.02</v>
      </c>
      <c r="D2006" t="str" cm="1">
        <f t="array" ref="D2006">IFERROR(
  _xlfn.XLOOKUP(TRUE, ISNUMBER(FIND(Trefwoorden!$A$2:$A$99, E2006)), Trefwoorden!$B$2:$B$99),
  "Onbekend"
)</f>
        <v>voeding</v>
      </c>
      <c r="E2006" t="s">
        <v>857</v>
      </c>
      <c r="F2006" t="str">
        <f>VLOOKUP(Tabel1[[#This Row],[categorie]],Lijst!A:C,3,FALSE)</f>
        <v>Uitgave</v>
      </c>
      <c r="G2006">
        <f t="shared" si="100"/>
        <v>-13.02</v>
      </c>
      <c r="H2006" t="str">
        <f>VLOOKUP(Tabel1[[#This Row],[categorie]],Lijst!A:B,2,FALSE)</f>
        <v>Vast</v>
      </c>
      <c r="I2006" t="str">
        <f t="shared" si="101"/>
        <v>OK</v>
      </c>
    </row>
    <row r="2007" spans="1:9" hidden="1" x14ac:dyDescent="0.3">
      <c r="A2007" s="2">
        <v>45951</v>
      </c>
      <c r="B2007" t="str">
        <f t="shared" si="99"/>
        <v xml:space="preserve">oktober </v>
      </c>
      <c r="C2007">
        <v>-3</v>
      </c>
      <c r="D2007" t="str" cm="1">
        <f t="array" ref="D2007">IFERROR(
  _xlfn.XLOOKUP(TRUE, ISNUMBER(FIND(Trefwoorden!$A$2:$A$99, E2007)), Trefwoorden!$B$2:$B$99),
  "Onbekend"
)</f>
        <v>voeding</v>
      </c>
      <c r="E2007" t="s">
        <v>858</v>
      </c>
      <c r="F2007" t="str">
        <f>VLOOKUP(Tabel1[[#This Row],[categorie]],Lijst!A:C,3,FALSE)</f>
        <v>Uitgave</v>
      </c>
      <c r="G2007">
        <f t="shared" si="100"/>
        <v>-3</v>
      </c>
      <c r="H2007" t="str">
        <f>VLOOKUP(Tabel1[[#This Row],[categorie]],Lijst!A:B,2,FALSE)</f>
        <v>Vast</v>
      </c>
      <c r="I2007" t="str">
        <f t="shared" si="101"/>
        <v>OK</v>
      </c>
    </row>
    <row r="2008" spans="1:9" hidden="1" x14ac:dyDescent="0.3">
      <c r="A2008" s="2">
        <v>45951</v>
      </c>
      <c r="B2008" t="str">
        <f t="shared" si="99"/>
        <v xml:space="preserve">oktober </v>
      </c>
      <c r="C2008">
        <v>-5</v>
      </c>
      <c r="D2008" t="s">
        <v>31</v>
      </c>
      <c r="E2008" t="s">
        <v>865</v>
      </c>
      <c r="F2008" t="str">
        <f>VLOOKUP(Tabel1[[#This Row],[categorie]],Lijst!A:C,3,FALSE)</f>
        <v>Uitgave</v>
      </c>
      <c r="G2008">
        <f t="shared" si="100"/>
        <v>-5</v>
      </c>
      <c r="H2008" t="str">
        <f>VLOOKUP(Tabel1[[#This Row],[categorie]],Lijst!A:B,2,FALSE)</f>
        <v>Vast</v>
      </c>
      <c r="I2008" t="str">
        <f t="shared" si="101"/>
        <v>OK</v>
      </c>
    </row>
    <row r="2009" spans="1:9" hidden="1" x14ac:dyDescent="0.3">
      <c r="A2009" s="2">
        <v>45951</v>
      </c>
      <c r="B2009" t="str">
        <f t="shared" si="99"/>
        <v xml:space="preserve">oktober </v>
      </c>
      <c r="C2009">
        <v>-9.43</v>
      </c>
      <c r="D2009" t="str" cm="1">
        <f t="array" ref="D2009">IFERROR(
  _xlfn.XLOOKUP(TRUE, ISNUMBER(FIND(Trefwoorden!$A$2:$A$99, E2009)), Trefwoorden!$B$2:$B$99),
  "Onbekend"
)</f>
        <v>Laadbeurt</v>
      </c>
      <c r="E2009" t="s">
        <v>866</v>
      </c>
      <c r="F2009" t="str">
        <f>VLOOKUP(Tabel1[[#This Row],[categorie]],Lijst!A:C,3,FALSE)</f>
        <v>Uitgave</v>
      </c>
      <c r="G2009">
        <f t="shared" si="100"/>
        <v>-9.43</v>
      </c>
      <c r="H2009" t="str">
        <f>VLOOKUP(Tabel1[[#This Row],[categorie]],Lijst!A:B,2,FALSE)</f>
        <v>Vast</v>
      </c>
      <c r="I2009" t="str">
        <f t="shared" si="101"/>
        <v>OK</v>
      </c>
    </row>
    <row r="2010" spans="1:9" hidden="1" x14ac:dyDescent="0.3">
      <c r="A2010" s="2">
        <v>45951</v>
      </c>
      <c r="B2010" t="str">
        <f t="shared" si="99"/>
        <v xml:space="preserve">oktober </v>
      </c>
      <c r="C2010">
        <v>-7</v>
      </c>
      <c r="D2010" t="s">
        <v>3</v>
      </c>
      <c r="E2010" t="s">
        <v>869</v>
      </c>
      <c r="F2010" t="str">
        <f>VLOOKUP(Tabel1[[#This Row],[categorie]],Lijst!A:C,3,FALSE)</f>
        <v>Uitgave</v>
      </c>
      <c r="G2010">
        <f t="shared" si="100"/>
        <v>-7</v>
      </c>
      <c r="H2010" t="str">
        <f>VLOOKUP(Tabel1[[#This Row],[categorie]],Lijst!A:B,2,FALSE)</f>
        <v>Vast</v>
      </c>
      <c r="I2010" t="str">
        <f t="shared" si="101"/>
        <v>OK</v>
      </c>
    </row>
    <row r="2011" spans="1:9" hidden="1" x14ac:dyDescent="0.3">
      <c r="A2011" s="2">
        <v>45951</v>
      </c>
      <c r="B2011" t="str">
        <f t="shared" si="99"/>
        <v xml:space="preserve">oktober </v>
      </c>
      <c r="C2011">
        <v>-1.5</v>
      </c>
      <c r="D2011" t="str" cm="1">
        <f t="array" ref="D2011">IFERROR(
  _xlfn.XLOOKUP(TRUE, ISNUMBER(FIND(Trefwoorden!$A$2:$A$99, E2011)), Trefwoorden!$B$2:$B$99),
  "Onbekend"
)</f>
        <v>automaat De Lijn</v>
      </c>
      <c r="E2011" t="s">
        <v>872</v>
      </c>
      <c r="F2011" t="str">
        <f>VLOOKUP(Tabel1[[#This Row],[categorie]],Lijst!A:C,3,FALSE)</f>
        <v>Uitgave</v>
      </c>
      <c r="G2011">
        <f t="shared" si="100"/>
        <v>-1.5</v>
      </c>
      <c r="H2011" t="str">
        <f>VLOOKUP(Tabel1[[#This Row],[categorie]],Lijst!A:B,2,FALSE)</f>
        <v>Variabel</v>
      </c>
      <c r="I2011" t="str">
        <f t="shared" si="101"/>
        <v>OK</v>
      </c>
    </row>
    <row r="2012" spans="1:9" hidden="1" x14ac:dyDescent="0.3">
      <c r="A2012" s="2">
        <v>45951</v>
      </c>
      <c r="B2012" t="str">
        <f t="shared" si="99"/>
        <v xml:space="preserve">oktober </v>
      </c>
      <c r="C2012">
        <v>-1.5</v>
      </c>
      <c r="D2012" t="str" cm="1">
        <f t="array" ref="D2012">IFERROR(
  _xlfn.XLOOKUP(TRUE, ISNUMBER(FIND(Trefwoorden!$A$2:$A$99, E2012)), Trefwoorden!$B$2:$B$99),
  "Onbekend"
)</f>
        <v>automaat De Lijn</v>
      </c>
      <c r="E2012" t="s">
        <v>873</v>
      </c>
      <c r="F2012" t="str">
        <f>VLOOKUP(Tabel1[[#This Row],[categorie]],Lijst!A:C,3,FALSE)</f>
        <v>Uitgave</v>
      </c>
      <c r="G2012">
        <f t="shared" si="100"/>
        <v>-1.5</v>
      </c>
      <c r="H2012" t="str">
        <f>VLOOKUP(Tabel1[[#This Row],[categorie]],Lijst!A:B,2,FALSE)</f>
        <v>Variabel</v>
      </c>
      <c r="I2012" t="str">
        <f t="shared" si="101"/>
        <v>OK</v>
      </c>
    </row>
    <row r="2013" spans="1:9" hidden="1" x14ac:dyDescent="0.3">
      <c r="A2013" s="2">
        <v>45951</v>
      </c>
      <c r="B2013" t="str">
        <f t="shared" si="99"/>
        <v xml:space="preserve">oktober </v>
      </c>
      <c r="C2013">
        <v>12</v>
      </c>
      <c r="D2013" t="s">
        <v>32</v>
      </c>
      <c r="E2013" t="s">
        <v>874</v>
      </c>
      <c r="F2013" t="s">
        <v>17</v>
      </c>
      <c r="G2013">
        <f t="shared" si="100"/>
        <v>12</v>
      </c>
      <c r="H2013" t="str">
        <f>VLOOKUP(Tabel1[[#This Row],[categorie]],Lijst!A:B,2,FALSE)</f>
        <v>Variabel</v>
      </c>
      <c r="I2013" t="str">
        <f t="shared" si="101"/>
        <v>OK</v>
      </c>
    </row>
    <row r="2014" spans="1:9" hidden="1" x14ac:dyDescent="0.3">
      <c r="A2014" s="2">
        <v>45951</v>
      </c>
      <c r="B2014" t="str">
        <f t="shared" si="99"/>
        <v xml:space="preserve">oktober </v>
      </c>
      <c r="C2014">
        <v>-16.920000000000002</v>
      </c>
      <c r="D2014" t="str" cm="1">
        <f t="array" ref="D2014">IFERROR(
  _xlfn.XLOOKUP(TRUE, ISNUMBER(FIND(Trefwoorden!$A$2:$A$99, E2014)), Trefwoorden!$B$2:$B$99),
  "Onbekend"
)</f>
        <v>ICT</v>
      </c>
      <c r="E2014" t="s">
        <v>875</v>
      </c>
      <c r="F2014" t="s">
        <v>18</v>
      </c>
      <c r="G2014">
        <f t="shared" si="100"/>
        <v>-16.920000000000002</v>
      </c>
      <c r="H2014" t="str">
        <f>VLOOKUP(Tabel1[[#This Row],[categorie]],Lijst!A:B,2,FALSE)</f>
        <v>Variabel</v>
      </c>
      <c r="I2014" t="str">
        <f t="shared" si="101"/>
        <v>OK</v>
      </c>
    </row>
    <row r="2015" spans="1:9" hidden="1" x14ac:dyDescent="0.3">
      <c r="A2015" s="2">
        <v>45952</v>
      </c>
      <c r="B2015" t="str">
        <f t="shared" si="99"/>
        <v xml:space="preserve">oktober </v>
      </c>
      <c r="C2015">
        <v>-8.5500000000000007</v>
      </c>
      <c r="D2015" t="str" cm="1">
        <f t="array" ref="D2015">IFERROR(
  _xlfn.XLOOKUP(TRUE, ISNUMBER(FIND(Trefwoorden!$A$2:$A$99, E2015)), Trefwoorden!$B$2:$B$99),
  "Onbekend"
)</f>
        <v>voeding</v>
      </c>
      <c r="E2015" t="s">
        <v>852</v>
      </c>
      <c r="F2015" t="str">
        <f>VLOOKUP(Tabel1[[#This Row],[categorie]],Lijst!A:C,3,FALSE)</f>
        <v>Uitgave</v>
      </c>
      <c r="G2015">
        <f t="shared" si="100"/>
        <v>-8.5500000000000007</v>
      </c>
      <c r="H2015" t="str">
        <f>VLOOKUP(Tabel1[[#This Row],[categorie]],Lijst!A:B,2,FALSE)</f>
        <v>Vast</v>
      </c>
      <c r="I2015" t="str">
        <f t="shared" si="101"/>
        <v>OK</v>
      </c>
    </row>
    <row r="2016" spans="1:9" hidden="1" x14ac:dyDescent="0.3">
      <c r="A2016" s="2">
        <v>45952</v>
      </c>
      <c r="B2016" t="str">
        <f t="shared" si="99"/>
        <v xml:space="preserve">oktober </v>
      </c>
      <c r="C2016">
        <v>-9.84</v>
      </c>
      <c r="D2016" t="str" cm="1">
        <f t="array" ref="D2016">IFERROR(
  _xlfn.XLOOKUP(TRUE, ISNUMBER(FIND(Trefwoorden!$A$2:$A$99, E2016)), Trefwoorden!$B$2:$B$99),
  "Onbekend"
)</f>
        <v>voeding</v>
      </c>
      <c r="E2016" t="s">
        <v>853</v>
      </c>
      <c r="F2016" t="str">
        <f>VLOOKUP(Tabel1[[#This Row],[categorie]],Lijst!A:C,3,FALSE)</f>
        <v>Uitgave</v>
      </c>
      <c r="G2016">
        <f t="shared" si="100"/>
        <v>-9.84</v>
      </c>
      <c r="H2016" t="str">
        <f>VLOOKUP(Tabel1[[#This Row],[categorie]],Lijst!A:B,2,FALSE)</f>
        <v>Vast</v>
      </c>
      <c r="I2016" t="str">
        <f t="shared" si="101"/>
        <v>OK</v>
      </c>
    </row>
    <row r="2017" spans="1:9" hidden="1" x14ac:dyDescent="0.3">
      <c r="A2017" s="2">
        <v>45952</v>
      </c>
      <c r="B2017" t="str">
        <f t="shared" si="99"/>
        <v xml:space="preserve">oktober </v>
      </c>
      <c r="C2017">
        <v>-2</v>
      </c>
      <c r="D2017" t="s">
        <v>22</v>
      </c>
      <c r="E2017" t="s">
        <v>854</v>
      </c>
      <c r="F2017" t="str">
        <f>VLOOKUP(Tabel1[[#This Row],[categorie]],Lijst!A:C,3,FALSE)</f>
        <v>Uitgave</v>
      </c>
      <c r="G2017">
        <f t="shared" si="100"/>
        <v>-2</v>
      </c>
      <c r="H2017" t="str">
        <f>VLOOKUP(Tabel1[[#This Row],[categorie]],Lijst!A:B,2,FALSE)</f>
        <v>Variabel</v>
      </c>
      <c r="I2017" t="str">
        <f t="shared" si="101"/>
        <v>OK</v>
      </c>
    </row>
    <row r="2018" spans="1:9" hidden="1" x14ac:dyDescent="0.3">
      <c r="A2018" s="2">
        <v>45952</v>
      </c>
      <c r="B2018" t="str">
        <f t="shared" si="99"/>
        <v xml:space="preserve">oktober </v>
      </c>
      <c r="C2018">
        <v>-19.989999999999998</v>
      </c>
      <c r="D2018" t="str" cm="1">
        <f t="array" ref="D2018">IFERROR(
  _xlfn.XLOOKUP(TRUE, ISNUMBER(FIND(Trefwoorden!$A$2:$A$99, E2018)), Trefwoorden!$B$2:$B$99),
  "Onbekend"
)</f>
        <v>kledij</v>
      </c>
      <c r="E2018" t="s">
        <v>855</v>
      </c>
      <c r="F2018" t="str">
        <f>VLOOKUP(Tabel1[[#This Row],[categorie]],Lijst!A:C,3,FALSE)</f>
        <v>Uitgave</v>
      </c>
      <c r="G2018">
        <f t="shared" si="100"/>
        <v>-19.989999999999998</v>
      </c>
      <c r="H2018" t="str">
        <f>VLOOKUP(Tabel1[[#This Row],[categorie]],Lijst!A:B,2,FALSE)</f>
        <v>Variabel</v>
      </c>
      <c r="I2018" t="str">
        <f t="shared" si="101"/>
        <v>OK</v>
      </c>
    </row>
    <row r="2019" spans="1:9" hidden="1" x14ac:dyDescent="0.3">
      <c r="A2019" s="2">
        <v>45952</v>
      </c>
      <c r="B2019" t="str">
        <f t="shared" si="99"/>
        <v xml:space="preserve">oktober </v>
      </c>
      <c r="C2019">
        <v>-0.99</v>
      </c>
      <c r="D2019" t="str" cm="1">
        <f t="array" ref="D2019">IFERROR(
  _xlfn.XLOOKUP(TRUE, ISNUMBER(FIND(Trefwoorden!$A$2:$A$99, E2019)), Trefwoorden!$B$2:$B$99),
  "Onbekend"
)</f>
        <v>Action</v>
      </c>
      <c r="E2019" t="s">
        <v>856</v>
      </c>
      <c r="F2019" t="str">
        <f>VLOOKUP(Tabel1[[#This Row],[categorie]],Lijst!A:C,3,FALSE)</f>
        <v>Uitgave</v>
      </c>
      <c r="G2019">
        <f t="shared" si="100"/>
        <v>-0.99</v>
      </c>
      <c r="H2019" t="str">
        <f>VLOOKUP(Tabel1[[#This Row],[categorie]],Lijst!A:B,2,FALSE)</f>
        <v>Variabel</v>
      </c>
      <c r="I2019" t="str">
        <f t="shared" si="101"/>
        <v>OK</v>
      </c>
    </row>
    <row r="2020" spans="1:9" hidden="1" x14ac:dyDescent="0.3">
      <c r="A2020" s="2">
        <v>45952</v>
      </c>
      <c r="B2020" t="str">
        <f t="shared" si="99"/>
        <v xml:space="preserve">oktober </v>
      </c>
      <c r="C2020">
        <v>-14</v>
      </c>
      <c r="D2020" t="s">
        <v>75</v>
      </c>
      <c r="E2020" t="s">
        <v>859</v>
      </c>
      <c r="F2020" t="s">
        <v>18</v>
      </c>
      <c r="G2020">
        <f t="shared" si="100"/>
        <v>-14</v>
      </c>
      <c r="H2020" t="str">
        <f>VLOOKUP(Tabel1[[#This Row],[categorie]],Lijst!A:B,2,FALSE)</f>
        <v>Variabel</v>
      </c>
      <c r="I2020" t="str">
        <f t="shared" si="101"/>
        <v>OK</v>
      </c>
    </row>
    <row r="2021" spans="1:9" hidden="1" x14ac:dyDescent="0.3">
      <c r="A2021" s="2">
        <v>45952</v>
      </c>
      <c r="B2021" t="str">
        <f t="shared" si="99"/>
        <v xml:space="preserve">oktober </v>
      </c>
      <c r="C2021">
        <v>8</v>
      </c>
      <c r="D2021" t="str" cm="1">
        <f t="array" ref="D2021">IFERROR(
  _xlfn.XLOOKUP(TRUE, ISNUMBER(FIND(Trefwoorden!$A$2:$A$99, E2021)), Trefwoorden!$B$2:$B$99),
  "Onbekend"
)</f>
        <v>Ouders Bram</v>
      </c>
      <c r="E2021" t="s">
        <v>860</v>
      </c>
      <c r="F2021" t="s">
        <v>17</v>
      </c>
      <c r="G2021">
        <f t="shared" si="100"/>
        <v>8</v>
      </c>
      <c r="H2021" t="str">
        <f>VLOOKUP(Tabel1[[#This Row],[categorie]],Lijst!A:B,2,FALSE)</f>
        <v>Variabel</v>
      </c>
      <c r="I2021" t="str">
        <f t="shared" si="101"/>
        <v>OK</v>
      </c>
    </row>
    <row r="2022" spans="1:9" hidden="1" x14ac:dyDescent="0.3">
      <c r="A2022" s="2">
        <v>45952</v>
      </c>
      <c r="B2022" t="str">
        <f t="shared" si="99"/>
        <v xml:space="preserve">oktober </v>
      </c>
      <c r="C2022">
        <v>-1.5</v>
      </c>
      <c r="D2022" t="str" cm="1">
        <f t="array" ref="D2022">IFERROR(
  _xlfn.XLOOKUP(TRUE, ISNUMBER(FIND(Trefwoorden!$A$2:$A$99, E2022)), Trefwoorden!$B$2:$B$99),
  "Onbekend"
)</f>
        <v>automaat De Lijn</v>
      </c>
      <c r="E2022" t="s">
        <v>862</v>
      </c>
      <c r="F2022" t="str">
        <f>VLOOKUP(Tabel1[[#This Row],[categorie]],Lijst!A:C,3,FALSE)</f>
        <v>Uitgave</v>
      </c>
      <c r="G2022">
        <f t="shared" si="100"/>
        <v>-1.5</v>
      </c>
      <c r="H2022" t="str">
        <f>VLOOKUP(Tabel1[[#This Row],[categorie]],Lijst!A:B,2,FALSE)</f>
        <v>Variabel</v>
      </c>
      <c r="I2022" t="str">
        <f t="shared" si="101"/>
        <v>OK</v>
      </c>
    </row>
    <row r="2023" spans="1:9" hidden="1" x14ac:dyDescent="0.3">
      <c r="A2023" s="2">
        <v>45952</v>
      </c>
      <c r="B2023" t="str">
        <f t="shared" si="99"/>
        <v xml:space="preserve">oktober </v>
      </c>
      <c r="C2023">
        <v>-1.5</v>
      </c>
      <c r="D2023" t="str" cm="1">
        <f t="array" ref="D2023">IFERROR(
  _xlfn.XLOOKUP(TRUE, ISNUMBER(FIND(Trefwoorden!$A$2:$A$99, E2023)), Trefwoorden!$B$2:$B$99),
  "Onbekend"
)</f>
        <v>automaat De Lijn</v>
      </c>
      <c r="E2023" t="s">
        <v>863</v>
      </c>
      <c r="F2023" t="str">
        <f>VLOOKUP(Tabel1[[#This Row],[categorie]],Lijst!A:C,3,FALSE)</f>
        <v>Uitgave</v>
      </c>
      <c r="G2023">
        <f t="shared" si="100"/>
        <v>-1.5</v>
      </c>
      <c r="H2023" t="str">
        <f>VLOOKUP(Tabel1[[#This Row],[categorie]],Lijst!A:B,2,FALSE)</f>
        <v>Variabel</v>
      </c>
      <c r="I2023" t="str">
        <f t="shared" si="101"/>
        <v>OK</v>
      </c>
    </row>
    <row r="2024" spans="1:9" hidden="1" x14ac:dyDescent="0.3">
      <c r="A2024" s="2">
        <v>45952</v>
      </c>
      <c r="B2024" t="str">
        <f t="shared" si="99"/>
        <v xml:space="preserve">oktober </v>
      </c>
      <c r="C2024">
        <v>-53.29</v>
      </c>
      <c r="D2024" t="str" cm="1">
        <f t="array" ref="D2024">IFERROR(
  _xlfn.XLOOKUP(TRUE, ISNUMBER(FIND(Trefwoorden!$A$2:$A$99, E2024)), Trefwoorden!$B$2:$B$99),
  "Onbekend"
)</f>
        <v>AXA</v>
      </c>
      <c r="E2024" t="s">
        <v>864</v>
      </c>
      <c r="F2024" t="str">
        <f>VLOOKUP(Tabel1[[#This Row],[categorie]],Lijst!A:C,3,FALSE)</f>
        <v>Uitgave</v>
      </c>
      <c r="G2024">
        <f t="shared" si="100"/>
        <v>-53.29</v>
      </c>
      <c r="H2024" t="str">
        <f>VLOOKUP(Tabel1[[#This Row],[categorie]],Lijst!A:B,2,FALSE)</f>
        <v>Vast</v>
      </c>
      <c r="I2024" t="str">
        <f t="shared" si="101"/>
        <v>OK</v>
      </c>
    </row>
    <row r="2025" spans="1:9" hidden="1" x14ac:dyDescent="0.3">
      <c r="A2025" s="2">
        <v>45953</v>
      </c>
      <c r="B2025" t="str">
        <f t="shared" si="99"/>
        <v xml:space="preserve">oktober </v>
      </c>
      <c r="C2025">
        <v>-31.87</v>
      </c>
      <c r="D2025" t="str" cm="1">
        <f t="array" ref="D2025">IFERROR(
  _xlfn.XLOOKUP(TRUE, ISNUMBER(FIND(Trefwoorden!$A$2:$A$99, E2025)), Trefwoorden!$B$2:$B$99),
  "Onbekend"
)</f>
        <v>voeding</v>
      </c>
      <c r="E2025" t="s">
        <v>842</v>
      </c>
      <c r="F2025" t="str">
        <f>VLOOKUP(Tabel1[[#This Row],[categorie]],Lijst!A:C,3,FALSE)</f>
        <v>Uitgave</v>
      </c>
      <c r="G2025">
        <f t="shared" si="100"/>
        <v>-31.87</v>
      </c>
      <c r="H2025" t="str">
        <f>VLOOKUP(Tabel1[[#This Row],[categorie]],Lijst!A:B,2,FALSE)</f>
        <v>Vast</v>
      </c>
      <c r="I2025" t="str">
        <f t="shared" si="101"/>
        <v>OK</v>
      </c>
    </row>
    <row r="2026" spans="1:9" hidden="1" x14ac:dyDescent="0.3">
      <c r="A2026" s="2">
        <v>45953</v>
      </c>
      <c r="B2026" t="str">
        <f t="shared" si="99"/>
        <v xml:space="preserve">oktober </v>
      </c>
      <c r="C2026">
        <v>-26</v>
      </c>
      <c r="D2026" t="s">
        <v>36</v>
      </c>
      <c r="E2026" t="s">
        <v>851</v>
      </c>
      <c r="F2026" t="s">
        <v>18</v>
      </c>
      <c r="G2026">
        <f t="shared" si="100"/>
        <v>-26</v>
      </c>
      <c r="H2026" t="str">
        <f>VLOOKUP(Tabel1[[#This Row],[categorie]],Lijst!A:B,2,FALSE)</f>
        <v>Variabel</v>
      </c>
      <c r="I2026" t="str">
        <f t="shared" si="101"/>
        <v>OK</v>
      </c>
    </row>
    <row r="2027" spans="1:9" hidden="1" x14ac:dyDescent="0.3">
      <c r="A2027" s="2">
        <v>45954</v>
      </c>
      <c r="B2027" t="str">
        <f t="shared" si="99"/>
        <v xml:space="preserve">oktober </v>
      </c>
      <c r="C2027">
        <v>-97.5</v>
      </c>
      <c r="D2027" t="s">
        <v>9</v>
      </c>
      <c r="E2027" t="s">
        <v>915</v>
      </c>
      <c r="F2027" t="s">
        <v>18</v>
      </c>
      <c r="G2027">
        <f t="shared" si="100"/>
        <v>-97.5</v>
      </c>
      <c r="H2027" t="str">
        <f>VLOOKUP(Tabel1[[#This Row],[categorie]],Lijst!A:B,2,FALSE)</f>
        <v>Variabel</v>
      </c>
      <c r="I2027" t="str">
        <f t="shared" si="101"/>
        <v>OK</v>
      </c>
    </row>
    <row r="2028" spans="1:9" hidden="1" x14ac:dyDescent="0.3">
      <c r="A2028" s="2">
        <v>45954</v>
      </c>
      <c r="B2028" t="str">
        <f t="shared" si="99"/>
        <v xml:space="preserve">oktober </v>
      </c>
      <c r="C2028">
        <v>-1.52</v>
      </c>
      <c r="D2028" t="s">
        <v>22</v>
      </c>
      <c r="E2028" t="s">
        <v>916</v>
      </c>
      <c r="F2028" t="str">
        <f>VLOOKUP(Tabel1[[#This Row],[categorie]],Lijst!A:C,3,FALSE)</f>
        <v>Uitgave</v>
      </c>
      <c r="G2028">
        <f t="shared" si="100"/>
        <v>-1.52</v>
      </c>
      <c r="H2028" t="str">
        <f>VLOOKUP(Tabel1[[#This Row],[categorie]],Lijst!A:B,2,FALSE)</f>
        <v>Variabel</v>
      </c>
      <c r="I2028" t="str">
        <f t="shared" si="101"/>
        <v>OK</v>
      </c>
    </row>
    <row r="2029" spans="1:9" hidden="1" x14ac:dyDescent="0.3">
      <c r="A2029" s="2">
        <v>45954</v>
      </c>
      <c r="B2029" t="str">
        <f t="shared" si="99"/>
        <v xml:space="preserve">oktober </v>
      </c>
      <c r="C2029">
        <v>-3.98</v>
      </c>
      <c r="D2029" t="str" cm="1">
        <f t="array" ref="D2029">IFERROR(
  _xlfn.XLOOKUP(TRUE, ISNUMBER(FIND(Trefwoorden!$A$2:$A$99, E2029)), Trefwoorden!$B$2:$B$99),
  "Onbekend"
)</f>
        <v>voeding</v>
      </c>
      <c r="E2029" t="s">
        <v>917</v>
      </c>
      <c r="F2029" t="str">
        <f>VLOOKUP(Tabel1[[#This Row],[categorie]],Lijst!A:C,3,FALSE)</f>
        <v>Uitgave</v>
      </c>
      <c r="G2029">
        <f t="shared" si="100"/>
        <v>-3.98</v>
      </c>
      <c r="H2029" t="str">
        <f>VLOOKUP(Tabel1[[#This Row],[categorie]],Lijst!A:B,2,FALSE)</f>
        <v>Vast</v>
      </c>
      <c r="I2029" t="str">
        <f t="shared" si="101"/>
        <v>OK</v>
      </c>
    </row>
    <row r="2030" spans="1:9" hidden="1" x14ac:dyDescent="0.3">
      <c r="A2030" s="2">
        <v>45954</v>
      </c>
      <c r="B2030" t="str">
        <f t="shared" si="99"/>
        <v xml:space="preserve">oktober </v>
      </c>
      <c r="C2030">
        <v>-1.5</v>
      </c>
      <c r="D2030" t="str" cm="1">
        <f t="array" ref="D2030">IFERROR(
  _xlfn.XLOOKUP(TRUE, ISNUMBER(FIND(Trefwoorden!$A$2:$A$99, E2030)), Trefwoorden!$B$2:$B$99),
  "Onbekend"
)</f>
        <v>automaat De Lijn</v>
      </c>
      <c r="E2030" t="s">
        <v>843</v>
      </c>
      <c r="F2030" t="str">
        <f>VLOOKUP(Tabel1[[#This Row],[categorie]],Lijst!A:C,3,FALSE)</f>
        <v>Uitgave</v>
      </c>
      <c r="G2030">
        <f t="shared" si="100"/>
        <v>-1.5</v>
      </c>
      <c r="H2030" t="str">
        <f>VLOOKUP(Tabel1[[#This Row],[categorie]],Lijst!A:B,2,FALSE)</f>
        <v>Variabel</v>
      </c>
      <c r="I2030" t="str">
        <f t="shared" si="101"/>
        <v>OK</v>
      </c>
    </row>
    <row r="2031" spans="1:9" hidden="1" x14ac:dyDescent="0.3">
      <c r="A2031" s="2">
        <v>45954</v>
      </c>
      <c r="B2031" t="str">
        <f t="shared" si="99"/>
        <v xml:space="preserve">oktober </v>
      </c>
      <c r="C2031">
        <v>-1.5</v>
      </c>
      <c r="D2031" t="str" cm="1">
        <f t="array" ref="D2031">IFERROR(
  _xlfn.XLOOKUP(TRUE, ISNUMBER(FIND(Trefwoorden!$A$2:$A$99, E2031)), Trefwoorden!$B$2:$B$99),
  "Onbekend"
)</f>
        <v>automaat De Lijn</v>
      </c>
      <c r="E2031" t="s">
        <v>844</v>
      </c>
      <c r="F2031" t="str">
        <f>VLOOKUP(Tabel1[[#This Row],[categorie]],Lijst!A:C,3,FALSE)</f>
        <v>Uitgave</v>
      </c>
      <c r="G2031">
        <f t="shared" si="100"/>
        <v>-1.5</v>
      </c>
      <c r="H2031" t="str">
        <f>VLOOKUP(Tabel1[[#This Row],[categorie]],Lijst!A:B,2,FALSE)</f>
        <v>Variabel</v>
      </c>
      <c r="I2031" t="str">
        <f t="shared" si="101"/>
        <v>OK</v>
      </c>
    </row>
    <row r="2032" spans="1:9" hidden="1" x14ac:dyDescent="0.3">
      <c r="A2032" s="2">
        <v>45954</v>
      </c>
      <c r="B2032" t="str">
        <f t="shared" si="99"/>
        <v xml:space="preserve">oktober </v>
      </c>
      <c r="C2032">
        <v>-1.5</v>
      </c>
      <c r="D2032" t="str" cm="1">
        <f t="array" ref="D2032">IFERROR(
  _xlfn.XLOOKUP(TRUE, ISNUMBER(FIND(Trefwoorden!$A$2:$A$99, E2032)), Trefwoorden!$B$2:$B$99),
  "Onbekend"
)</f>
        <v>automaat De Lijn</v>
      </c>
      <c r="E2032" t="s">
        <v>845</v>
      </c>
      <c r="F2032" t="str">
        <f>VLOOKUP(Tabel1[[#This Row],[categorie]],Lijst!A:C,3,FALSE)</f>
        <v>Uitgave</v>
      </c>
      <c r="G2032">
        <f t="shared" si="100"/>
        <v>-1.5</v>
      </c>
      <c r="H2032" t="str">
        <f>VLOOKUP(Tabel1[[#This Row],[categorie]],Lijst!A:B,2,FALSE)</f>
        <v>Variabel</v>
      </c>
      <c r="I2032" t="str">
        <f t="shared" si="101"/>
        <v>OK</v>
      </c>
    </row>
    <row r="2033" spans="1:9" hidden="1" x14ac:dyDescent="0.3">
      <c r="A2033" s="2">
        <v>45954</v>
      </c>
      <c r="B2033" t="str">
        <f t="shared" si="99"/>
        <v xml:space="preserve">oktober </v>
      </c>
      <c r="C2033">
        <v>-1.5</v>
      </c>
      <c r="D2033" t="str" cm="1">
        <f t="array" ref="D2033">IFERROR(
  _xlfn.XLOOKUP(TRUE, ISNUMBER(FIND(Trefwoorden!$A$2:$A$99, E2033)), Trefwoorden!$B$2:$B$99),
  "Onbekend"
)</f>
        <v>automaat De Lijn</v>
      </c>
      <c r="E2033" t="s">
        <v>846</v>
      </c>
      <c r="F2033" t="str">
        <f>VLOOKUP(Tabel1[[#This Row],[categorie]],Lijst!A:C,3,FALSE)</f>
        <v>Uitgave</v>
      </c>
      <c r="G2033">
        <f t="shared" si="100"/>
        <v>-1.5</v>
      </c>
      <c r="H2033" t="str">
        <f>VLOOKUP(Tabel1[[#This Row],[categorie]],Lijst!A:B,2,FALSE)</f>
        <v>Variabel</v>
      </c>
      <c r="I2033" t="str">
        <f t="shared" si="101"/>
        <v>OK</v>
      </c>
    </row>
    <row r="2034" spans="1:9" hidden="1" x14ac:dyDescent="0.3">
      <c r="A2034" s="2">
        <v>45954</v>
      </c>
      <c r="B2034" t="str">
        <f t="shared" si="99"/>
        <v xml:space="preserve">oktober </v>
      </c>
      <c r="C2034">
        <v>-1.5</v>
      </c>
      <c r="D2034" t="str" cm="1">
        <f t="array" ref="D2034">IFERROR(
  _xlfn.XLOOKUP(TRUE, ISNUMBER(FIND(Trefwoorden!$A$2:$A$99, E2034)), Trefwoorden!$B$2:$B$99),
  "Onbekend"
)</f>
        <v>automaat De Lijn</v>
      </c>
      <c r="E2034" t="s">
        <v>847</v>
      </c>
      <c r="F2034" t="str">
        <f>VLOOKUP(Tabel1[[#This Row],[categorie]],Lijst!A:C,3,FALSE)</f>
        <v>Uitgave</v>
      </c>
      <c r="G2034">
        <f t="shared" si="100"/>
        <v>-1.5</v>
      </c>
      <c r="H2034" t="str">
        <f>VLOOKUP(Tabel1[[#This Row],[categorie]],Lijst!A:B,2,FALSE)</f>
        <v>Variabel</v>
      </c>
      <c r="I2034" t="str">
        <f t="shared" si="101"/>
        <v>OK</v>
      </c>
    </row>
    <row r="2035" spans="1:9" hidden="1" x14ac:dyDescent="0.3">
      <c r="A2035" s="2">
        <v>45954</v>
      </c>
      <c r="B2035" t="str">
        <f t="shared" si="99"/>
        <v xml:space="preserve">oktober </v>
      </c>
      <c r="C2035">
        <v>-1.5</v>
      </c>
      <c r="D2035" t="str" cm="1">
        <f t="array" ref="D2035">IFERROR(
  _xlfn.XLOOKUP(TRUE, ISNUMBER(FIND(Trefwoorden!$A$2:$A$99, E2035)), Trefwoorden!$B$2:$B$99),
  "Onbekend"
)</f>
        <v>automaat De Lijn</v>
      </c>
      <c r="E2035" t="s">
        <v>848</v>
      </c>
      <c r="F2035" t="str">
        <f>VLOOKUP(Tabel1[[#This Row],[categorie]],Lijst!A:C,3,FALSE)</f>
        <v>Uitgave</v>
      </c>
      <c r="G2035">
        <f t="shared" si="100"/>
        <v>-1.5</v>
      </c>
      <c r="H2035" t="str">
        <f>VLOOKUP(Tabel1[[#This Row],[categorie]],Lijst!A:B,2,FALSE)</f>
        <v>Variabel</v>
      </c>
      <c r="I2035" t="str">
        <f t="shared" si="101"/>
        <v>OK</v>
      </c>
    </row>
    <row r="2036" spans="1:9" hidden="1" x14ac:dyDescent="0.3">
      <c r="A2036" s="2">
        <v>45954</v>
      </c>
      <c r="B2036" t="str">
        <f t="shared" si="99"/>
        <v xml:space="preserve">oktober </v>
      </c>
      <c r="C2036">
        <v>-120.98</v>
      </c>
      <c r="D2036" t="str" cm="1">
        <f t="array" ref="D2036">IFERROR(
  _xlfn.XLOOKUP(TRUE, ISNUMBER(FIND(Trefwoorden!$A$2:$A$99, E2036)), Trefwoorden!$B$2:$B$99),
  "Onbekend"
)</f>
        <v>AXA</v>
      </c>
      <c r="E2036" t="s">
        <v>849</v>
      </c>
      <c r="F2036" t="str">
        <f>VLOOKUP(Tabel1[[#This Row],[categorie]],Lijst!A:C,3,FALSE)</f>
        <v>Uitgave</v>
      </c>
      <c r="G2036">
        <f t="shared" si="100"/>
        <v>-120.98</v>
      </c>
      <c r="H2036" t="str">
        <f>VLOOKUP(Tabel1[[#This Row],[categorie]],Lijst!A:B,2,FALSE)</f>
        <v>Vast</v>
      </c>
      <c r="I2036" t="str">
        <f t="shared" si="101"/>
        <v>OK</v>
      </c>
    </row>
    <row r="2037" spans="1:9" hidden="1" x14ac:dyDescent="0.3">
      <c r="A2037" s="2">
        <v>45954</v>
      </c>
      <c r="B2037" t="str">
        <f t="shared" si="99"/>
        <v xml:space="preserve">oktober </v>
      </c>
      <c r="C2037">
        <v>-10</v>
      </c>
      <c r="D2037" t="s">
        <v>35</v>
      </c>
      <c r="E2037" t="s">
        <v>850</v>
      </c>
      <c r="F2037" t="str">
        <f>VLOOKUP(Tabel1[[#This Row],[categorie]],Lijst!A:C,3,FALSE)</f>
        <v>Uitgave</v>
      </c>
      <c r="G2037">
        <f t="shared" si="100"/>
        <v>-10</v>
      </c>
      <c r="H2037" t="str">
        <f>VLOOKUP(Tabel1[[#This Row],[categorie]],Lijst!A:B,2,FALSE)</f>
        <v>Variabel</v>
      </c>
      <c r="I2037" t="str">
        <f t="shared" si="101"/>
        <v>OK</v>
      </c>
    </row>
    <row r="2038" spans="1:9" hidden="1" x14ac:dyDescent="0.3">
      <c r="A2038" s="2">
        <v>45955</v>
      </c>
      <c r="B2038" t="str">
        <f t="shared" si="99"/>
        <v xml:space="preserve">oktober </v>
      </c>
      <c r="C2038">
        <v>-25</v>
      </c>
      <c r="D2038" t="str" cm="1">
        <f t="array" ref="D2038">IFERROR(
  _xlfn.XLOOKUP(TRUE, ISNUMBER(FIND(Trefwoorden!$A$2:$A$99, E2038)), Trefwoorden!$B$2:$B$99),
  "Onbekend"
)</f>
        <v>kapster</v>
      </c>
      <c r="E2038" t="s">
        <v>918</v>
      </c>
      <c r="F2038" t="str">
        <f>VLOOKUP(Tabel1[[#This Row],[categorie]],Lijst!A:C,3,FALSE)</f>
        <v>Uitgave</v>
      </c>
      <c r="G2038">
        <f t="shared" si="100"/>
        <v>-25</v>
      </c>
      <c r="H2038" t="str">
        <f>VLOOKUP(Tabel1[[#This Row],[categorie]],Lijst!A:B,2,FALSE)</f>
        <v>Vast</v>
      </c>
      <c r="I2038" t="str">
        <f t="shared" si="101"/>
        <v>OK</v>
      </c>
    </row>
    <row r="2039" spans="1:9" hidden="1" x14ac:dyDescent="0.3">
      <c r="A2039" s="2">
        <v>45955</v>
      </c>
      <c r="B2039" t="str">
        <f t="shared" si="99"/>
        <v xml:space="preserve">oktober </v>
      </c>
      <c r="C2039">
        <v>-22.66</v>
      </c>
      <c r="D2039" t="str" cm="1">
        <f t="array" ref="D2039">IFERROR(
  _xlfn.XLOOKUP(TRUE, ISNUMBER(FIND(Trefwoorden!$A$2:$A$99, E2039)), Trefwoorden!$B$2:$B$99),
  "Onbekend"
)</f>
        <v>voeding</v>
      </c>
      <c r="E2039" t="s">
        <v>962</v>
      </c>
      <c r="F2039" t="str">
        <f>VLOOKUP(Tabel1[[#This Row],[categorie]],Lijst!A:C,3,FALSE)</f>
        <v>Uitgave</v>
      </c>
      <c r="G2039">
        <f t="shared" si="100"/>
        <v>-22.66</v>
      </c>
      <c r="H2039" t="str">
        <f>VLOOKUP(Tabel1[[#This Row],[categorie]],Lijst!A:B,2,FALSE)</f>
        <v>Vast</v>
      </c>
      <c r="I2039" t="str">
        <f t="shared" si="101"/>
        <v>OK</v>
      </c>
    </row>
    <row r="2040" spans="1:9" hidden="1" x14ac:dyDescent="0.3">
      <c r="A2040" s="2">
        <v>45955</v>
      </c>
      <c r="B2040" t="str">
        <f t="shared" si="99"/>
        <v xml:space="preserve">oktober </v>
      </c>
      <c r="C2040">
        <v>-19.579999999999998</v>
      </c>
      <c r="D2040" t="str" cm="1">
        <f t="array" ref="D2040">IFERROR(
  _xlfn.XLOOKUP(TRUE, ISNUMBER(FIND(Trefwoorden!$A$2:$A$99, E2040)), Trefwoorden!$B$2:$B$99),
  "Onbekend"
)</f>
        <v>voeding</v>
      </c>
      <c r="E2040" t="s">
        <v>963</v>
      </c>
      <c r="F2040" t="str">
        <f>VLOOKUP(Tabel1[[#This Row],[categorie]],Lijst!A:C,3,FALSE)</f>
        <v>Uitgave</v>
      </c>
      <c r="G2040">
        <f t="shared" si="100"/>
        <v>-19.579999999999998</v>
      </c>
      <c r="H2040" t="str">
        <f>VLOOKUP(Tabel1[[#This Row],[categorie]],Lijst!A:B,2,FALSE)</f>
        <v>Vast</v>
      </c>
      <c r="I2040" t="str">
        <f t="shared" si="101"/>
        <v>OK</v>
      </c>
    </row>
    <row r="2041" spans="1:9" hidden="1" x14ac:dyDescent="0.3">
      <c r="A2041" s="2">
        <v>45955</v>
      </c>
      <c r="B2041" t="str">
        <f t="shared" si="99"/>
        <v xml:space="preserve">oktober </v>
      </c>
      <c r="C2041">
        <v>-62.94</v>
      </c>
      <c r="D2041" t="str" cm="1">
        <f t="array" ref="D2041">IFERROR(
  _xlfn.XLOOKUP(TRUE, ISNUMBER(FIND(Trefwoorden!$A$2:$A$99, E2041)), Trefwoorden!$B$2:$B$99),
  "Onbekend"
)</f>
        <v>voeding</v>
      </c>
      <c r="E2041" t="s">
        <v>964</v>
      </c>
      <c r="F2041" t="str">
        <f>VLOOKUP(Tabel1[[#This Row],[categorie]],Lijst!A:C,3,FALSE)</f>
        <v>Uitgave</v>
      </c>
      <c r="G2041">
        <f t="shared" si="100"/>
        <v>-62.94</v>
      </c>
      <c r="H2041" t="str">
        <f>VLOOKUP(Tabel1[[#This Row],[categorie]],Lijst!A:B,2,FALSE)</f>
        <v>Vast</v>
      </c>
      <c r="I2041" t="str">
        <f t="shared" si="101"/>
        <v>OK</v>
      </c>
    </row>
    <row r="2042" spans="1:9" hidden="1" x14ac:dyDescent="0.3">
      <c r="A2042" s="2">
        <v>45955</v>
      </c>
      <c r="B2042" t="str">
        <f t="shared" si="99"/>
        <v xml:space="preserve">oktober </v>
      </c>
      <c r="C2042">
        <v>-4.99</v>
      </c>
      <c r="D2042" t="str" cm="1">
        <f t="array" ref="D2042">IFERROR(
  _xlfn.XLOOKUP(TRUE, ISNUMBER(FIND(Trefwoorden!$A$2:$A$99, E2042)), Trefwoorden!$B$2:$B$99),
  "Onbekend"
)</f>
        <v>voeding</v>
      </c>
      <c r="E2042" t="s">
        <v>965</v>
      </c>
      <c r="F2042" t="str">
        <f>VLOOKUP(Tabel1[[#This Row],[categorie]],Lijst!A:C,3,FALSE)</f>
        <v>Uitgave</v>
      </c>
      <c r="G2042">
        <f t="shared" si="100"/>
        <v>-4.99</v>
      </c>
      <c r="H2042" t="str">
        <f>VLOOKUP(Tabel1[[#This Row],[categorie]],Lijst!A:B,2,FALSE)</f>
        <v>Vast</v>
      </c>
      <c r="I2042" t="str">
        <f t="shared" si="101"/>
        <v>OK</v>
      </c>
    </row>
    <row r="2043" spans="1:9" hidden="1" x14ac:dyDescent="0.3">
      <c r="A2043" s="2">
        <v>45955</v>
      </c>
      <c r="B2043" t="str">
        <f t="shared" si="99"/>
        <v xml:space="preserve">oktober </v>
      </c>
      <c r="C2043">
        <v>-77.53</v>
      </c>
      <c r="D2043" t="str" cm="1">
        <f t="array" ref="D2043">IFERROR(
  _xlfn.XLOOKUP(TRUE, ISNUMBER(FIND(Trefwoorden!$A$2:$A$99, E2043)), Trefwoorden!$B$2:$B$99),
  "Onbekend"
)</f>
        <v>voeding</v>
      </c>
      <c r="E2043" t="s">
        <v>966</v>
      </c>
      <c r="F2043" t="str">
        <f>VLOOKUP(Tabel1[[#This Row],[categorie]],Lijst!A:C,3,FALSE)</f>
        <v>Uitgave</v>
      </c>
      <c r="G2043">
        <f t="shared" si="100"/>
        <v>-77.53</v>
      </c>
      <c r="H2043" t="str">
        <f>VLOOKUP(Tabel1[[#This Row],[categorie]],Lijst!A:B,2,FALSE)</f>
        <v>Vast</v>
      </c>
      <c r="I2043" t="str">
        <f t="shared" si="101"/>
        <v>OK</v>
      </c>
    </row>
    <row r="2044" spans="1:9" hidden="1" x14ac:dyDescent="0.3">
      <c r="A2044" s="2">
        <v>45957</v>
      </c>
      <c r="B2044" t="str">
        <f t="shared" si="99"/>
        <v xml:space="preserve">oktober </v>
      </c>
      <c r="C2044">
        <v>-9.8000000000000007</v>
      </c>
      <c r="D2044" t="s">
        <v>21</v>
      </c>
      <c r="E2044" t="s">
        <v>953</v>
      </c>
      <c r="F2044" t="str">
        <f>VLOOKUP(Tabel1[[#This Row],[categorie]],Lijst!A:C,3,FALSE)</f>
        <v>Uitgave</v>
      </c>
      <c r="G2044">
        <f t="shared" si="100"/>
        <v>-9.8000000000000007</v>
      </c>
      <c r="H2044" t="str">
        <f>VLOOKUP(Tabel1[[#This Row],[categorie]],Lijst!A:B,2,FALSE)</f>
        <v>Variabel</v>
      </c>
      <c r="I2044" t="str">
        <f t="shared" si="101"/>
        <v>OK</v>
      </c>
    </row>
    <row r="2045" spans="1:9" hidden="1" x14ac:dyDescent="0.3">
      <c r="A2045" s="2">
        <v>45957</v>
      </c>
      <c r="B2045" t="str">
        <f t="shared" si="99"/>
        <v xml:space="preserve">oktober </v>
      </c>
      <c r="C2045">
        <v>-44</v>
      </c>
      <c r="D2045" t="s">
        <v>21</v>
      </c>
      <c r="E2045" t="s">
        <v>954</v>
      </c>
      <c r="F2045" t="str">
        <f>VLOOKUP(Tabel1[[#This Row],[categorie]],Lijst!A:C,3,FALSE)</f>
        <v>Uitgave</v>
      </c>
      <c r="G2045">
        <f t="shared" si="100"/>
        <v>-44</v>
      </c>
      <c r="H2045" t="str">
        <f>VLOOKUP(Tabel1[[#This Row],[categorie]],Lijst!A:B,2,FALSE)</f>
        <v>Variabel</v>
      </c>
      <c r="I2045" t="str">
        <f t="shared" si="101"/>
        <v>OK</v>
      </c>
    </row>
    <row r="2046" spans="1:9" hidden="1" x14ac:dyDescent="0.3">
      <c r="A2046" s="2">
        <v>45957</v>
      </c>
      <c r="B2046" t="str">
        <f t="shared" si="99"/>
        <v xml:space="preserve">oktober </v>
      </c>
      <c r="C2046">
        <v>-5</v>
      </c>
      <c r="D2046" t="s">
        <v>75</v>
      </c>
      <c r="E2046" t="s">
        <v>955</v>
      </c>
      <c r="F2046" t="s">
        <v>18</v>
      </c>
      <c r="G2046">
        <f t="shared" si="100"/>
        <v>-5</v>
      </c>
      <c r="H2046" t="str">
        <f>VLOOKUP(Tabel1[[#This Row],[categorie]],Lijst!A:B,2,FALSE)</f>
        <v>Variabel</v>
      </c>
      <c r="I2046" t="str">
        <f t="shared" si="101"/>
        <v>OK</v>
      </c>
    </row>
    <row r="2047" spans="1:9" hidden="1" x14ac:dyDescent="0.3">
      <c r="A2047" s="2">
        <v>45957</v>
      </c>
      <c r="B2047" t="str">
        <f t="shared" si="99"/>
        <v xml:space="preserve">oktober </v>
      </c>
      <c r="C2047">
        <v>-3.7</v>
      </c>
      <c r="D2047" t="str" cm="1">
        <f t="array" ref="D2047">IFERROR(
  _xlfn.XLOOKUP(TRUE, ISNUMBER(FIND(Trefwoorden!$A$2:$A$99, E2047)), Trefwoorden!$B$2:$B$99),
  "Onbekend"
)</f>
        <v>voeding</v>
      </c>
      <c r="E2047" t="s">
        <v>956</v>
      </c>
      <c r="F2047" t="str">
        <f>VLOOKUP(Tabel1[[#This Row],[categorie]],Lijst!A:C,3,FALSE)</f>
        <v>Uitgave</v>
      </c>
      <c r="G2047">
        <f t="shared" si="100"/>
        <v>-3.7</v>
      </c>
      <c r="H2047" t="str">
        <f>VLOOKUP(Tabel1[[#This Row],[categorie]],Lijst!A:B,2,FALSE)</f>
        <v>Vast</v>
      </c>
      <c r="I2047" t="str">
        <f t="shared" si="101"/>
        <v>OK</v>
      </c>
    </row>
    <row r="2048" spans="1:9" hidden="1" x14ac:dyDescent="0.3">
      <c r="A2048" s="2">
        <v>45957</v>
      </c>
      <c r="B2048" t="str">
        <f t="shared" si="99"/>
        <v xml:space="preserve">oktober </v>
      </c>
      <c r="C2048">
        <v>-6.79</v>
      </c>
      <c r="D2048" t="str" cm="1">
        <f t="array" ref="D2048">IFERROR(
  _xlfn.XLOOKUP(TRUE, ISNUMBER(FIND(Trefwoorden!$A$2:$A$99, E2048)), Trefwoorden!$B$2:$B$99),
  "Onbekend"
)</f>
        <v>kruidvat</v>
      </c>
      <c r="E2048" t="s">
        <v>957</v>
      </c>
      <c r="F2048" t="str">
        <f>VLOOKUP(Tabel1[[#This Row],[categorie]],Lijst!A:C,3,FALSE)</f>
        <v>Uitgave</v>
      </c>
      <c r="G2048">
        <f t="shared" si="100"/>
        <v>-6.79</v>
      </c>
      <c r="H2048" t="str">
        <f>VLOOKUP(Tabel1[[#This Row],[categorie]],Lijst!A:B,2,FALSE)</f>
        <v>Variabel</v>
      </c>
      <c r="I2048" t="str">
        <f t="shared" si="101"/>
        <v>OK</v>
      </c>
    </row>
    <row r="2049" spans="1:9" hidden="1" x14ac:dyDescent="0.3">
      <c r="A2049" s="2">
        <v>45957</v>
      </c>
      <c r="B2049" t="str">
        <f t="shared" si="99"/>
        <v xml:space="preserve">oktober </v>
      </c>
      <c r="C2049">
        <v>-14.72</v>
      </c>
      <c r="D2049" t="str" cm="1">
        <f t="array" ref="D2049">IFERROR(
  _xlfn.XLOOKUP(TRUE, ISNUMBER(FIND(Trefwoorden!$A$2:$A$99, E2049)), Trefwoorden!$B$2:$B$99),
  "Onbekend"
)</f>
        <v>Laadbeurt</v>
      </c>
      <c r="E2049" t="s">
        <v>958</v>
      </c>
      <c r="F2049" t="str">
        <f>VLOOKUP(Tabel1[[#This Row],[categorie]],Lijst!A:C,3,FALSE)</f>
        <v>Uitgave</v>
      </c>
      <c r="G2049">
        <f t="shared" si="100"/>
        <v>-14.72</v>
      </c>
      <c r="H2049" t="str">
        <f>VLOOKUP(Tabel1[[#This Row],[categorie]],Lijst!A:B,2,FALSE)</f>
        <v>Vast</v>
      </c>
      <c r="I2049" t="str">
        <f t="shared" si="101"/>
        <v>OK</v>
      </c>
    </row>
    <row r="2050" spans="1:9" hidden="1" x14ac:dyDescent="0.3">
      <c r="A2050" s="2">
        <v>45957</v>
      </c>
      <c r="B2050" t="str">
        <f t="shared" si="99"/>
        <v xml:space="preserve">oktober </v>
      </c>
      <c r="C2050">
        <v>-20.100000000000001</v>
      </c>
      <c r="D2050" t="s">
        <v>9</v>
      </c>
      <c r="E2050" t="s">
        <v>959</v>
      </c>
      <c r="F2050" t="s">
        <v>18</v>
      </c>
      <c r="G2050">
        <f t="shared" si="100"/>
        <v>-20.100000000000001</v>
      </c>
      <c r="H2050" t="str">
        <f>VLOOKUP(Tabel1[[#This Row],[categorie]],Lijst!A:B,2,FALSE)</f>
        <v>Variabel</v>
      </c>
      <c r="I2050" t="str">
        <f t="shared" si="101"/>
        <v>OK</v>
      </c>
    </row>
    <row r="2051" spans="1:9" hidden="1" x14ac:dyDescent="0.3">
      <c r="A2051" s="2">
        <v>45957</v>
      </c>
      <c r="B2051" t="str">
        <f t="shared" si="99"/>
        <v xml:space="preserve">oktober </v>
      </c>
      <c r="C2051">
        <v>-25</v>
      </c>
      <c r="D2051" t="s">
        <v>32</v>
      </c>
      <c r="E2051" t="s">
        <v>960</v>
      </c>
      <c r="F2051" t="str">
        <f>VLOOKUP(Tabel1[[#This Row],[categorie]],Lijst!A:C,3,FALSE)</f>
        <v>Uitgave</v>
      </c>
      <c r="G2051">
        <f t="shared" si="100"/>
        <v>-25</v>
      </c>
      <c r="H2051" t="str">
        <f>VLOOKUP(Tabel1[[#This Row],[categorie]],Lijst!A:B,2,FALSE)</f>
        <v>Variabel</v>
      </c>
      <c r="I2051" t="str">
        <f t="shared" si="101"/>
        <v>OK</v>
      </c>
    </row>
    <row r="2052" spans="1:9" hidden="1" x14ac:dyDescent="0.3">
      <c r="A2052" s="2">
        <v>45957</v>
      </c>
      <c r="B2052" t="str">
        <f t="shared" si="99"/>
        <v xml:space="preserve">oktober </v>
      </c>
      <c r="C2052">
        <v>-6.21</v>
      </c>
      <c r="D2052" t="str" cm="1">
        <f t="array" ref="D2052">IFERROR(
  _xlfn.XLOOKUP(TRUE, ISNUMBER(FIND(Trefwoorden!$A$2:$A$99, E2052)), Trefwoorden!$B$2:$B$99),
  "Onbekend"
)</f>
        <v>Action</v>
      </c>
      <c r="E2052" t="s">
        <v>961</v>
      </c>
      <c r="F2052" t="str">
        <f>VLOOKUP(Tabel1[[#This Row],[categorie]],Lijst!A:C,3,FALSE)</f>
        <v>Uitgave</v>
      </c>
      <c r="G2052">
        <f t="shared" si="100"/>
        <v>-6.21</v>
      </c>
      <c r="H2052" t="str">
        <f>VLOOKUP(Tabel1[[#This Row],[categorie]],Lijst!A:B,2,FALSE)</f>
        <v>Variabel</v>
      </c>
      <c r="I2052" t="str">
        <f t="shared" si="101"/>
        <v>OK</v>
      </c>
    </row>
    <row r="2053" spans="1:9" hidden="1" x14ac:dyDescent="0.3">
      <c r="A2053" s="2">
        <v>45957</v>
      </c>
      <c r="B2053" t="str">
        <f t="shared" si="99"/>
        <v xml:space="preserve">oktober </v>
      </c>
      <c r="C2053">
        <v>-14.05</v>
      </c>
      <c r="D2053" t="s">
        <v>3</v>
      </c>
      <c r="E2053" t="s">
        <v>967</v>
      </c>
      <c r="F2053" t="str">
        <f>VLOOKUP(Tabel1[[#This Row],[categorie]],Lijst!A:C,3,FALSE)</f>
        <v>Uitgave</v>
      </c>
      <c r="G2053">
        <f t="shared" si="100"/>
        <v>-14.05</v>
      </c>
      <c r="H2053" t="str">
        <f>VLOOKUP(Tabel1[[#This Row],[categorie]],Lijst!A:B,2,FALSE)</f>
        <v>Vast</v>
      </c>
      <c r="I2053" t="str">
        <f t="shared" si="101"/>
        <v>OK</v>
      </c>
    </row>
    <row r="2054" spans="1:9" hidden="1" x14ac:dyDescent="0.3">
      <c r="A2054" s="2">
        <v>45957</v>
      </c>
      <c r="B2054" t="str">
        <f t="shared" si="99"/>
        <v xml:space="preserve">oktober </v>
      </c>
      <c r="C2054">
        <v>-11.5</v>
      </c>
      <c r="D2054" t="s">
        <v>3</v>
      </c>
      <c r="E2054" t="s">
        <v>968</v>
      </c>
      <c r="F2054" t="str">
        <f>VLOOKUP(Tabel1[[#This Row],[categorie]],Lijst!A:C,3,FALSE)</f>
        <v>Uitgave</v>
      </c>
      <c r="G2054">
        <f t="shared" si="100"/>
        <v>-11.5</v>
      </c>
      <c r="H2054" t="str">
        <f>VLOOKUP(Tabel1[[#This Row],[categorie]],Lijst!A:B,2,FALSE)</f>
        <v>Vast</v>
      </c>
      <c r="I2054" t="str">
        <f t="shared" si="101"/>
        <v>OK</v>
      </c>
    </row>
    <row r="2055" spans="1:9" hidden="1" x14ac:dyDescent="0.3">
      <c r="A2055" s="2">
        <v>45958</v>
      </c>
      <c r="B2055" t="str">
        <f t="shared" si="99"/>
        <v xml:space="preserve">oktober </v>
      </c>
      <c r="C2055">
        <v>-47.45</v>
      </c>
      <c r="D2055" t="str" cm="1">
        <f t="array" ref="D2055">IFERROR(
  _xlfn.XLOOKUP(TRUE, ISNUMBER(FIND(Trefwoorden!$A$2:$A$99, E2055)), Trefwoorden!$B$2:$B$99),
  "Onbekend"
)</f>
        <v>Louis/Vis</v>
      </c>
      <c r="E2055" t="s">
        <v>945</v>
      </c>
      <c r="F2055" t="str">
        <f>VLOOKUP(Tabel1[[#This Row],[categorie]],Lijst!A:C,3,FALSE)</f>
        <v>Uitgave</v>
      </c>
      <c r="G2055">
        <f t="shared" si="100"/>
        <v>-47.45</v>
      </c>
      <c r="H2055" t="str">
        <f>VLOOKUP(Tabel1[[#This Row],[categorie]],Lijst!A:B,2,FALSE)</f>
        <v>Variabel</v>
      </c>
      <c r="I2055" t="str">
        <f t="shared" si="101"/>
        <v>OK</v>
      </c>
    </row>
    <row r="2056" spans="1:9" hidden="1" x14ac:dyDescent="0.3">
      <c r="A2056" s="2">
        <v>45958</v>
      </c>
      <c r="B2056" t="str">
        <f t="shared" si="99"/>
        <v xml:space="preserve">oktober </v>
      </c>
      <c r="C2056">
        <v>-1.19</v>
      </c>
      <c r="D2056" t="str" cm="1">
        <f t="array" ref="D2056">IFERROR(
  _xlfn.XLOOKUP(TRUE, ISNUMBER(FIND(Trefwoorden!$A$2:$A$99, E2056)), Trefwoorden!$B$2:$B$99),
  "Onbekend"
)</f>
        <v>voeding</v>
      </c>
      <c r="E2056" t="s">
        <v>946</v>
      </c>
      <c r="F2056" t="str">
        <f>VLOOKUP(Tabel1[[#This Row],[categorie]],Lijst!A:C,3,FALSE)</f>
        <v>Uitgave</v>
      </c>
      <c r="G2056">
        <f t="shared" si="100"/>
        <v>-1.19</v>
      </c>
      <c r="H2056" t="str">
        <f>VLOOKUP(Tabel1[[#This Row],[categorie]],Lijst!A:B,2,FALSE)</f>
        <v>Vast</v>
      </c>
      <c r="I2056" t="str">
        <f t="shared" si="101"/>
        <v>OK</v>
      </c>
    </row>
    <row r="2057" spans="1:9" hidden="1" x14ac:dyDescent="0.3">
      <c r="A2057" s="2">
        <v>45958</v>
      </c>
      <c r="B2057" t="str">
        <f t="shared" si="99"/>
        <v xml:space="preserve">oktober </v>
      </c>
      <c r="C2057">
        <v>-16.75</v>
      </c>
      <c r="D2057" t="str" cm="1">
        <f t="array" ref="D2057">IFERROR(
  _xlfn.XLOOKUP(TRUE, ISNUMBER(FIND(Trefwoorden!$A$2:$A$99, E2057)), Trefwoorden!$B$2:$B$99),
  "Onbekend"
)</f>
        <v>voeding</v>
      </c>
      <c r="E2057" t="s">
        <v>947</v>
      </c>
      <c r="F2057" t="str">
        <f>VLOOKUP(Tabel1[[#This Row],[categorie]],Lijst!A:C,3,FALSE)</f>
        <v>Uitgave</v>
      </c>
      <c r="G2057">
        <f t="shared" si="100"/>
        <v>-16.75</v>
      </c>
      <c r="H2057" t="str">
        <f>VLOOKUP(Tabel1[[#This Row],[categorie]],Lijst!A:B,2,FALSE)</f>
        <v>Vast</v>
      </c>
      <c r="I2057" t="str">
        <f t="shared" si="101"/>
        <v>OK</v>
      </c>
    </row>
    <row r="2058" spans="1:9" hidden="1" x14ac:dyDescent="0.3">
      <c r="A2058" s="2">
        <v>45958</v>
      </c>
      <c r="B2058" t="str">
        <f t="shared" si="99"/>
        <v xml:space="preserve">oktober </v>
      </c>
      <c r="C2058">
        <v>-2</v>
      </c>
      <c r="D2058" t="s">
        <v>22</v>
      </c>
      <c r="E2058" t="s">
        <v>948</v>
      </c>
      <c r="F2058" t="str">
        <f>VLOOKUP(Tabel1[[#This Row],[categorie]],Lijst!A:C,3,FALSE)</f>
        <v>Uitgave</v>
      </c>
      <c r="G2058">
        <f t="shared" si="100"/>
        <v>-2</v>
      </c>
      <c r="H2058" t="str">
        <f>VLOOKUP(Tabel1[[#This Row],[categorie]],Lijst!A:B,2,FALSE)</f>
        <v>Variabel</v>
      </c>
      <c r="I2058" t="str">
        <f t="shared" si="101"/>
        <v>OK</v>
      </c>
    </row>
    <row r="2059" spans="1:9" hidden="1" x14ac:dyDescent="0.3">
      <c r="A2059" s="2">
        <v>45958</v>
      </c>
      <c r="B2059" t="str">
        <f t="shared" si="99"/>
        <v xml:space="preserve">oktober </v>
      </c>
      <c r="C2059">
        <v>-14.4</v>
      </c>
      <c r="D2059" t="s">
        <v>21</v>
      </c>
      <c r="E2059" t="s">
        <v>950</v>
      </c>
      <c r="F2059" t="str">
        <f>VLOOKUP(Tabel1[[#This Row],[categorie]],Lijst!A:C,3,FALSE)</f>
        <v>Uitgave</v>
      </c>
      <c r="G2059">
        <f t="shared" si="100"/>
        <v>-14.4</v>
      </c>
      <c r="H2059" t="str">
        <f>VLOOKUP(Tabel1[[#This Row],[categorie]],Lijst!A:B,2,FALSE)</f>
        <v>Variabel</v>
      </c>
      <c r="I2059" t="str">
        <f t="shared" si="101"/>
        <v>OK</v>
      </c>
    </row>
    <row r="2060" spans="1:9" hidden="1" x14ac:dyDescent="0.3">
      <c r="A2060" s="2">
        <v>45958</v>
      </c>
      <c r="B2060" t="str">
        <f t="shared" si="99"/>
        <v xml:space="preserve">oktober </v>
      </c>
      <c r="C2060">
        <v>-23</v>
      </c>
      <c r="D2060" t="s">
        <v>9</v>
      </c>
      <c r="E2060" t="s">
        <v>951</v>
      </c>
      <c r="F2060" t="s">
        <v>18</v>
      </c>
      <c r="G2060">
        <f t="shared" si="100"/>
        <v>-23</v>
      </c>
      <c r="H2060" t="str">
        <f>VLOOKUP(Tabel1[[#This Row],[categorie]],Lijst!A:B,2,FALSE)</f>
        <v>Variabel</v>
      </c>
      <c r="I2060" t="str">
        <f t="shared" si="101"/>
        <v>OK</v>
      </c>
    </row>
    <row r="2061" spans="1:9" hidden="1" x14ac:dyDescent="0.3">
      <c r="A2061" s="2">
        <v>45958</v>
      </c>
      <c r="B2061" t="str">
        <f t="shared" si="99"/>
        <v xml:space="preserve">oktober </v>
      </c>
      <c r="C2061">
        <v>-25.5</v>
      </c>
      <c r="D2061" t="s">
        <v>9</v>
      </c>
      <c r="E2061" t="s">
        <v>952</v>
      </c>
      <c r="F2061" t="s">
        <v>18</v>
      </c>
      <c r="G2061">
        <f t="shared" si="100"/>
        <v>-25.5</v>
      </c>
      <c r="H2061" t="str">
        <f>VLOOKUP(Tabel1[[#This Row],[categorie]],Lijst!A:B,2,FALSE)</f>
        <v>Variabel</v>
      </c>
      <c r="I2061" t="str">
        <f t="shared" si="101"/>
        <v>OK</v>
      </c>
    </row>
    <row r="2062" spans="1:9" hidden="1" x14ac:dyDescent="0.3">
      <c r="A2062" s="2">
        <v>45959</v>
      </c>
      <c r="B2062" t="str">
        <f t="shared" si="99"/>
        <v xml:space="preserve">oktober </v>
      </c>
      <c r="C2062">
        <v>-17.8</v>
      </c>
      <c r="D2062" t="str" cm="1">
        <f t="array" ref="D2062">IFERROR(
  _xlfn.XLOOKUP(TRUE, ISNUMBER(FIND(Trefwoorden!$A$2:$A$99, E2062)), Trefwoorden!$B$2:$B$99),
  "Onbekend"
)</f>
        <v>molecule</v>
      </c>
      <c r="E2062" t="s">
        <v>937</v>
      </c>
      <c r="F2062" t="str">
        <f>VLOOKUP(Tabel1[[#This Row],[categorie]],Lijst!A:C,3,FALSE)</f>
        <v>Uitgave</v>
      </c>
      <c r="G2062">
        <f t="shared" si="100"/>
        <v>-17.8</v>
      </c>
      <c r="H2062" t="str">
        <f>VLOOKUP(Tabel1[[#This Row],[categorie]],Lijst!A:B,2,FALSE)</f>
        <v>Variabel</v>
      </c>
      <c r="I2062" t="str">
        <f t="shared" si="101"/>
        <v>OK</v>
      </c>
    </row>
    <row r="2063" spans="1:9" hidden="1" x14ac:dyDescent="0.3">
      <c r="A2063" s="2">
        <v>45959</v>
      </c>
      <c r="B2063" t="str">
        <f t="shared" ref="B2063:B2088" si="102">TEXT(A2063,"mmmm ")</f>
        <v xml:space="preserve">oktober </v>
      </c>
      <c r="C2063">
        <v>-17.91</v>
      </c>
      <c r="D2063" t="str" cm="1">
        <f t="array" ref="D2063">IFERROR(
  _xlfn.XLOOKUP(TRUE, ISNUMBER(FIND(Trefwoorden!$A$2:$A$99, E2063)), Trefwoorden!$B$2:$B$99),
  "Onbekend"
)</f>
        <v>voeding</v>
      </c>
      <c r="E2063" t="s">
        <v>938</v>
      </c>
      <c r="F2063" t="str">
        <f>VLOOKUP(Tabel1[[#This Row],[categorie]],Lijst!A:C,3,FALSE)</f>
        <v>Uitgave</v>
      </c>
      <c r="G2063">
        <f t="shared" ref="G2063:G2088" si="103">IF(F2063="Uitgave", -ABS(C2063), ABS(C2063))</f>
        <v>-17.91</v>
      </c>
      <c r="H2063" t="str">
        <f>VLOOKUP(Tabel1[[#This Row],[categorie]],Lijst!A:B,2,FALSE)</f>
        <v>Vast</v>
      </c>
      <c r="I2063" t="str">
        <f t="shared" ref="I2063:I2088" si="104">IF(OR(AND(F2063="Uitgave", C2063&lt;0), AND(F2063="Inkomst", C2063&gt;0)), "OK", "FOUT")</f>
        <v>OK</v>
      </c>
    </row>
    <row r="2064" spans="1:9" hidden="1" x14ac:dyDescent="0.3">
      <c r="A2064" s="2">
        <v>45959</v>
      </c>
      <c r="B2064" t="str">
        <f t="shared" si="102"/>
        <v xml:space="preserve">oktober </v>
      </c>
      <c r="C2064">
        <v>-6.14</v>
      </c>
      <c r="D2064" t="str" cm="1">
        <f t="array" ref="D2064">IFERROR(
  _xlfn.XLOOKUP(TRUE, ISNUMBER(FIND(Trefwoorden!$A$2:$A$99, E2064)), Trefwoorden!$B$2:$B$99),
  "Onbekend"
)</f>
        <v>Laadbeurt</v>
      </c>
      <c r="E2064" t="s">
        <v>940</v>
      </c>
      <c r="F2064" t="str">
        <f>VLOOKUP(Tabel1[[#This Row],[categorie]],Lijst!A:C,3,FALSE)</f>
        <v>Uitgave</v>
      </c>
      <c r="G2064">
        <f t="shared" si="103"/>
        <v>-6.14</v>
      </c>
      <c r="H2064" t="str">
        <f>VLOOKUP(Tabel1[[#This Row],[categorie]],Lijst!A:B,2,FALSE)</f>
        <v>Vast</v>
      </c>
      <c r="I2064" t="str">
        <f t="shared" si="104"/>
        <v>OK</v>
      </c>
    </row>
    <row r="2065" spans="1:9" hidden="1" x14ac:dyDescent="0.3">
      <c r="A2065" s="2">
        <v>45959</v>
      </c>
      <c r="B2065" t="str">
        <f t="shared" si="102"/>
        <v xml:space="preserve">oktober </v>
      </c>
      <c r="C2065">
        <v>-38</v>
      </c>
      <c r="D2065" t="str" cm="1">
        <f t="array" ref="D2065">IFERROR(
  _xlfn.XLOOKUP(TRUE, ISNUMBER(FIND(Trefwoorden!$A$2:$A$99, E2065)), Trefwoorden!$B$2:$B$99),
  "Onbekend"
)</f>
        <v>kledij</v>
      </c>
      <c r="E2065" t="s">
        <v>949</v>
      </c>
      <c r="F2065" t="str">
        <f>VLOOKUP(Tabel1[[#This Row],[categorie]],Lijst!A:C,3,FALSE)</f>
        <v>Uitgave</v>
      </c>
      <c r="G2065">
        <f t="shared" si="103"/>
        <v>-38</v>
      </c>
      <c r="H2065" t="str">
        <f>VLOOKUP(Tabel1[[#This Row],[categorie]],Lijst!A:B,2,FALSE)</f>
        <v>Variabel</v>
      </c>
      <c r="I2065" t="str">
        <f t="shared" si="104"/>
        <v>OK</v>
      </c>
    </row>
    <row r="2066" spans="1:9" hidden="1" x14ac:dyDescent="0.3">
      <c r="A2066" s="2">
        <v>45960</v>
      </c>
      <c r="B2066" t="str">
        <f t="shared" si="102"/>
        <v xml:space="preserve">oktober </v>
      </c>
      <c r="C2066">
        <v>-51.23</v>
      </c>
      <c r="D2066" t="s">
        <v>9</v>
      </c>
      <c r="E2066" t="s">
        <v>922</v>
      </c>
      <c r="F2066" t="s">
        <v>18</v>
      </c>
      <c r="G2066">
        <f t="shared" si="103"/>
        <v>-51.23</v>
      </c>
      <c r="H2066" t="str">
        <f>VLOOKUP(Tabel1[[#This Row],[categorie]],Lijst!A:B,2,FALSE)</f>
        <v>Variabel</v>
      </c>
      <c r="I2066" t="str">
        <f t="shared" si="104"/>
        <v>OK</v>
      </c>
    </row>
    <row r="2067" spans="1:9" hidden="1" x14ac:dyDescent="0.3">
      <c r="A2067" s="2">
        <v>45960</v>
      </c>
      <c r="B2067" t="str">
        <f t="shared" si="102"/>
        <v xml:space="preserve">oktober </v>
      </c>
      <c r="C2067">
        <v>-5.0199999999999996</v>
      </c>
      <c r="D2067" t="s">
        <v>32</v>
      </c>
      <c r="E2067" t="s">
        <v>923</v>
      </c>
      <c r="F2067" t="str">
        <f>VLOOKUP(Tabel1[[#This Row],[categorie]],Lijst!A:C,3,FALSE)</f>
        <v>Uitgave</v>
      </c>
      <c r="G2067">
        <f t="shared" si="103"/>
        <v>-5.0199999999999996</v>
      </c>
      <c r="H2067" t="str">
        <f>VLOOKUP(Tabel1[[#This Row],[categorie]],Lijst!A:B,2,FALSE)</f>
        <v>Variabel</v>
      </c>
      <c r="I2067" t="str">
        <f t="shared" si="104"/>
        <v>OK</v>
      </c>
    </row>
    <row r="2068" spans="1:9" hidden="1" x14ac:dyDescent="0.3">
      <c r="A2068" s="2">
        <v>45960</v>
      </c>
      <c r="B2068" t="str">
        <f t="shared" si="102"/>
        <v xml:space="preserve">oktober </v>
      </c>
      <c r="C2068">
        <v>-5</v>
      </c>
      <c r="D2068" t="s">
        <v>21</v>
      </c>
      <c r="E2068" t="s">
        <v>924</v>
      </c>
      <c r="F2068" t="str">
        <f>VLOOKUP(Tabel1[[#This Row],[categorie]],Lijst!A:C,3,FALSE)</f>
        <v>Uitgave</v>
      </c>
      <c r="G2068">
        <f t="shared" si="103"/>
        <v>-5</v>
      </c>
      <c r="H2068" t="str">
        <f>VLOOKUP(Tabel1[[#This Row],[categorie]],Lijst!A:B,2,FALSE)</f>
        <v>Variabel</v>
      </c>
      <c r="I2068" t="str">
        <f t="shared" si="104"/>
        <v>OK</v>
      </c>
    </row>
    <row r="2069" spans="1:9" hidden="1" x14ac:dyDescent="0.3">
      <c r="A2069" s="2">
        <v>45960</v>
      </c>
      <c r="B2069" t="str">
        <f t="shared" si="102"/>
        <v xml:space="preserve">oktober </v>
      </c>
      <c r="C2069">
        <v>-35.799999999999997</v>
      </c>
      <c r="D2069" t="s">
        <v>9</v>
      </c>
      <c r="E2069" t="s">
        <v>927</v>
      </c>
      <c r="F2069" t="s">
        <v>18</v>
      </c>
      <c r="G2069">
        <f t="shared" si="103"/>
        <v>-35.799999999999997</v>
      </c>
      <c r="H2069" t="str">
        <f>VLOOKUP(Tabel1[[#This Row],[categorie]],Lijst!A:B,2,FALSE)</f>
        <v>Variabel</v>
      </c>
      <c r="I2069" t="str">
        <f t="shared" si="104"/>
        <v>OK</v>
      </c>
    </row>
    <row r="2070" spans="1:9" hidden="1" x14ac:dyDescent="0.3">
      <c r="A2070" s="2">
        <v>45960</v>
      </c>
      <c r="B2070" t="str">
        <f t="shared" si="102"/>
        <v xml:space="preserve">oktober </v>
      </c>
      <c r="C2070">
        <v>-29</v>
      </c>
      <c r="D2070" t="s">
        <v>9</v>
      </c>
      <c r="E2070" t="s">
        <v>929</v>
      </c>
      <c r="F2070" t="s">
        <v>18</v>
      </c>
      <c r="G2070">
        <f t="shared" si="103"/>
        <v>-29</v>
      </c>
      <c r="H2070" t="str">
        <f>VLOOKUP(Tabel1[[#This Row],[categorie]],Lijst!A:B,2,FALSE)</f>
        <v>Variabel</v>
      </c>
      <c r="I2070" t="str">
        <f t="shared" si="104"/>
        <v>OK</v>
      </c>
    </row>
    <row r="2071" spans="1:9" hidden="1" x14ac:dyDescent="0.3">
      <c r="A2071" s="2">
        <v>45960</v>
      </c>
      <c r="B2071" t="str">
        <f t="shared" si="102"/>
        <v xml:space="preserve">oktober </v>
      </c>
      <c r="C2071">
        <v>-10</v>
      </c>
      <c r="D2071" t="s">
        <v>75</v>
      </c>
      <c r="E2071" t="s">
        <v>935</v>
      </c>
      <c r="F2071" t="s">
        <v>18</v>
      </c>
      <c r="G2071">
        <f t="shared" si="103"/>
        <v>-10</v>
      </c>
      <c r="H2071" t="str">
        <f>VLOOKUP(Tabel1[[#This Row],[categorie]],Lijst!A:B,2,FALSE)</f>
        <v>Variabel</v>
      </c>
      <c r="I2071" t="str">
        <f t="shared" si="104"/>
        <v>OK</v>
      </c>
    </row>
    <row r="2072" spans="1:9" hidden="1" x14ac:dyDescent="0.3">
      <c r="A2072" s="2">
        <v>45960</v>
      </c>
      <c r="B2072" t="str">
        <f t="shared" si="102"/>
        <v xml:space="preserve">oktober </v>
      </c>
      <c r="C2072">
        <v>-5.17</v>
      </c>
      <c r="D2072" t="str" cm="1">
        <f t="array" ref="D2072">IFERROR(
  _xlfn.XLOOKUP(TRUE, ISNUMBER(FIND(Trefwoorden!$A$2:$A$99, E2072)), Trefwoorden!$B$2:$B$99),
  "Onbekend"
)</f>
        <v>Laadbeurt</v>
      </c>
      <c r="E2072" t="s">
        <v>936</v>
      </c>
      <c r="F2072" t="str">
        <f>VLOOKUP(Tabel1[[#This Row],[categorie]],Lijst!A:C,3,FALSE)</f>
        <v>Uitgave</v>
      </c>
      <c r="G2072">
        <f t="shared" si="103"/>
        <v>-5.17</v>
      </c>
      <c r="H2072" t="str">
        <f>VLOOKUP(Tabel1[[#This Row],[categorie]],Lijst!A:B,2,FALSE)</f>
        <v>Vast</v>
      </c>
      <c r="I2072" t="str">
        <f t="shared" si="104"/>
        <v>OK</v>
      </c>
    </row>
    <row r="2073" spans="1:9" hidden="1" x14ac:dyDescent="0.3">
      <c r="A2073" s="2">
        <v>45960</v>
      </c>
      <c r="B2073" t="str">
        <f t="shared" si="102"/>
        <v xml:space="preserve">oktober </v>
      </c>
      <c r="C2073">
        <v>-149.9</v>
      </c>
      <c r="D2073" t="s">
        <v>48</v>
      </c>
      <c r="E2073" t="s">
        <v>939</v>
      </c>
      <c r="F2073" t="s">
        <v>18</v>
      </c>
      <c r="G2073">
        <f t="shared" si="103"/>
        <v>-149.9</v>
      </c>
      <c r="H2073" t="str">
        <f>VLOOKUP(Tabel1[[#This Row],[categorie]],Lijst!A:B,2,FALSE)</f>
        <v>Variabel</v>
      </c>
      <c r="I2073" t="str">
        <f t="shared" si="104"/>
        <v>OK</v>
      </c>
    </row>
    <row r="2074" spans="1:9" hidden="1" x14ac:dyDescent="0.3">
      <c r="A2074" s="2">
        <v>45960</v>
      </c>
      <c r="B2074" t="str">
        <f t="shared" si="102"/>
        <v xml:space="preserve">oktober </v>
      </c>
      <c r="C2074">
        <v>-18</v>
      </c>
      <c r="D2074" t="s">
        <v>30</v>
      </c>
      <c r="E2074" t="s">
        <v>941</v>
      </c>
      <c r="F2074" t="str">
        <f>VLOOKUP(Tabel1[[#This Row],[categorie]],Lijst!A:C,3,FALSE)</f>
        <v>Uitgave</v>
      </c>
      <c r="G2074">
        <f t="shared" si="103"/>
        <v>-18</v>
      </c>
      <c r="H2074" t="str">
        <f>VLOOKUP(Tabel1[[#This Row],[categorie]],Lijst!A:B,2,FALSE)</f>
        <v>Vast</v>
      </c>
      <c r="I2074" t="str">
        <f t="shared" si="104"/>
        <v>OK</v>
      </c>
    </row>
    <row r="2075" spans="1:9" hidden="1" x14ac:dyDescent="0.3">
      <c r="A2075" s="2">
        <v>45960</v>
      </c>
      <c r="B2075" t="str">
        <f t="shared" si="102"/>
        <v xml:space="preserve">oktober </v>
      </c>
      <c r="C2075">
        <v>-61.83</v>
      </c>
      <c r="D2075" t="str" cm="1">
        <f t="array" ref="D2075">IFERROR(
  _xlfn.XLOOKUP(TRUE, ISNUMBER(FIND(Trefwoorden!$A$2:$A$99, E2075)), Trefwoorden!$B$2:$B$99),
  "Onbekend"
)</f>
        <v>Telenet</v>
      </c>
      <c r="E2075" t="s">
        <v>942</v>
      </c>
      <c r="F2075" t="str">
        <f>VLOOKUP(Tabel1[[#This Row],[categorie]],Lijst!A:C,3,FALSE)</f>
        <v>Uitgave</v>
      </c>
      <c r="G2075">
        <f t="shared" si="103"/>
        <v>-61.83</v>
      </c>
      <c r="H2075" t="str">
        <f>VLOOKUP(Tabel1[[#This Row],[categorie]],Lijst!A:B,2,FALSE)</f>
        <v>Vast</v>
      </c>
      <c r="I2075" t="str">
        <f t="shared" si="104"/>
        <v>OK</v>
      </c>
    </row>
    <row r="2076" spans="1:9" hidden="1" x14ac:dyDescent="0.3">
      <c r="A2076" s="2">
        <v>45960</v>
      </c>
      <c r="B2076" t="str">
        <f t="shared" si="102"/>
        <v xml:space="preserve">oktober </v>
      </c>
      <c r="C2076">
        <v>-419.71</v>
      </c>
      <c r="D2076" t="str" cm="1">
        <f t="array" ref="D2076">IFERROR(
  _xlfn.XLOOKUP(TRUE, ISNUMBER(FIND(Trefwoorden!$A$2:$A$99, E2076)), Trefwoorden!$B$2:$B$99),
  "Onbekend"
)</f>
        <v>Leasing Auto</v>
      </c>
      <c r="E2076" t="s">
        <v>943</v>
      </c>
      <c r="F2076" t="str">
        <f>VLOOKUP(Tabel1[[#This Row],[categorie]],Lijst!A:C,3,FALSE)</f>
        <v>Uitgave</v>
      </c>
      <c r="G2076">
        <f t="shared" si="103"/>
        <v>-419.71</v>
      </c>
      <c r="H2076" t="str">
        <f>VLOOKUP(Tabel1[[#This Row],[categorie]],Lijst!A:B,2,FALSE)</f>
        <v>Vast</v>
      </c>
      <c r="I2076" t="str">
        <f t="shared" si="104"/>
        <v>OK</v>
      </c>
    </row>
    <row r="2077" spans="1:9" hidden="1" x14ac:dyDescent="0.3">
      <c r="A2077" s="2">
        <v>45962</v>
      </c>
      <c r="B2077" t="str">
        <f t="shared" si="102"/>
        <v xml:space="preserve">november </v>
      </c>
      <c r="C2077">
        <v>2743.98</v>
      </c>
      <c r="D2077" t="str" cm="1">
        <f t="array" ref="D2077">IFERROR(
  _xlfn.XLOOKUP(TRUE, ISNUMBER(FIND(Trefwoorden!$A$2:$A$99, E2077)), Trefwoorden!$B$2:$B$99),
  "Onbekend"
)</f>
        <v>Inkomsten Loon</v>
      </c>
      <c r="E2077" t="s">
        <v>944</v>
      </c>
      <c r="F2077" t="str">
        <f>VLOOKUP(Tabel1[[#This Row],[categorie]],Lijst!A:C,3,FALSE)</f>
        <v>Inkomst</v>
      </c>
      <c r="G2077">
        <f t="shared" si="103"/>
        <v>2743.98</v>
      </c>
      <c r="H2077" t="str">
        <f>VLOOKUP(Tabel1[[#This Row],[categorie]],Lijst!A:B,2,FALSE)</f>
        <v>Inkomsten</v>
      </c>
      <c r="I2077" t="str">
        <f t="shared" si="104"/>
        <v>OK</v>
      </c>
    </row>
    <row r="2078" spans="1:9" hidden="1" x14ac:dyDescent="0.3">
      <c r="A2078" s="2">
        <v>45960</v>
      </c>
      <c r="B2078" t="str">
        <f t="shared" si="102"/>
        <v xml:space="preserve">oktober </v>
      </c>
      <c r="C2078">
        <v>-166.41</v>
      </c>
      <c r="D2078" t="str" cm="1">
        <f t="array" ref="D2078">IFERROR(
  _xlfn.XLOOKUP(TRUE, ISNUMBER(FIND(Trefwoorden!$A$2:$A$99, E2078)), Trefwoorden!$B$2:$B$99),
  "Onbekend"
)</f>
        <v>Leasing Auto</v>
      </c>
      <c r="E2078" t="s">
        <v>943</v>
      </c>
      <c r="F2078" t="str">
        <f>VLOOKUP(Tabel1[[#This Row],[categorie]],Lijst!A:C,3,FALSE)</f>
        <v>Uitgave</v>
      </c>
      <c r="G2078">
        <f t="shared" si="103"/>
        <v>-166.41</v>
      </c>
      <c r="H2078" t="str">
        <f>VLOOKUP(Tabel1[[#This Row],[categorie]],Lijst!A:B,2,FALSE)</f>
        <v>Vast</v>
      </c>
      <c r="I2078" t="str">
        <f t="shared" si="104"/>
        <v>OK</v>
      </c>
    </row>
    <row r="2079" spans="1:9" hidden="1" x14ac:dyDescent="0.3">
      <c r="A2079" s="2">
        <v>45961</v>
      </c>
      <c r="B2079" t="str">
        <f t="shared" si="102"/>
        <v xml:space="preserve">oktober </v>
      </c>
      <c r="C2079">
        <v>-5.25</v>
      </c>
      <c r="D2079" t="s">
        <v>19</v>
      </c>
      <c r="E2079" t="s">
        <v>920</v>
      </c>
      <c r="F2079" t="str">
        <f>VLOOKUP(Tabel1[[#This Row],[categorie]],Lijst!A:C,3,FALSE)</f>
        <v>Uitgave</v>
      </c>
      <c r="G2079">
        <f t="shared" si="103"/>
        <v>-5.25</v>
      </c>
      <c r="H2079" t="str">
        <f>VLOOKUP(Tabel1[[#This Row],[categorie]],Lijst!A:B,2,FALSE)</f>
        <v>Vast</v>
      </c>
      <c r="I2079" t="str">
        <f t="shared" si="104"/>
        <v>OK</v>
      </c>
    </row>
    <row r="2080" spans="1:9" hidden="1" x14ac:dyDescent="0.3">
      <c r="A2080" s="2">
        <v>45961</v>
      </c>
      <c r="B2080" t="str">
        <f t="shared" si="102"/>
        <v xml:space="preserve">oktober </v>
      </c>
      <c r="C2080">
        <v>-50</v>
      </c>
      <c r="D2080" t="s">
        <v>9</v>
      </c>
      <c r="E2080" t="s">
        <v>921</v>
      </c>
      <c r="F2080" t="s">
        <v>18</v>
      </c>
      <c r="G2080">
        <f t="shared" si="103"/>
        <v>-50</v>
      </c>
      <c r="H2080" t="str">
        <f>VLOOKUP(Tabel1[[#This Row],[categorie]],Lijst!A:B,2,FALSE)</f>
        <v>Variabel</v>
      </c>
      <c r="I2080" t="str">
        <f t="shared" si="104"/>
        <v>OK</v>
      </c>
    </row>
    <row r="2081" spans="1:9" hidden="1" x14ac:dyDescent="0.3">
      <c r="A2081" s="2">
        <v>45961</v>
      </c>
      <c r="B2081" t="str">
        <f t="shared" si="102"/>
        <v xml:space="preserve">oktober </v>
      </c>
      <c r="C2081">
        <v>-240.78</v>
      </c>
      <c r="D2081" t="str" cm="1">
        <f t="array" ref="D2081">IFERROR(
  _xlfn.XLOOKUP(TRUE, ISNUMBER(FIND(Trefwoorden!$A$2:$A$99, E2081)), Trefwoorden!$B$2:$B$99),
  "Onbekend"
)</f>
        <v>Gezondheid</v>
      </c>
      <c r="E2081" t="s">
        <v>925</v>
      </c>
      <c r="F2081" t="s">
        <v>18</v>
      </c>
      <c r="G2081">
        <f t="shared" si="103"/>
        <v>-240.78</v>
      </c>
      <c r="H2081" t="str">
        <f>VLOOKUP(Tabel1[[#This Row],[categorie]],Lijst!A:B,2,FALSE)</f>
        <v>Vast</v>
      </c>
      <c r="I2081" t="str">
        <f t="shared" si="104"/>
        <v>OK</v>
      </c>
    </row>
    <row r="2082" spans="1:9" hidden="1" x14ac:dyDescent="0.3">
      <c r="A2082" s="2">
        <v>45961</v>
      </c>
      <c r="B2082" t="str">
        <f t="shared" si="102"/>
        <v xml:space="preserve">oktober </v>
      </c>
      <c r="C2082">
        <v>-3.55</v>
      </c>
      <c r="D2082" t="s">
        <v>75</v>
      </c>
      <c r="E2082" t="s">
        <v>926</v>
      </c>
      <c r="F2082" t="s">
        <v>18</v>
      </c>
      <c r="G2082">
        <f t="shared" si="103"/>
        <v>-3.55</v>
      </c>
      <c r="H2082" t="str">
        <f>VLOOKUP(Tabel1[[#This Row],[categorie]],Lijst!A:B,2,FALSE)</f>
        <v>Variabel</v>
      </c>
      <c r="I2082" t="str">
        <f t="shared" si="104"/>
        <v>OK</v>
      </c>
    </row>
    <row r="2083" spans="1:9" hidden="1" x14ac:dyDescent="0.3">
      <c r="A2083" s="2">
        <v>45961</v>
      </c>
      <c r="B2083" t="str">
        <f t="shared" si="102"/>
        <v xml:space="preserve">oktober </v>
      </c>
      <c r="C2083">
        <v>-5</v>
      </c>
      <c r="D2083" t="s">
        <v>75</v>
      </c>
      <c r="E2083" t="s">
        <v>928</v>
      </c>
      <c r="F2083" t="s">
        <v>18</v>
      </c>
      <c r="G2083">
        <f t="shared" si="103"/>
        <v>-5</v>
      </c>
      <c r="H2083" t="str">
        <f>VLOOKUP(Tabel1[[#This Row],[categorie]],Lijst!A:B,2,FALSE)</f>
        <v>Variabel</v>
      </c>
      <c r="I2083" t="str">
        <f t="shared" si="104"/>
        <v>OK</v>
      </c>
    </row>
    <row r="2084" spans="1:9" hidden="1" x14ac:dyDescent="0.3">
      <c r="A2084" s="2">
        <v>45962</v>
      </c>
      <c r="B2084" t="str">
        <f t="shared" si="102"/>
        <v xml:space="preserve">november </v>
      </c>
      <c r="C2084">
        <v>2376.23</v>
      </c>
      <c r="D2084" t="str" cm="1">
        <f t="array" ref="D2084">IFERROR(
  _xlfn.XLOOKUP(TRUE, ISNUMBER(FIND(Trefwoorden!$A$2:$A$99, E2084)), Trefwoorden!$B$2:$B$99),
  "Onbekend"
)</f>
        <v>Inkomsten Loon</v>
      </c>
      <c r="E2084" t="s">
        <v>930</v>
      </c>
      <c r="F2084" t="str">
        <f>VLOOKUP(Tabel1[[#This Row],[categorie]],Lijst!A:C,3,FALSE)</f>
        <v>Inkomst</v>
      </c>
      <c r="G2084">
        <f t="shared" si="103"/>
        <v>2376.23</v>
      </c>
      <c r="H2084" t="str">
        <f>VLOOKUP(Tabel1[[#This Row],[categorie]],Lijst!A:B,2,FALSE)</f>
        <v>Inkomsten</v>
      </c>
      <c r="I2084" t="str">
        <f t="shared" si="104"/>
        <v>OK</v>
      </c>
    </row>
    <row r="2085" spans="1:9" hidden="1" x14ac:dyDescent="0.3">
      <c r="A2085" s="2">
        <v>45961</v>
      </c>
      <c r="B2085" t="str">
        <f t="shared" si="102"/>
        <v xml:space="preserve">oktober </v>
      </c>
      <c r="C2085">
        <v>-8</v>
      </c>
      <c r="D2085" t="s">
        <v>3</v>
      </c>
      <c r="E2085" t="s">
        <v>931</v>
      </c>
      <c r="F2085" t="str">
        <f>VLOOKUP(Tabel1[[#This Row],[categorie]],Lijst!A:C,3,FALSE)</f>
        <v>Uitgave</v>
      </c>
      <c r="G2085">
        <f t="shared" si="103"/>
        <v>-8</v>
      </c>
      <c r="H2085" t="str">
        <f>VLOOKUP(Tabel1[[#This Row],[categorie]],Lijst!A:B,2,FALSE)</f>
        <v>Vast</v>
      </c>
      <c r="I2085" t="str">
        <f t="shared" si="104"/>
        <v>OK</v>
      </c>
    </row>
    <row r="2086" spans="1:9" hidden="1" x14ac:dyDescent="0.3">
      <c r="A2086" s="2">
        <v>45961</v>
      </c>
      <c r="B2086" t="str">
        <f t="shared" si="102"/>
        <v xml:space="preserve">oktober </v>
      </c>
      <c r="C2086">
        <v>-22.3</v>
      </c>
      <c r="D2086" t="s">
        <v>9</v>
      </c>
      <c r="E2086" t="s">
        <v>932</v>
      </c>
      <c r="F2086" t="s">
        <v>18</v>
      </c>
      <c r="G2086">
        <f t="shared" si="103"/>
        <v>-22.3</v>
      </c>
      <c r="H2086" t="str">
        <f>VLOOKUP(Tabel1[[#This Row],[categorie]],Lijst!A:B,2,FALSE)</f>
        <v>Variabel</v>
      </c>
      <c r="I2086" t="str">
        <f t="shared" si="104"/>
        <v>OK</v>
      </c>
    </row>
    <row r="2087" spans="1:9" hidden="1" x14ac:dyDescent="0.3">
      <c r="A2087" s="2">
        <v>45961</v>
      </c>
      <c r="B2087" t="str">
        <f t="shared" si="102"/>
        <v xml:space="preserve">oktober </v>
      </c>
      <c r="C2087">
        <v>-50.6</v>
      </c>
      <c r="D2087" t="str" cm="1">
        <f t="array" ref="D2087">IFERROR(
  _xlfn.XLOOKUP(TRUE, ISNUMBER(FIND(Trefwoorden!$A$2:$A$99, E2087)), Trefwoorden!$B$2:$B$99),
  "Onbekend"
)</f>
        <v>Hospitalisatie</v>
      </c>
      <c r="E2087" t="s">
        <v>933</v>
      </c>
      <c r="F2087" t="str">
        <f>VLOOKUP(Tabel1[[#This Row],[categorie]],Lijst!A:C,3,FALSE)</f>
        <v>Uitgave</v>
      </c>
      <c r="G2087">
        <f t="shared" si="103"/>
        <v>-50.6</v>
      </c>
      <c r="H2087" t="str">
        <f>VLOOKUP(Tabel1[[#This Row],[categorie]],Lijst!A:B,2,FALSE)</f>
        <v>Vast</v>
      </c>
      <c r="I2087" t="str">
        <f t="shared" si="104"/>
        <v>OK</v>
      </c>
    </row>
    <row r="2088" spans="1:9" hidden="1" x14ac:dyDescent="0.3">
      <c r="A2088" s="2">
        <v>45961</v>
      </c>
      <c r="B2088" t="str">
        <f t="shared" si="102"/>
        <v xml:space="preserve">oktober </v>
      </c>
      <c r="C2088">
        <v>-37.31</v>
      </c>
      <c r="D2088" t="s">
        <v>11</v>
      </c>
      <c r="E2088" t="s">
        <v>934</v>
      </c>
      <c r="F2088" t="s">
        <v>18</v>
      </c>
      <c r="G2088">
        <f t="shared" si="103"/>
        <v>-37.31</v>
      </c>
      <c r="H2088" t="str">
        <f>VLOOKUP(Tabel1[[#This Row],[categorie]],Lijst!A:B,2,FALSE)</f>
        <v>Vast</v>
      </c>
      <c r="I2088" t="str">
        <f t="shared" si="104"/>
        <v>OK</v>
      </c>
    </row>
    <row r="2089" spans="1:9" hidden="1" x14ac:dyDescent="0.3">
      <c r="A2089" s="2">
        <v>45991</v>
      </c>
      <c r="B2089" s="24" t="str">
        <f>TEXT(A2089,"mmmm ")</f>
        <v xml:space="preserve">november </v>
      </c>
      <c r="C2089">
        <v>-586.12</v>
      </c>
      <c r="D2089" t="str" cm="1">
        <f t="array" ref="D2089">IFERROR(
  _xlfn.XLOOKUP(TRUE, ISNUMBER(FIND(Trefwoorden!$A$2:$A$99, E2089)), Trefwoorden!$B$2:$B$99),
  "Onbekend"
)</f>
        <v>Leasing Auto</v>
      </c>
      <c r="E2089" t="s">
        <v>969</v>
      </c>
      <c r="F2089" t="str">
        <f>VLOOKUP(Tabel1[[#This Row],[categorie]],Lijst!A:C,3,FALSE)</f>
        <v>Uitgave</v>
      </c>
      <c r="G2089" s="24">
        <f>IF(F2089="Uitgave", -ABS(C2089), ABS(C2089))</f>
        <v>-586.12</v>
      </c>
      <c r="H2089" t="str">
        <f>VLOOKUP(Tabel1[[#This Row],[categorie]],Lijst!A:B,2,FALSE)</f>
        <v>Vast</v>
      </c>
      <c r="I2089" s="24" t="str">
        <f>IF(OR(AND(F2089="Uitgave", C2089&lt;0), AND(F2089="Inkomst", C2089&gt;0)), "OK", "FOUT")</f>
        <v>OK</v>
      </c>
    </row>
    <row r="2090" spans="1:9" hidden="1" x14ac:dyDescent="0.3">
      <c r="A2090" s="2">
        <v>45991</v>
      </c>
      <c r="B2090" s="24" t="str">
        <f t="shared" ref="B2090:B2121" si="105">TEXT(A2090,"mmmm ")</f>
        <v xml:space="preserve">november </v>
      </c>
      <c r="C2090">
        <v>-109</v>
      </c>
      <c r="D2090" t="str" cm="1">
        <f t="array" ref="D2090">IFERROR(
  _xlfn.XLOOKUP(TRUE, ISNUMBER(FIND(Trefwoorden!$A$2:$A$99, E2090)), Trefwoorden!$B$2:$B$99),
  "Onbekend"
)</f>
        <v>Coolblue</v>
      </c>
      <c r="E2090" t="s">
        <v>970</v>
      </c>
      <c r="F2090" t="str">
        <f>VLOOKUP(Tabel1[[#This Row],[categorie]],Lijst!A:C,3,FALSE)</f>
        <v>Uitgave</v>
      </c>
      <c r="G2090" s="24">
        <f t="shared" ref="G2090:G2121" si="106">IF(F2090="Uitgave", -ABS(C2090), ABS(C2090))</f>
        <v>-109</v>
      </c>
      <c r="H2090" t="str">
        <f>VLOOKUP(Tabel1[[#This Row],[categorie]],Lijst!A:B,2,FALSE)</f>
        <v>Variabel</v>
      </c>
      <c r="I2090" s="24" t="str">
        <f t="shared" ref="I2090:I2121" si="107">IF(OR(AND(F2090="Uitgave", C2090&lt;0), AND(F2090="Inkomst", C2090&gt;0)), "OK", "FOUT")</f>
        <v>OK</v>
      </c>
    </row>
    <row r="2091" spans="1:9" hidden="1" x14ac:dyDescent="0.3">
      <c r="A2091" s="2">
        <v>45991</v>
      </c>
      <c r="B2091" s="24" t="str">
        <f t="shared" si="105"/>
        <v xml:space="preserve">november </v>
      </c>
      <c r="C2091">
        <v>-22.99</v>
      </c>
      <c r="D2091" t="str" cm="1">
        <f t="array" ref="D2091">IFERROR(
  _xlfn.XLOOKUP(TRUE, ISNUMBER(FIND(Trefwoorden!$A$2:$A$99, E2091)), Trefwoorden!$B$2:$B$99),
  "Onbekend"
)</f>
        <v>ICT</v>
      </c>
      <c r="E2091" t="s">
        <v>971</v>
      </c>
      <c r="F2091" t="s">
        <v>18</v>
      </c>
      <c r="G2091" s="24">
        <f t="shared" si="106"/>
        <v>-22.99</v>
      </c>
      <c r="H2091" t="str">
        <f>VLOOKUP(Tabel1[[#This Row],[categorie]],Lijst!A:B,2,FALSE)</f>
        <v>Variabel</v>
      </c>
      <c r="I2091" s="24" t="str">
        <f t="shared" si="107"/>
        <v>OK</v>
      </c>
    </row>
    <row r="2092" spans="1:9" hidden="1" x14ac:dyDescent="0.3">
      <c r="A2092" s="2">
        <v>45991</v>
      </c>
      <c r="B2092" s="24" t="str">
        <f t="shared" si="105"/>
        <v xml:space="preserve">november </v>
      </c>
      <c r="C2092">
        <v>-11.55</v>
      </c>
      <c r="D2092" t="str" cm="1">
        <f t="array" ref="D2092">IFERROR(
  _xlfn.XLOOKUP(TRUE, ISNUMBER(FIND(Trefwoorden!$A$2:$A$99, E2092)), Trefwoorden!$B$2:$B$99),
  "Onbekend"
)</f>
        <v>Laadbeurt</v>
      </c>
      <c r="E2092" t="s">
        <v>972</v>
      </c>
      <c r="F2092" t="str">
        <f>VLOOKUP(Tabel1[[#This Row],[categorie]],Lijst!A:C,3,FALSE)</f>
        <v>Uitgave</v>
      </c>
      <c r="G2092" s="24">
        <f t="shared" si="106"/>
        <v>-11.55</v>
      </c>
      <c r="H2092" t="str">
        <f>VLOOKUP(Tabel1[[#This Row],[categorie]],Lijst!A:B,2,FALSE)</f>
        <v>Vast</v>
      </c>
      <c r="I2092" s="24" t="str">
        <f t="shared" si="107"/>
        <v>OK</v>
      </c>
    </row>
    <row r="2093" spans="1:9" hidden="1" x14ac:dyDescent="0.3">
      <c r="A2093" s="2">
        <v>45990</v>
      </c>
      <c r="B2093" s="24" t="str">
        <f t="shared" si="105"/>
        <v xml:space="preserve">november </v>
      </c>
      <c r="C2093">
        <v>-74.7</v>
      </c>
      <c r="D2093" t="str" cm="1">
        <f t="array" ref="D2093">IFERROR(
  _xlfn.XLOOKUP(TRUE, ISNUMBER(FIND(Trefwoorden!$A$2:$A$99, E2093)), Trefwoorden!$B$2:$B$99),
  "Onbekend"
)</f>
        <v>voeding</v>
      </c>
      <c r="E2093" t="s">
        <v>973</v>
      </c>
      <c r="F2093" t="str">
        <f>VLOOKUP(Tabel1[[#This Row],[categorie]],Lijst!A:C,3,FALSE)</f>
        <v>Uitgave</v>
      </c>
      <c r="G2093" s="24">
        <f t="shared" si="106"/>
        <v>-74.7</v>
      </c>
      <c r="H2093" t="str">
        <f>VLOOKUP(Tabel1[[#This Row],[categorie]],Lijst!A:B,2,FALSE)</f>
        <v>Vast</v>
      </c>
      <c r="I2093" s="24" t="str">
        <f t="shared" si="107"/>
        <v>OK</v>
      </c>
    </row>
    <row r="2094" spans="1:9" hidden="1" x14ac:dyDescent="0.3">
      <c r="A2094" s="2">
        <v>45990</v>
      </c>
      <c r="B2094" s="24" t="str">
        <f t="shared" si="105"/>
        <v xml:space="preserve">november </v>
      </c>
      <c r="C2094">
        <v>-5.4</v>
      </c>
      <c r="D2094" t="str" cm="1">
        <f t="array" ref="D2094">IFERROR(
  _xlfn.XLOOKUP(TRUE, ISNUMBER(FIND(Trefwoorden!$A$2:$A$99, E2094)), Trefwoorden!$B$2:$B$99),
  "Onbekend"
)</f>
        <v>Laadbeurt</v>
      </c>
      <c r="E2094" t="s">
        <v>974</v>
      </c>
      <c r="F2094" t="str">
        <f>VLOOKUP(Tabel1[[#This Row],[categorie]],Lijst!A:C,3,FALSE)</f>
        <v>Uitgave</v>
      </c>
      <c r="G2094" s="24">
        <f t="shared" si="106"/>
        <v>-5.4</v>
      </c>
      <c r="H2094" t="str">
        <f>VLOOKUP(Tabel1[[#This Row],[categorie]],Lijst!A:B,2,FALSE)</f>
        <v>Vast</v>
      </c>
      <c r="I2094" s="24" t="str">
        <f t="shared" si="107"/>
        <v>OK</v>
      </c>
    </row>
    <row r="2095" spans="1:9" hidden="1" x14ac:dyDescent="0.3">
      <c r="A2095" s="2">
        <v>45989</v>
      </c>
      <c r="B2095" s="24" t="str">
        <f t="shared" si="105"/>
        <v xml:space="preserve">november </v>
      </c>
      <c r="C2095">
        <v>-233.83</v>
      </c>
      <c r="D2095" t="str" cm="1">
        <f t="array" ref="D2095">IFERROR(
  _xlfn.XLOOKUP(TRUE, ISNUMBER(FIND(Trefwoorden!$A$2:$A$99, E2095)), Trefwoorden!$B$2:$B$99),
  "Onbekend"
)</f>
        <v>Gezondheid</v>
      </c>
      <c r="E2095" t="s">
        <v>975</v>
      </c>
      <c r="F2095" t="s">
        <v>18</v>
      </c>
      <c r="G2095" s="24">
        <f t="shared" si="106"/>
        <v>-233.83</v>
      </c>
      <c r="H2095" t="str">
        <f>VLOOKUP(Tabel1[[#This Row],[categorie]],Lijst!A:B,2,FALSE)</f>
        <v>Vast</v>
      </c>
      <c r="I2095" s="24" t="str">
        <f t="shared" si="107"/>
        <v>OK</v>
      </c>
    </row>
    <row r="2096" spans="1:9" hidden="1" x14ac:dyDescent="0.3">
      <c r="A2096" s="2">
        <v>45989</v>
      </c>
      <c r="B2096" s="24" t="str">
        <f t="shared" si="105"/>
        <v xml:space="preserve">november </v>
      </c>
      <c r="C2096">
        <v>-11.75</v>
      </c>
      <c r="D2096" t="str" cm="1">
        <f t="array" ref="D2096">IFERROR(
  _xlfn.XLOOKUP(TRUE, ISNUMBER(FIND(Trefwoorden!$A$2:$A$99, E2096)), Trefwoorden!$B$2:$B$99),
  "Onbekend"
)</f>
        <v>voeding</v>
      </c>
      <c r="E2096" t="s">
        <v>976</v>
      </c>
      <c r="F2096" t="str">
        <f>VLOOKUP(Tabel1[[#This Row],[categorie]],Lijst!A:C,3,FALSE)</f>
        <v>Uitgave</v>
      </c>
      <c r="G2096" s="24">
        <f t="shared" si="106"/>
        <v>-11.75</v>
      </c>
      <c r="H2096" t="str">
        <f>VLOOKUP(Tabel1[[#This Row],[categorie]],Lijst!A:B,2,FALSE)</f>
        <v>Vast</v>
      </c>
      <c r="I2096" s="24" t="str">
        <f t="shared" si="107"/>
        <v>OK</v>
      </c>
    </row>
    <row r="2097" spans="1:9" hidden="1" x14ac:dyDescent="0.3">
      <c r="A2097" s="2">
        <v>45990</v>
      </c>
      <c r="B2097" s="24" t="str">
        <f t="shared" si="105"/>
        <v xml:space="preserve">november </v>
      </c>
      <c r="C2097">
        <v>50</v>
      </c>
      <c r="D2097" t="s">
        <v>75</v>
      </c>
      <c r="E2097" t="s">
        <v>977</v>
      </c>
      <c r="F2097" t="s">
        <v>17</v>
      </c>
      <c r="G2097" s="24">
        <f t="shared" si="106"/>
        <v>50</v>
      </c>
      <c r="H2097" t="str">
        <f>VLOOKUP(Tabel1[[#This Row],[categorie]],Lijst!A:B,2,FALSE)</f>
        <v>Variabel</v>
      </c>
      <c r="I2097" s="24" t="str">
        <f t="shared" si="107"/>
        <v>OK</v>
      </c>
    </row>
    <row r="2098" spans="1:9" hidden="1" x14ac:dyDescent="0.3">
      <c r="A2098" s="2">
        <v>45990</v>
      </c>
      <c r="B2098" s="24" t="str">
        <f t="shared" si="105"/>
        <v xml:space="preserve">november </v>
      </c>
      <c r="C2098">
        <v>-14.91</v>
      </c>
      <c r="D2098" t="str" cm="1">
        <f t="array" ref="D2098">IFERROR(
  _xlfn.XLOOKUP(TRUE, ISNUMBER(FIND(Trefwoorden!$A$2:$A$99, E2098)), Trefwoorden!$B$2:$B$99),
  "Onbekend"
)</f>
        <v>Bol</v>
      </c>
      <c r="E2098" t="s">
        <v>978</v>
      </c>
      <c r="F2098" t="str">
        <f>VLOOKUP(Tabel1[[#This Row],[categorie]],Lijst!A:C,3,FALSE)</f>
        <v>Uitgave</v>
      </c>
      <c r="G2098" s="24">
        <f t="shared" si="106"/>
        <v>-14.91</v>
      </c>
      <c r="H2098" t="str">
        <f>VLOOKUP(Tabel1[[#This Row],[categorie]],Lijst!A:B,2,FALSE)</f>
        <v>Variabel</v>
      </c>
      <c r="I2098" s="24" t="str">
        <f t="shared" si="107"/>
        <v>OK</v>
      </c>
    </row>
    <row r="2099" spans="1:9" hidden="1" x14ac:dyDescent="0.3">
      <c r="A2099" s="2">
        <v>45988</v>
      </c>
      <c r="B2099" s="24" t="str">
        <f t="shared" si="105"/>
        <v xml:space="preserve">november </v>
      </c>
      <c r="C2099">
        <v>-5.37</v>
      </c>
      <c r="D2099" t="str" cm="1">
        <f t="array" ref="D2099">IFERROR(
  _xlfn.XLOOKUP(TRUE, ISNUMBER(FIND(Trefwoorden!$A$2:$A$99, E2099)), Trefwoorden!$B$2:$B$99),
  "Onbekend"
)</f>
        <v>voeding</v>
      </c>
      <c r="E2099" t="s">
        <v>979</v>
      </c>
      <c r="F2099" t="str">
        <f>VLOOKUP(Tabel1[[#This Row],[categorie]],Lijst!A:C,3,FALSE)</f>
        <v>Uitgave</v>
      </c>
      <c r="G2099" s="24">
        <f t="shared" si="106"/>
        <v>-5.37</v>
      </c>
      <c r="H2099" t="str">
        <f>VLOOKUP(Tabel1[[#This Row],[categorie]],Lijst!A:B,2,FALSE)</f>
        <v>Vast</v>
      </c>
      <c r="I2099" s="24" t="str">
        <f t="shared" si="107"/>
        <v>OK</v>
      </c>
    </row>
    <row r="2100" spans="1:9" hidden="1" x14ac:dyDescent="0.3">
      <c r="A2100" s="2">
        <v>45988</v>
      </c>
      <c r="B2100" s="24" t="str">
        <f t="shared" si="105"/>
        <v xml:space="preserve">november </v>
      </c>
      <c r="C2100">
        <v>-29.73</v>
      </c>
      <c r="D2100" t="str" cm="1">
        <f t="array" ref="D2100">IFERROR(
  _xlfn.XLOOKUP(TRUE, ISNUMBER(FIND(Trefwoorden!$A$2:$A$99, E2100)), Trefwoorden!$B$2:$B$99),
  "Onbekend"
)</f>
        <v>voeding</v>
      </c>
      <c r="E2100" t="s">
        <v>980</v>
      </c>
      <c r="F2100" t="str">
        <f>VLOOKUP(Tabel1[[#This Row],[categorie]],Lijst!A:C,3,FALSE)</f>
        <v>Uitgave</v>
      </c>
      <c r="G2100" s="24">
        <f t="shared" si="106"/>
        <v>-29.73</v>
      </c>
      <c r="H2100" t="str">
        <f>VLOOKUP(Tabel1[[#This Row],[categorie]],Lijst!A:B,2,FALSE)</f>
        <v>Vast</v>
      </c>
      <c r="I2100" s="24" t="str">
        <f t="shared" si="107"/>
        <v>OK</v>
      </c>
    </row>
    <row r="2101" spans="1:9" hidden="1" x14ac:dyDescent="0.3">
      <c r="A2101" s="2">
        <v>45989</v>
      </c>
      <c r="B2101" s="24" t="str">
        <f t="shared" si="105"/>
        <v xml:space="preserve">november </v>
      </c>
      <c r="C2101">
        <v>-5.25</v>
      </c>
      <c r="D2101" t="s">
        <v>19</v>
      </c>
      <c r="E2101" t="s">
        <v>981</v>
      </c>
      <c r="F2101" t="str">
        <f>VLOOKUP(Tabel1[[#This Row],[categorie]],Lijst!A:C,3,FALSE)</f>
        <v>Uitgave</v>
      </c>
      <c r="G2101" s="24">
        <f t="shared" si="106"/>
        <v>-5.25</v>
      </c>
      <c r="H2101" t="str">
        <f>VLOOKUP(Tabel1[[#This Row],[categorie]],Lijst!A:B,2,FALSE)</f>
        <v>Vast</v>
      </c>
      <c r="I2101" s="24" t="str">
        <f t="shared" si="107"/>
        <v>OK</v>
      </c>
    </row>
    <row r="2102" spans="1:9" hidden="1" x14ac:dyDescent="0.3">
      <c r="A2102" s="2">
        <v>45988</v>
      </c>
      <c r="B2102" s="24" t="str">
        <f t="shared" si="105"/>
        <v xml:space="preserve">november </v>
      </c>
      <c r="C2102">
        <v>-15.68</v>
      </c>
      <c r="D2102" t="str" cm="1">
        <f t="array" ref="D2102">IFERROR(
  _xlfn.XLOOKUP(TRUE, ISNUMBER(FIND(Trefwoorden!$A$2:$A$99, E2102)), Trefwoorden!$B$2:$B$99),
  "Onbekend"
)</f>
        <v>voeding</v>
      </c>
      <c r="E2102" t="s">
        <v>982</v>
      </c>
      <c r="F2102" t="str">
        <f>VLOOKUP(Tabel1[[#This Row],[categorie]],Lijst!A:C,3,FALSE)</f>
        <v>Uitgave</v>
      </c>
      <c r="G2102" s="24">
        <f t="shared" si="106"/>
        <v>-15.68</v>
      </c>
      <c r="H2102" t="str">
        <f>VLOOKUP(Tabel1[[#This Row],[categorie]],Lijst!A:B,2,FALSE)</f>
        <v>Vast</v>
      </c>
      <c r="I2102" s="24" t="str">
        <f t="shared" si="107"/>
        <v>OK</v>
      </c>
    </row>
    <row r="2103" spans="1:9" hidden="1" x14ac:dyDescent="0.3">
      <c r="A2103" s="2">
        <v>45989</v>
      </c>
      <c r="B2103" s="24" t="str">
        <f t="shared" si="105"/>
        <v xml:space="preserve">november </v>
      </c>
      <c r="C2103">
        <v>-14.49</v>
      </c>
      <c r="D2103" t="str" cm="1">
        <f t="array" ref="D2103">IFERROR(
  _xlfn.XLOOKUP(TRUE, ISNUMBER(FIND(Trefwoorden!$A$2:$A$99, E2103)), Trefwoorden!$B$2:$B$99),
  "Onbekend"
)</f>
        <v>Bol</v>
      </c>
      <c r="E2103" t="s">
        <v>983</v>
      </c>
      <c r="F2103" t="str">
        <f>VLOOKUP(Tabel1[[#This Row],[categorie]],Lijst!A:C,3,FALSE)</f>
        <v>Uitgave</v>
      </c>
      <c r="G2103" s="24">
        <f t="shared" si="106"/>
        <v>-14.49</v>
      </c>
      <c r="H2103" t="str">
        <f>VLOOKUP(Tabel1[[#This Row],[categorie]],Lijst!A:B,2,FALSE)</f>
        <v>Variabel</v>
      </c>
      <c r="I2103" s="24" t="str">
        <f t="shared" si="107"/>
        <v>OK</v>
      </c>
    </row>
    <row r="2104" spans="1:9" hidden="1" x14ac:dyDescent="0.3">
      <c r="A2104" s="2">
        <v>45989</v>
      </c>
      <c r="B2104" s="24" t="str">
        <f t="shared" si="105"/>
        <v xml:space="preserve">november </v>
      </c>
      <c r="C2104">
        <v>-1.5</v>
      </c>
      <c r="D2104" t="str" cm="1">
        <f t="array" ref="D2104">IFERROR(
  _xlfn.XLOOKUP(TRUE, ISNUMBER(FIND(Trefwoorden!$A$2:$A$99, E2104)), Trefwoorden!$B$2:$B$99),
  "Onbekend"
)</f>
        <v>automaat De Lijn</v>
      </c>
      <c r="E2104" t="s">
        <v>984</v>
      </c>
      <c r="F2104" t="str">
        <f>VLOOKUP(Tabel1[[#This Row],[categorie]],Lijst!A:C,3,FALSE)</f>
        <v>Uitgave</v>
      </c>
      <c r="G2104" s="24">
        <f t="shared" si="106"/>
        <v>-1.5</v>
      </c>
      <c r="H2104" t="str">
        <f>VLOOKUP(Tabel1[[#This Row],[categorie]],Lijst!A:B,2,FALSE)</f>
        <v>Variabel</v>
      </c>
      <c r="I2104" s="24" t="str">
        <f t="shared" si="107"/>
        <v>OK</v>
      </c>
    </row>
    <row r="2105" spans="1:9" hidden="1" x14ac:dyDescent="0.3">
      <c r="A2105" s="2">
        <v>45992</v>
      </c>
      <c r="B2105" s="24" t="str">
        <f t="shared" si="105"/>
        <v xml:space="preserve">december </v>
      </c>
      <c r="C2105">
        <v>2747.5</v>
      </c>
      <c r="D2105" t="str" cm="1">
        <f t="array" ref="D2105">IFERROR(
  _xlfn.XLOOKUP(TRUE, ISNUMBER(FIND(Trefwoorden!$A$2:$A$99, E2105)), Trefwoorden!$B$2:$B$99),
  "Onbekend"
)</f>
        <v>Inkomsten Loon</v>
      </c>
      <c r="E2105" t="s">
        <v>985</v>
      </c>
      <c r="F2105" t="str">
        <f>VLOOKUP(Tabel1[[#This Row],[categorie]],Lijst!A:C,3,FALSE)</f>
        <v>Inkomst</v>
      </c>
      <c r="G2105" s="24">
        <f t="shared" si="106"/>
        <v>2747.5</v>
      </c>
      <c r="H2105" t="str">
        <f>VLOOKUP(Tabel1[[#This Row],[categorie]],Lijst!A:B,2,FALSE)</f>
        <v>Inkomsten</v>
      </c>
      <c r="I2105" s="24" t="str">
        <f t="shared" si="107"/>
        <v>OK</v>
      </c>
    </row>
    <row r="2106" spans="1:9" hidden="1" x14ac:dyDescent="0.3">
      <c r="A2106" s="2">
        <v>45992</v>
      </c>
      <c r="B2106" s="24" t="str">
        <f t="shared" si="105"/>
        <v xml:space="preserve">december </v>
      </c>
      <c r="C2106">
        <v>2376.23</v>
      </c>
      <c r="D2106" t="str" cm="1">
        <f t="array" ref="D2106">IFERROR(
  _xlfn.XLOOKUP(TRUE, ISNUMBER(FIND(Trefwoorden!$A$2:$A$99, E2106)), Trefwoorden!$B$2:$B$99),
  "Onbekend"
)</f>
        <v>Inkomsten Loon</v>
      </c>
      <c r="E2106" t="s">
        <v>986</v>
      </c>
      <c r="F2106" t="str">
        <f>VLOOKUP(Tabel1[[#This Row],[categorie]],Lijst!A:C,3,FALSE)</f>
        <v>Inkomst</v>
      </c>
      <c r="G2106" s="24">
        <f t="shared" si="106"/>
        <v>2376.23</v>
      </c>
      <c r="H2106" t="str">
        <f>VLOOKUP(Tabel1[[#This Row],[categorie]],Lijst!A:B,2,FALSE)</f>
        <v>Inkomsten</v>
      </c>
      <c r="I2106" s="24" t="str">
        <f t="shared" si="107"/>
        <v>OK</v>
      </c>
    </row>
    <row r="2107" spans="1:9" hidden="1" x14ac:dyDescent="0.3">
      <c r="A2107" s="2">
        <v>45988</v>
      </c>
      <c r="B2107" s="24" t="str">
        <f t="shared" si="105"/>
        <v xml:space="preserve">november </v>
      </c>
      <c r="C2107">
        <v>-4.8600000000000003</v>
      </c>
      <c r="D2107" t="str" cm="1">
        <f t="array" ref="D2107">IFERROR(
  _xlfn.XLOOKUP(TRUE, ISNUMBER(FIND(Trefwoorden!$A$2:$A$99, E2107)), Trefwoorden!$B$2:$B$99),
  "Onbekend"
)</f>
        <v>Laadbeurt</v>
      </c>
      <c r="E2107" t="s">
        <v>987</v>
      </c>
      <c r="F2107" t="str">
        <f>VLOOKUP(Tabel1[[#This Row],[categorie]],Lijst!A:C,3,FALSE)</f>
        <v>Uitgave</v>
      </c>
      <c r="G2107" s="24">
        <f t="shared" si="106"/>
        <v>-4.8600000000000003</v>
      </c>
      <c r="H2107" t="str">
        <f>VLOOKUP(Tabel1[[#This Row],[categorie]],Lijst!A:B,2,FALSE)</f>
        <v>Vast</v>
      </c>
      <c r="I2107" s="24" t="str">
        <f t="shared" si="107"/>
        <v>OK</v>
      </c>
    </row>
    <row r="2108" spans="1:9" hidden="1" x14ac:dyDescent="0.3">
      <c r="A2108" s="2">
        <v>45988</v>
      </c>
      <c r="B2108" s="24" t="str">
        <f t="shared" si="105"/>
        <v xml:space="preserve">november </v>
      </c>
      <c r="C2108">
        <v>-69.22</v>
      </c>
      <c r="D2108" t="str" cm="1">
        <f t="array" ref="D2108">IFERROR(
  _xlfn.XLOOKUP(TRUE, ISNUMBER(FIND(Trefwoorden!$A$2:$A$99, E2108)), Trefwoorden!$B$2:$B$99),
  "Onbekend"
)</f>
        <v>kledij</v>
      </c>
      <c r="E2108" t="s">
        <v>988</v>
      </c>
      <c r="F2108" t="str">
        <f>VLOOKUP(Tabel1[[#This Row],[categorie]],Lijst!A:C,3,FALSE)</f>
        <v>Uitgave</v>
      </c>
      <c r="G2108" s="24">
        <f t="shared" si="106"/>
        <v>-69.22</v>
      </c>
      <c r="H2108" t="str">
        <f>VLOOKUP(Tabel1[[#This Row],[categorie]],Lijst!A:B,2,FALSE)</f>
        <v>Variabel</v>
      </c>
      <c r="I2108" s="24" t="str">
        <f t="shared" si="107"/>
        <v>OK</v>
      </c>
    </row>
    <row r="2109" spans="1:9" hidden="1" x14ac:dyDescent="0.3">
      <c r="A2109" s="2">
        <v>45988</v>
      </c>
      <c r="B2109" s="24" t="str">
        <f t="shared" si="105"/>
        <v xml:space="preserve">november </v>
      </c>
      <c r="C2109">
        <v>-1.2</v>
      </c>
      <c r="D2109" t="str" cm="1">
        <f t="array" ref="D2109">IFERROR(
  _xlfn.XLOOKUP(TRUE, ISNUMBER(FIND(Trefwoorden!$A$2:$A$99, E2109)), Trefwoorden!$B$2:$B$99),
  "Onbekend"
)</f>
        <v>automaat De Lijn</v>
      </c>
      <c r="E2109" t="s">
        <v>989</v>
      </c>
      <c r="F2109" t="str">
        <f>VLOOKUP(Tabel1[[#This Row],[categorie]],Lijst!A:C,3,FALSE)</f>
        <v>Uitgave</v>
      </c>
      <c r="G2109" s="24">
        <f t="shared" si="106"/>
        <v>-1.2</v>
      </c>
      <c r="H2109" t="str">
        <f>VLOOKUP(Tabel1[[#This Row],[categorie]],Lijst!A:B,2,FALSE)</f>
        <v>Variabel</v>
      </c>
      <c r="I2109" s="24" t="str">
        <f t="shared" si="107"/>
        <v>OK</v>
      </c>
    </row>
    <row r="2110" spans="1:9" hidden="1" x14ac:dyDescent="0.3">
      <c r="A2110" s="2">
        <v>45988</v>
      </c>
      <c r="B2110" s="24" t="str">
        <f t="shared" si="105"/>
        <v xml:space="preserve">november </v>
      </c>
      <c r="C2110">
        <v>-0.9</v>
      </c>
      <c r="D2110" t="str" cm="1">
        <f t="array" ref="D2110">IFERROR(
  _xlfn.XLOOKUP(TRUE, ISNUMBER(FIND(Trefwoorden!$A$2:$A$99, E2110)), Trefwoorden!$B$2:$B$99),
  "Onbekend"
)</f>
        <v>automaat De Lijn</v>
      </c>
      <c r="E2110" t="s">
        <v>990</v>
      </c>
      <c r="F2110" t="str">
        <f>VLOOKUP(Tabel1[[#This Row],[categorie]],Lijst!A:C,3,FALSE)</f>
        <v>Uitgave</v>
      </c>
      <c r="G2110" s="24">
        <f t="shared" si="106"/>
        <v>-0.9</v>
      </c>
      <c r="H2110" t="str">
        <f>VLOOKUP(Tabel1[[#This Row],[categorie]],Lijst!A:B,2,FALSE)</f>
        <v>Variabel</v>
      </c>
      <c r="I2110" s="24" t="str">
        <f t="shared" si="107"/>
        <v>OK</v>
      </c>
    </row>
    <row r="2111" spans="1:9" hidden="1" x14ac:dyDescent="0.3">
      <c r="A2111" s="2">
        <v>45988</v>
      </c>
      <c r="B2111" s="24" t="str">
        <f t="shared" si="105"/>
        <v xml:space="preserve">november </v>
      </c>
      <c r="C2111">
        <v>-26</v>
      </c>
      <c r="D2111" t="str" cm="1">
        <f t="array" ref="D2111">IFERROR(
  _xlfn.XLOOKUP(TRUE, ISNUMBER(FIND(Trefwoorden!$A$2:$A$99, E2111)), Trefwoorden!$B$2:$B$99),
  "Onbekend"
)</f>
        <v>Gezondheid</v>
      </c>
      <c r="E2111" t="s">
        <v>991</v>
      </c>
      <c r="F2111" t="s">
        <v>18</v>
      </c>
      <c r="G2111" s="24">
        <f t="shared" si="106"/>
        <v>-26</v>
      </c>
      <c r="H2111" t="str">
        <f>VLOOKUP(Tabel1[[#This Row],[categorie]],Lijst!A:B,2,FALSE)</f>
        <v>Vast</v>
      </c>
      <c r="I2111" s="24" t="str">
        <f t="shared" si="107"/>
        <v>OK</v>
      </c>
    </row>
    <row r="2112" spans="1:9" hidden="1" x14ac:dyDescent="0.3">
      <c r="A2112" s="2">
        <v>45986</v>
      </c>
      <c r="B2112" s="24" t="str">
        <f t="shared" si="105"/>
        <v xml:space="preserve">november </v>
      </c>
      <c r="C2112">
        <v>-1.87</v>
      </c>
      <c r="D2112" t="str" cm="1">
        <f t="array" ref="D2112">IFERROR(
  _xlfn.XLOOKUP(TRUE, ISNUMBER(FIND(Trefwoorden!$A$2:$A$99, E2112)), Trefwoorden!$B$2:$B$99),
  "Onbekend"
)</f>
        <v>voeding</v>
      </c>
      <c r="E2112" t="s">
        <v>992</v>
      </c>
      <c r="F2112" t="str">
        <f>VLOOKUP(Tabel1[[#This Row],[categorie]],Lijst!A:C,3,FALSE)</f>
        <v>Uitgave</v>
      </c>
      <c r="G2112" s="24">
        <f t="shared" si="106"/>
        <v>-1.87</v>
      </c>
      <c r="H2112" t="str">
        <f>VLOOKUP(Tabel1[[#This Row],[categorie]],Lijst!A:B,2,FALSE)</f>
        <v>Vast</v>
      </c>
      <c r="I2112" s="24" t="str">
        <f t="shared" si="107"/>
        <v>OK</v>
      </c>
    </row>
    <row r="2113" spans="1:9" hidden="1" x14ac:dyDescent="0.3">
      <c r="A2113" s="2">
        <v>45986</v>
      </c>
      <c r="B2113" s="24" t="str">
        <f t="shared" si="105"/>
        <v xml:space="preserve">november </v>
      </c>
      <c r="C2113">
        <v>-104.98</v>
      </c>
      <c r="D2113" t="s">
        <v>32</v>
      </c>
      <c r="E2113" t="s">
        <v>993</v>
      </c>
      <c r="F2113" t="str">
        <f>VLOOKUP(Tabel1[[#This Row],[categorie]],Lijst!A:C,3,FALSE)</f>
        <v>Uitgave</v>
      </c>
      <c r="G2113" s="24">
        <f t="shared" si="106"/>
        <v>-104.98</v>
      </c>
      <c r="H2113" t="str">
        <f>VLOOKUP(Tabel1[[#This Row],[categorie]],Lijst!A:B,2,FALSE)</f>
        <v>Variabel</v>
      </c>
      <c r="I2113" s="24" t="str">
        <f t="shared" si="107"/>
        <v>OK</v>
      </c>
    </row>
    <row r="2114" spans="1:9" hidden="1" x14ac:dyDescent="0.3">
      <c r="A2114" s="2">
        <v>45987</v>
      </c>
      <c r="B2114" s="24" t="str">
        <f t="shared" si="105"/>
        <v xml:space="preserve">november </v>
      </c>
      <c r="C2114">
        <v>-5</v>
      </c>
      <c r="D2114" t="s">
        <v>75</v>
      </c>
      <c r="E2114" t="s">
        <v>994</v>
      </c>
      <c r="F2114" t="s">
        <v>18</v>
      </c>
      <c r="G2114" s="24">
        <f t="shared" si="106"/>
        <v>-5</v>
      </c>
      <c r="H2114" t="str">
        <f>VLOOKUP(Tabel1[[#This Row],[categorie]],Lijst!A:B,2,FALSE)</f>
        <v>Variabel</v>
      </c>
      <c r="I2114" s="24" t="str">
        <f t="shared" si="107"/>
        <v>OK</v>
      </c>
    </row>
    <row r="2115" spans="1:9" hidden="1" x14ac:dyDescent="0.3">
      <c r="A2115" s="2">
        <v>45987</v>
      </c>
      <c r="B2115" s="24" t="str">
        <f t="shared" si="105"/>
        <v xml:space="preserve">november </v>
      </c>
      <c r="C2115">
        <v>-38</v>
      </c>
      <c r="D2115" t="str" cm="1">
        <f t="array" ref="D2115">IFERROR(
  _xlfn.XLOOKUP(TRUE, ISNUMBER(FIND(Trefwoorden!$A$2:$A$99, E2115)), Trefwoorden!$B$2:$B$99),
  "Onbekend"
)</f>
        <v>kledij</v>
      </c>
      <c r="E2115" t="s">
        <v>995</v>
      </c>
      <c r="F2115" t="str">
        <f>VLOOKUP(Tabel1[[#This Row],[categorie]],Lijst!A:C,3,FALSE)</f>
        <v>Uitgave</v>
      </c>
      <c r="G2115" s="24">
        <f t="shared" si="106"/>
        <v>-38</v>
      </c>
      <c r="H2115" t="str">
        <f>VLOOKUP(Tabel1[[#This Row],[categorie]],Lijst!A:B,2,FALSE)</f>
        <v>Variabel</v>
      </c>
      <c r="I2115" s="24" t="str">
        <f t="shared" si="107"/>
        <v>OK</v>
      </c>
    </row>
    <row r="2116" spans="1:9" hidden="1" x14ac:dyDescent="0.3">
      <c r="A2116" s="2">
        <v>45987</v>
      </c>
      <c r="B2116" s="24" t="str">
        <f t="shared" si="105"/>
        <v xml:space="preserve">november </v>
      </c>
      <c r="C2116">
        <v>-1.5</v>
      </c>
      <c r="D2116" t="str" cm="1">
        <f t="array" ref="D2116">IFERROR(
  _xlfn.XLOOKUP(TRUE, ISNUMBER(FIND(Trefwoorden!$A$2:$A$99, E2116)), Trefwoorden!$B$2:$B$99),
  "Onbekend"
)</f>
        <v>automaat De Lijn</v>
      </c>
      <c r="E2116" t="s">
        <v>996</v>
      </c>
      <c r="F2116" t="str">
        <f>VLOOKUP(Tabel1[[#This Row],[categorie]],Lijst!A:C,3,FALSE)</f>
        <v>Uitgave</v>
      </c>
      <c r="G2116" s="24">
        <f t="shared" si="106"/>
        <v>-1.5</v>
      </c>
      <c r="H2116" t="str">
        <f>VLOOKUP(Tabel1[[#This Row],[categorie]],Lijst!A:B,2,FALSE)</f>
        <v>Variabel</v>
      </c>
      <c r="I2116" s="24" t="str">
        <f t="shared" si="107"/>
        <v>OK</v>
      </c>
    </row>
    <row r="2117" spans="1:9" hidden="1" x14ac:dyDescent="0.3">
      <c r="A2117" s="2">
        <v>45987</v>
      </c>
      <c r="B2117" s="24" t="str">
        <f t="shared" si="105"/>
        <v xml:space="preserve">november </v>
      </c>
      <c r="C2117">
        <v>-120.98</v>
      </c>
      <c r="D2117" t="str" cm="1">
        <f t="array" ref="D2117">IFERROR(
  _xlfn.XLOOKUP(TRUE, ISNUMBER(FIND(Trefwoorden!$A$2:$A$99, E2117)), Trefwoorden!$B$2:$B$99),
  "Onbekend"
)</f>
        <v>AXA</v>
      </c>
      <c r="E2117" t="s">
        <v>997</v>
      </c>
      <c r="F2117" t="str">
        <f>VLOOKUP(Tabel1[[#This Row],[categorie]],Lijst!A:C,3,FALSE)</f>
        <v>Uitgave</v>
      </c>
      <c r="G2117" s="24">
        <f t="shared" si="106"/>
        <v>-120.98</v>
      </c>
      <c r="H2117" t="str">
        <f>VLOOKUP(Tabel1[[#This Row],[categorie]],Lijst!A:B,2,FALSE)</f>
        <v>Vast</v>
      </c>
      <c r="I2117" s="24" t="str">
        <f t="shared" si="107"/>
        <v>OK</v>
      </c>
    </row>
    <row r="2118" spans="1:9" hidden="1" x14ac:dyDescent="0.3">
      <c r="A2118" s="2">
        <v>45986</v>
      </c>
      <c r="B2118" s="24" t="str">
        <f t="shared" si="105"/>
        <v xml:space="preserve">november </v>
      </c>
      <c r="C2118">
        <v>-2.59</v>
      </c>
      <c r="D2118" t="str" cm="1">
        <f t="array" ref="D2118">IFERROR(
  _xlfn.XLOOKUP(TRUE, ISNUMBER(FIND(Trefwoorden!$A$2:$A$99, E2118)), Trefwoorden!$B$2:$B$99),
  "Onbekend"
)</f>
        <v>Laadbeurt</v>
      </c>
      <c r="E2118" t="s">
        <v>998</v>
      </c>
      <c r="F2118" t="str">
        <f>VLOOKUP(Tabel1[[#This Row],[categorie]],Lijst!A:C,3,FALSE)</f>
        <v>Uitgave</v>
      </c>
      <c r="G2118" s="24">
        <f t="shared" si="106"/>
        <v>-2.59</v>
      </c>
      <c r="H2118" t="str">
        <f>VLOOKUP(Tabel1[[#This Row],[categorie]],Lijst!A:B,2,FALSE)</f>
        <v>Vast</v>
      </c>
      <c r="I2118" s="24" t="str">
        <f t="shared" si="107"/>
        <v>OK</v>
      </c>
    </row>
    <row r="2119" spans="1:9" hidden="1" x14ac:dyDescent="0.3">
      <c r="A2119" s="2">
        <v>45986</v>
      </c>
      <c r="B2119" s="24" t="str">
        <f t="shared" si="105"/>
        <v xml:space="preserve">november </v>
      </c>
      <c r="C2119">
        <v>-60.04</v>
      </c>
      <c r="D2119" t="str" cm="1">
        <f t="array" ref="D2119">IFERROR(
  _xlfn.XLOOKUP(TRUE, ISNUMBER(FIND(Trefwoorden!$A$2:$A$99, E2119)), Trefwoorden!$B$2:$B$99),
  "Onbekend"
)</f>
        <v>Bol</v>
      </c>
      <c r="E2119" t="s">
        <v>999</v>
      </c>
      <c r="F2119" t="str">
        <f>VLOOKUP(Tabel1[[#This Row],[categorie]],Lijst!A:C,3,FALSE)</f>
        <v>Uitgave</v>
      </c>
      <c r="G2119" s="24">
        <f t="shared" si="106"/>
        <v>-60.04</v>
      </c>
      <c r="H2119" t="str">
        <f>VLOOKUP(Tabel1[[#This Row],[categorie]],Lijst!A:B,2,FALSE)</f>
        <v>Variabel</v>
      </c>
      <c r="I2119" s="24" t="str">
        <f t="shared" si="107"/>
        <v>OK</v>
      </c>
    </row>
    <row r="2120" spans="1:9" hidden="1" x14ac:dyDescent="0.3">
      <c r="A2120" s="2">
        <v>45985</v>
      </c>
      <c r="B2120" s="24" t="str">
        <f t="shared" si="105"/>
        <v xml:space="preserve">november </v>
      </c>
      <c r="C2120">
        <v>-8.98</v>
      </c>
      <c r="D2120" t="str" cm="1">
        <f t="array" ref="D2120">IFERROR(
  _xlfn.XLOOKUP(TRUE, ISNUMBER(FIND(Trefwoorden!$A$2:$A$99, E2120)), Trefwoorden!$B$2:$B$99),
  "Onbekend"
)</f>
        <v>voeding</v>
      </c>
      <c r="E2120" t="s">
        <v>1000</v>
      </c>
      <c r="F2120" t="str">
        <f>VLOOKUP(Tabel1[[#This Row],[categorie]],Lijst!A:C,3,FALSE)</f>
        <v>Uitgave</v>
      </c>
      <c r="G2120" s="24">
        <f t="shared" si="106"/>
        <v>-8.98</v>
      </c>
      <c r="H2120" t="str">
        <f>VLOOKUP(Tabel1[[#This Row],[categorie]],Lijst!A:B,2,FALSE)</f>
        <v>Vast</v>
      </c>
      <c r="I2120" s="24" t="str">
        <f t="shared" si="107"/>
        <v>OK</v>
      </c>
    </row>
    <row r="2121" spans="1:9" hidden="1" x14ac:dyDescent="0.3">
      <c r="A2121" s="2">
        <v>45985</v>
      </c>
      <c r="B2121" s="24" t="str">
        <f t="shared" si="105"/>
        <v xml:space="preserve">november </v>
      </c>
      <c r="C2121">
        <v>-13.11</v>
      </c>
      <c r="D2121" t="str" cm="1">
        <f t="array" ref="D2121">IFERROR(
  _xlfn.XLOOKUP(TRUE, ISNUMBER(FIND(Trefwoorden!$A$2:$A$99, E2121)), Trefwoorden!$B$2:$B$99),
  "Onbekend"
)</f>
        <v>voeding</v>
      </c>
      <c r="E2121" t="s">
        <v>1001</v>
      </c>
      <c r="F2121" t="str">
        <f>VLOOKUP(Tabel1[[#This Row],[categorie]],Lijst!A:C,3,FALSE)</f>
        <v>Uitgave</v>
      </c>
      <c r="G2121" s="24">
        <f t="shared" si="106"/>
        <v>-13.11</v>
      </c>
      <c r="H2121" t="str">
        <f>VLOOKUP(Tabel1[[#This Row],[categorie]],Lijst!A:B,2,FALSE)</f>
        <v>Vast</v>
      </c>
      <c r="I2121" s="24" t="str">
        <f t="shared" si="107"/>
        <v>OK</v>
      </c>
    </row>
    <row r="2122" spans="1:9" hidden="1" x14ac:dyDescent="0.3">
      <c r="A2122" s="2">
        <v>45986</v>
      </c>
      <c r="B2122" s="24" t="str">
        <f t="shared" ref="B2122:B2153" si="108">TEXT(A2122,"mmmm ")</f>
        <v xml:space="preserve">november </v>
      </c>
      <c r="C2122">
        <v>-8.82</v>
      </c>
      <c r="D2122" t="s">
        <v>82</v>
      </c>
      <c r="E2122" t="s">
        <v>1002</v>
      </c>
      <c r="F2122" t="s">
        <v>18</v>
      </c>
      <c r="G2122" s="24">
        <f t="shared" ref="G2122:G2153" si="109">IF(F2122="Uitgave", -ABS(C2122), ABS(C2122))</f>
        <v>-8.82</v>
      </c>
      <c r="H2122" t="str">
        <f>VLOOKUP(Tabel1[[#This Row],[categorie]],Lijst!A:B,2,FALSE)</f>
        <v>Vast</v>
      </c>
      <c r="I2122" s="24" t="str">
        <f t="shared" ref="I2122:I2153" si="110">IF(OR(AND(F2122="Uitgave", C2122&lt;0), AND(F2122="Inkomst", C2122&gt;0)), "OK", "FOUT")</f>
        <v>OK</v>
      </c>
    </row>
    <row r="2123" spans="1:9" hidden="1" x14ac:dyDescent="0.3">
      <c r="A2123" s="2">
        <v>45986</v>
      </c>
      <c r="B2123" s="24" t="str">
        <f t="shared" si="108"/>
        <v xml:space="preserve">november </v>
      </c>
      <c r="C2123">
        <v>-0.9</v>
      </c>
      <c r="D2123" t="str" cm="1">
        <f t="array" ref="D2123">IFERROR(
  _xlfn.XLOOKUP(TRUE, ISNUMBER(FIND(Trefwoorden!$A$2:$A$99, E2123)), Trefwoorden!$B$2:$B$99),
  "Onbekend"
)</f>
        <v>automaat De Lijn</v>
      </c>
      <c r="E2123" t="s">
        <v>1003</v>
      </c>
      <c r="F2123" t="str">
        <f>VLOOKUP(Tabel1[[#This Row],[categorie]],Lijst!A:C,3,FALSE)</f>
        <v>Uitgave</v>
      </c>
      <c r="G2123" s="24">
        <f t="shared" si="109"/>
        <v>-0.9</v>
      </c>
      <c r="H2123" t="str">
        <f>VLOOKUP(Tabel1[[#This Row],[categorie]],Lijst!A:B,2,FALSE)</f>
        <v>Variabel</v>
      </c>
      <c r="I2123" s="24" t="str">
        <f t="shared" si="110"/>
        <v>OK</v>
      </c>
    </row>
    <row r="2124" spans="1:9" hidden="1" x14ac:dyDescent="0.3">
      <c r="A2124" s="2">
        <v>45986</v>
      </c>
      <c r="B2124" s="24" t="str">
        <f t="shared" si="108"/>
        <v xml:space="preserve">november </v>
      </c>
      <c r="C2124">
        <v>12</v>
      </c>
      <c r="D2124" t="s">
        <v>32</v>
      </c>
      <c r="E2124" t="s">
        <v>1004</v>
      </c>
      <c r="F2124" t="s">
        <v>17</v>
      </c>
      <c r="G2124" s="24">
        <f t="shared" si="109"/>
        <v>12</v>
      </c>
      <c r="H2124" t="str">
        <f>VLOOKUP(Tabel1[[#This Row],[categorie]],Lijst!A:B,2,FALSE)</f>
        <v>Variabel</v>
      </c>
      <c r="I2124" s="24" t="str">
        <f t="shared" si="110"/>
        <v>OK</v>
      </c>
    </row>
    <row r="2125" spans="1:9" hidden="1" x14ac:dyDescent="0.3">
      <c r="A2125" s="2">
        <v>45985</v>
      </c>
      <c r="B2125" s="24" t="str">
        <f t="shared" si="108"/>
        <v xml:space="preserve">november </v>
      </c>
      <c r="C2125">
        <v>-5</v>
      </c>
      <c r="D2125" t="s">
        <v>75</v>
      </c>
      <c r="E2125" t="s">
        <v>1005</v>
      </c>
      <c r="F2125" t="s">
        <v>18</v>
      </c>
      <c r="G2125" s="24">
        <f t="shared" si="109"/>
        <v>-5</v>
      </c>
      <c r="H2125" t="str">
        <f>VLOOKUP(Tabel1[[#This Row],[categorie]],Lijst!A:B,2,FALSE)</f>
        <v>Variabel</v>
      </c>
      <c r="I2125" s="24" t="str">
        <f t="shared" si="110"/>
        <v>OK</v>
      </c>
    </row>
    <row r="2126" spans="1:9" hidden="1" x14ac:dyDescent="0.3">
      <c r="A2126" s="2">
        <v>45984</v>
      </c>
      <c r="B2126" s="24" t="str">
        <f t="shared" si="108"/>
        <v xml:space="preserve">november </v>
      </c>
      <c r="C2126">
        <v>-35.799999999999997</v>
      </c>
      <c r="D2126" t="s">
        <v>9</v>
      </c>
      <c r="E2126" t="s">
        <v>1006</v>
      </c>
      <c r="F2126" t="s">
        <v>18</v>
      </c>
      <c r="G2126" s="24">
        <f t="shared" si="109"/>
        <v>-35.799999999999997</v>
      </c>
      <c r="H2126" t="str">
        <f>VLOOKUP(Tabel1[[#This Row],[categorie]],Lijst!A:B,2,FALSE)</f>
        <v>Variabel</v>
      </c>
      <c r="I2126" s="24" t="str">
        <f t="shared" si="110"/>
        <v>OK</v>
      </c>
    </row>
    <row r="2127" spans="1:9" hidden="1" x14ac:dyDescent="0.3">
      <c r="A2127" s="2">
        <v>45985</v>
      </c>
      <c r="B2127" s="24" t="str">
        <f t="shared" si="108"/>
        <v xml:space="preserve">november </v>
      </c>
      <c r="C2127">
        <v>-10.73</v>
      </c>
      <c r="D2127" t="str" cm="1">
        <f t="array" ref="D2127">IFERROR(
  _xlfn.XLOOKUP(TRUE, ISNUMBER(FIND(Trefwoorden!$A$2:$A$99, E2127)), Trefwoorden!$B$2:$B$99),
  "Onbekend"
)</f>
        <v>Laadbeurt</v>
      </c>
      <c r="E2127" t="s">
        <v>1007</v>
      </c>
      <c r="F2127" t="str">
        <f>VLOOKUP(Tabel1[[#This Row],[categorie]],Lijst!A:C,3,FALSE)</f>
        <v>Uitgave</v>
      </c>
      <c r="G2127" s="24">
        <f t="shared" si="109"/>
        <v>-10.73</v>
      </c>
      <c r="H2127" t="str">
        <f>VLOOKUP(Tabel1[[#This Row],[categorie]],Lijst!A:B,2,FALSE)</f>
        <v>Vast</v>
      </c>
      <c r="I2127" s="24" t="str">
        <f t="shared" si="110"/>
        <v>OK</v>
      </c>
    </row>
    <row r="2128" spans="1:9" hidden="1" x14ac:dyDescent="0.3">
      <c r="A2128" s="2">
        <v>45983</v>
      </c>
      <c r="B2128" s="24" t="str">
        <f t="shared" si="108"/>
        <v xml:space="preserve">november </v>
      </c>
      <c r="C2128">
        <v>-11.13</v>
      </c>
      <c r="D2128" t="str" cm="1">
        <f t="array" ref="D2128">IFERROR(
  _xlfn.XLOOKUP(TRUE, ISNUMBER(FIND(Trefwoorden!$A$2:$A$99, E2128)), Trefwoorden!$B$2:$B$99),
  "Onbekend"
)</f>
        <v>voeding</v>
      </c>
      <c r="E2128" t="s">
        <v>1008</v>
      </c>
      <c r="F2128" t="str">
        <f>VLOOKUP(Tabel1[[#This Row],[categorie]],Lijst!A:C,3,FALSE)</f>
        <v>Uitgave</v>
      </c>
      <c r="G2128" s="24">
        <f t="shared" si="109"/>
        <v>-11.13</v>
      </c>
      <c r="H2128" t="str">
        <f>VLOOKUP(Tabel1[[#This Row],[categorie]],Lijst!A:B,2,FALSE)</f>
        <v>Vast</v>
      </c>
      <c r="I2128" s="24" t="str">
        <f t="shared" si="110"/>
        <v>OK</v>
      </c>
    </row>
    <row r="2129" spans="1:9" hidden="1" x14ac:dyDescent="0.3">
      <c r="A2129" s="2">
        <v>45985</v>
      </c>
      <c r="B2129" s="24" t="str">
        <f t="shared" si="108"/>
        <v xml:space="preserve">november </v>
      </c>
      <c r="C2129">
        <v>-25</v>
      </c>
      <c r="D2129" t="str" cm="1">
        <f t="array" ref="D2129">IFERROR(
  _xlfn.XLOOKUP(TRUE, ISNUMBER(FIND(Trefwoorden!$A$2:$A$99, E2129)), Trefwoorden!$B$2:$B$99),
  "Onbekend"
)</f>
        <v>kapster</v>
      </c>
      <c r="E2129" t="s">
        <v>1009</v>
      </c>
      <c r="F2129" t="str">
        <f>VLOOKUP(Tabel1[[#This Row],[categorie]],Lijst!A:C,3,FALSE)</f>
        <v>Uitgave</v>
      </c>
      <c r="G2129" s="24">
        <f t="shared" si="109"/>
        <v>-25</v>
      </c>
      <c r="H2129" t="str">
        <f>VLOOKUP(Tabel1[[#This Row],[categorie]],Lijst!A:B,2,FALSE)</f>
        <v>Vast</v>
      </c>
      <c r="I2129" s="24" t="str">
        <f t="shared" si="110"/>
        <v>OK</v>
      </c>
    </row>
    <row r="2130" spans="1:9" hidden="1" x14ac:dyDescent="0.3">
      <c r="A2130" s="2">
        <v>45985</v>
      </c>
      <c r="B2130" s="24" t="str">
        <f t="shared" si="108"/>
        <v xml:space="preserve">november </v>
      </c>
      <c r="C2130">
        <v>-34</v>
      </c>
      <c r="D2130" t="s">
        <v>32</v>
      </c>
      <c r="E2130" t="s">
        <v>1010</v>
      </c>
      <c r="F2130" t="str">
        <f>VLOOKUP(Tabel1[[#This Row],[categorie]],Lijst!A:C,3,FALSE)</f>
        <v>Uitgave</v>
      </c>
      <c r="G2130" s="24">
        <f t="shared" si="109"/>
        <v>-34</v>
      </c>
      <c r="H2130" t="str">
        <f>VLOOKUP(Tabel1[[#This Row],[categorie]],Lijst!A:B,2,FALSE)</f>
        <v>Variabel</v>
      </c>
      <c r="I2130" s="24" t="str">
        <f t="shared" si="110"/>
        <v>OK</v>
      </c>
    </row>
    <row r="2131" spans="1:9" hidden="1" x14ac:dyDescent="0.3">
      <c r="A2131" s="2">
        <v>45984</v>
      </c>
      <c r="B2131" s="24" t="str">
        <f t="shared" si="108"/>
        <v xml:space="preserve">november </v>
      </c>
      <c r="C2131">
        <v>-3.3</v>
      </c>
      <c r="D2131" t="str" cm="1">
        <f t="array" ref="D2131">IFERROR(
  _xlfn.XLOOKUP(TRUE, ISNUMBER(FIND(Trefwoorden!$A$2:$A$99, E2131)), Trefwoorden!$B$2:$B$99),
  "Onbekend"
)</f>
        <v>Laadbeurt</v>
      </c>
      <c r="E2131" t="s">
        <v>1011</v>
      </c>
      <c r="F2131" t="str">
        <f>VLOOKUP(Tabel1[[#This Row],[categorie]],Lijst!A:C,3,FALSE)</f>
        <v>Uitgave</v>
      </c>
      <c r="G2131" s="24">
        <f t="shared" si="109"/>
        <v>-3.3</v>
      </c>
      <c r="H2131" t="str">
        <f>VLOOKUP(Tabel1[[#This Row],[categorie]],Lijst!A:B,2,FALSE)</f>
        <v>Vast</v>
      </c>
      <c r="I2131" s="24" t="str">
        <f t="shared" si="110"/>
        <v>OK</v>
      </c>
    </row>
    <row r="2132" spans="1:9" hidden="1" x14ac:dyDescent="0.3">
      <c r="A2132" s="2">
        <v>45985</v>
      </c>
      <c r="B2132" s="24" t="str">
        <f t="shared" si="108"/>
        <v xml:space="preserve">november </v>
      </c>
      <c r="C2132">
        <v>-0.76</v>
      </c>
      <c r="D2132" t="s">
        <v>22</v>
      </c>
      <c r="E2132" t="s">
        <v>1012</v>
      </c>
      <c r="F2132" t="str">
        <f>VLOOKUP(Tabel1[[#This Row],[categorie]],Lijst!A:C,3,FALSE)</f>
        <v>Uitgave</v>
      </c>
      <c r="G2132" s="24">
        <f t="shared" si="109"/>
        <v>-0.76</v>
      </c>
      <c r="H2132" t="str">
        <f>VLOOKUP(Tabel1[[#This Row],[categorie]],Lijst!A:B,2,FALSE)</f>
        <v>Variabel</v>
      </c>
      <c r="I2132" s="24" t="str">
        <f t="shared" si="110"/>
        <v>OK</v>
      </c>
    </row>
    <row r="2133" spans="1:9" hidden="1" x14ac:dyDescent="0.3">
      <c r="A2133" s="2">
        <v>45985</v>
      </c>
      <c r="B2133" s="24" t="str">
        <f t="shared" si="108"/>
        <v xml:space="preserve">november </v>
      </c>
      <c r="C2133">
        <v>-10.58</v>
      </c>
      <c r="D2133" t="s">
        <v>48</v>
      </c>
      <c r="E2133" t="s">
        <v>1013</v>
      </c>
      <c r="F2133" t="s">
        <v>18</v>
      </c>
      <c r="G2133" s="24">
        <f t="shared" si="109"/>
        <v>-10.58</v>
      </c>
      <c r="H2133" t="str">
        <f>VLOOKUP(Tabel1[[#This Row],[categorie]],Lijst!A:B,2,FALSE)</f>
        <v>Variabel</v>
      </c>
      <c r="I2133" s="24" t="str">
        <f t="shared" si="110"/>
        <v>OK</v>
      </c>
    </row>
    <row r="2134" spans="1:9" hidden="1" x14ac:dyDescent="0.3">
      <c r="A2134" s="2">
        <v>45985</v>
      </c>
      <c r="B2134" s="24" t="str">
        <f t="shared" si="108"/>
        <v xml:space="preserve">november </v>
      </c>
      <c r="C2134">
        <v>-1.5</v>
      </c>
      <c r="D2134" t="str" cm="1">
        <f t="array" ref="D2134">IFERROR(
  _xlfn.XLOOKUP(TRUE, ISNUMBER(FIND(Trefwoorden!$A$2:$A$99, E2134)), Trefwoorden!$B$2:$B$99),
  "Onbekend"
)</f>
        <v>automaat De Lijn</v>
      </c>
      <c r="E2134" t="s">
        <v>1014</v>
      </c>
      <c r="F2134" t="str">
        <f>VLOOKUP(Tabel1[[#This Row],[categorie]],Lijst!A:C,3,FALSE)</f>
        <v>Uitgave</v>
      </c>
      <c r="G2134" s="24">
        <f t="shared" si="109"/>
        <v>-1.5</v>
      </c>
      <c r="H2134" t="str">
        <f>VLOOKUP(Tabel1[[#This Row],[categorie]],Lijst!A:B,2,FALSE)</f>
        <v>Variabel</v>
      </c>
      <c r="I2134" s="24" t="str">
        <f t="shared" si="110"/>
        <v>OK</v>
      </c>
    </row>
    <row r="2135" spans="1:9" hidden="1" x14ac:dyDescent="0.3">
      <c r="A2135" s="2">
        <v>45985</v>
      </c>
      <c r="B2135" s="24" t="str">
        <f t="shared" si="108"/>
        <v xml:space="preserve">november </v>
      </c>
      <c r="C2135">
        <v>-12.62</v>
      </c>
      <c r="D2135" t="str" cm="1">
        <f t="array" ref="D2135">IFERROR(
  _xlfn.XLOOKUP(TRUE, ISNUMBER(FIND(Trefwoorden!$A$2:$A$99, E2135)), Trefwoorden!$B$2:$B$99),
  "Onbekend"
)</f>
        <v>voeding</v>
      </c>
      <c r="E2135" t="s">
        <v>1015</v>
      </c>
      <c r="F2135" t="str">
        <f>VLOOKUP(Tabel1[[#This Row],[categorie]],Lijst!A:C,3,FALSE)</f>
        <v>Uitgave</v>
      </c>
      <c r="G2135" s="24">
        <f t="shared" si="109"/>
        <v>-12.62</v>
      </c>
      <c r="H2135" t="str">
        <f>VLOOKUP(Tabel1[[#This Row],[categorie]],Lijst!A:B,2,FALSE)</f>
        <v>Vast</v>
      </c>
      <c r="I2135" s="24" t="str">
        <f t="shared" si="110"/>
        <v>OK</v>
      </c>
    </row>
    <row r="2136" spans="1:9" hidden="1" x14ac:dyDescent="0.3">
      <c r="A2136" s="2">
        <v>45984</v>
      </c>
      <c r="B2136" s="24" t="str">
        <f t="shared" si="108"/>
        <v xml:space="preserve">november </v>
      </c>
      <c r="C2136">
        <v>-5.39</v>
      </c>
      <c r="D2136" t="str" cm="1">
        <f t="array" ref="D2136">IFERROR(
  _xlfn.XLOOKUP(TRUE, ISNUMBER(FIND(Trefwoorden!$A$2:$A$99, E2136)), Trefwoorden!$B$2:$B$99),
  "Onbekend"
)</f>
        <v>Laadbeurt</v>
      </c>
      <c r="E2136" t="s">
        <v>1016</v>
      </c>
      <c r="F2136" t="str">
        <f>VLOOKUP(Tabel1[[#This Row],[categorie]],Lijst!A:C,3,FALSE)</f>
        <v>Uitgave</v>
      </c>
      <c r="G2136" s="24">
        <f t="shared" si="109"/>
        <v>-5.39</v>
      </c>
      <c r="H2136" t="str">
        <f>VLOOKUP(Tabel1[[#This Row],[categorie]],Lijst!A:B,2,FALSE)</f>
        <v>Vast</v>
      </c>
      <c r="I2136" s="24" t="str">
        <f t="shared" si="110"/>
        <v>OK</v>
      </c>
    </row>
    <row r="2137" spans="1:9" hidden="1" x14ac:dyDescent="0.3">
      <c r="A2137" s="2">
        <v>45983</v>
      </c>
      <c r="B2137" s="24" t="str">
        <f t="shared" si="108"/>
        <v xml:space="preserve">november </v>
      </c>
      <c r="C2137">
        <v>-16</v>
      </c>
      <c r="D2137" t="str" cm="1">
        <f t="array" ref="D2137">IFERROR(
  _xlfn.XLOOKUP(TRUE, ISNUMBER(FIND(Trefwoorden!$A$2:$A$99, E2137)), Trefwoorden!$B$2:$B$99),
  "Onbekend"
)</f>
        <v>voeding</v>
      </c>
      <c r="E2137" t="s">
        <v>1017</v>
      </c>
      <c r="F2137" t="str">
        <f>VLOOKUP(Tabel1[[#This Row],[categorie]],Lijst!A:C,3,FALSE)</f>
        <v>Uitgave</v>
      </c>
      <c r="G2137" s="24">
        <f t="shared" si="109"/>
        <v>-16</v>
      </c>
      <c r="H2137" t="str">
        <f>VLOOKUP(Tabel1[[#This Row],[categorie]],Lijst!A:B,2,FALSE)</f>
        <v>Vast</v>
      </c>
      <c r="I2137" s="24" t="str">
        <f t="shared" si="110"/>
        <v>OK</v>
      </c>
    </row>
    <row r="2138" spans="1:9" hidden="1" x14ac:dyDescent="0.3">
      <c r="A2138" s="2">
        <v>45983</v>
      </c>
      <c r="B2138" s="24" t="str">
        <f t="shared" si="108"/>
        <v xml:space="preserve">november </v>
      </c>
      <c r="C2138">
        <v>-14.36</v>
      </c>
      <c r="D2138" t="str" cm="1">
        <f t="array" ref="D2138">IFERROR(
  _xlfn.XLOOKUP(TRUE, ISNUMBER(FIND(Trefwoorden!$A$2:$A$99, E2138)), Trefwoorden!$B$2:$B$99),
  "Onbekend"
)</f>
        <v>voeding</v>
      </c>
      <c r="E2138" t="s">
        <v>1018</v>
      </c>
      <c r="F2138" t="str">
        <f>VLOOKUP(Tabel1[[#This Row],[categorie]],Lijst!A:C,3,FALSE)</f>
        <v>Uitgave</v>
      </c>
      <c r="G2138" s="24">
        <f t="shared" si="109"/>
        <v>-14.36</v>
      </c>
      <c r="H2138" t="str">
        <f>VLOOKUP(Tabel1[[#This Row],[categorie]],Lijst!A:B,2,FALSE)</f>
        <v>Vast</v>
      </c>
      <c r="I2138" s="24" t="str">
        <f t="shared" si="110"/>
        <v>OK</v>
      </c>
    </row>
    <row r="2139" spans="1:9" hidden="1" x14ac:dyDescent="0.3">
      <c r="A2139" s="2">
        <v>45982</v>
      </c>
      <c r="B2139" s="24" t="str">
        <f t="shared" si="108"/>
        <v xml:space="preserve">november </v>
      </c>
      <c r="C2139">
        <v>-100</v>
      </c>
      <c r="D2139" t="s">
        <v>75</v>
      </c>
      <c r="E2139" t="s">
        <v>1019</v>
      </c>
      <c r="F2139" t="s">
        <v>18</v>
      </c>
      <c r="G2139" s="24">
        <f t="shared" si="109"/>
        <v>-100</v>
      </c>
      <c r="H2139" t="str">
        <f>VLOOKUP(Tabel1[[#This Row],[categorie]],Lijst!A:B,2,FALSE)</f>
        <v>Variabel</v>
      </c>
      <c r="I2139" s="24" t="str">
        <f t="shared" si="110"/>
        <v>OK</v>
      </c>
    </row>
    <row r="2140" spans="1:9" hidden="1" x14ac:dyDescent="0.3">
      <c r="A2140" s="2">
        <v>45984</v>
      </c>
      <c r="B2140" s="24" t="str">
        <f t="shared" si="108"/>
        <v xml:space="preserve">november </v>
      </c>
      <c r="C2140">
        <v>-1.73</v>
      </c>
      <c r="D2140" t="str" cm="1">
        <f t="array" ref="D2140">IFERROR(
  _xlfn.XLOOKUP(TRUE, ISNUMBER(FIND(Trefwoorden!$A$2:$A$99, E2140)), Trefwoorden!$B$2:$B$99),
  "Onbekend"
)</f>
        <v>Parkeren</v>
      </c>
      <c r="E2140" t="s">
        <v>1020</v>
      </c>
      <c r="F2140" t="str">
        <f>VLOOKUP(Tabel1[[#This Row],[categorie]],Lijst!A:C,3,FALSE)</f>
        <v>Uitgave</v>
      </c>
      <c r="G2140" s="24">
        <f t="shared" si="109"/>
        <v>-1.73</v>
      </c>
      <c r="H2140" t="str">
        <f>VLOOKUP(Tabel1[[#This Row],[categorie]],Lijst!A:B,2,FALSE)</f>
        <v>Variabel</v>
      </c>
      <c r="I2140" s="24" t="str">
        <f t="shared" si="110"/>
        <v>OK</v>
      </c>
    </row>
    <row r="2141" spans="1:9" hidden="1" x14ac:dyDescent="0.3">
      <c r="A2141" s="2">
        <v>45984</v>
      </c>
      <c r="B2141" s="24" t="str">
        <f t="shared" si="108"/>
        <v xml:space="preserve">november </v>
      </c>
      <c r="C2141">
        <v>50</v>
      </c>
      <c r="D2141" t="s">
        <v>75</v>
      </c>
      <c r="E2141" t="s">
        <v>1021</v>
      </c>
      <c r="F2141" t="s">
        <v>17</v>
      </c>
      <c r="G2141" s="24">
        <f t="shared" si="109"/>
        <v>50</v>
      </c>
      <c r="H2141" t="str">
        <f>VLOOKUP(Tabel1[[#This Row],[categorie]],Lijst!A:B,2,FALSE)</f>
        <v>Variabel</v>
      </c>
      <c r="I2141" s="24" t="str">
        <f t="shared" si="110"/>
        <v>OK</v>
      </c>
    </row>
    <row r="2142" spans="1:9" hidden="1" x14ac:dyDescent="0.3">
      <c r="A2142" s="2">
        <v>45983</v>
      </c>
      <c r="B2142" s="24" t="str">
        <f t="shared" si="108"/>
        <v xml:space="preserve">november </v>
      </c>
      <c r="C2142">
        <v>-26.9</v>
      </c>
      <c r="D2142" t="s">
        <v>68</v>
      </c>
      <c r="E2142" t="s">
        <v>1022</v>
      </c>
      <c r="F2142" t="str">
        <f>VLOOKUP(Tabel1[[#This Row],[categorie]],Lijst!A:C,3,FALSE)</f>
        <v>Uitgave</v>
      </c>
      <c r="G2142" s="24">
        <f t="shared" si="109"/>
        <v>-26.9</v>
      </c>
      <c r="H2142" t="str">
        <f>VLOOKUP(Tabel1[[#This Row],[categorie]],Lijst!A:B,2,FALSE)</f>
        <v>Variabel</v>
      </c>
      <c r="I2142" s="24" t="str">
        <f t="shared" si="110"/>
        <v>OK</v>
      </c>
    </row>
    <row r="2143" spans="1:9" hidden="1" x14ac:dyDescent="0.3">
      <c r="A2143" s="2">
        <v>45982</v>
      </c>
      <c r="B2143" s="24" t="str">
        <f t="shared" si="108"/>
        <v xml:space="preserve">november </v>
      </c>
      <c r="C2143">
        <v>-5.35</v>
      </c>
      <c r="D2143" t="str" cm="1">
        <f t="array" ref="D2143">IFERROR(
  _xlfn.XLOOKUP(TRUE, ISNUMBER(FIND(Trefwoorden!$A$2:$A$99, E2143)), Trefwoorden!$B$2:$B$99),
  "Onbekend"
)</f>
        <v>voeding</v>
      </c>
      <c r="E2143" t="s">
        <v>1023</v>
      </c>
      <c r="F2143" t="str">
        <f>VLOOKUP(Tabel1[[#This Row],[categorie]],Lijst!A:C,3,FALSE)</f>
        <v>Uitgave</v>
      </c>
      <c r="G2143" s="24">
        <f t="shared" si="109"/>
        <v>-5.35</v>
      </c>
      <c r="H2143" t="str">
        <f>VLOOKUP(Tabel1[[#This Row],[categorie]],Lijst!A:B,2,FALSE)</f>
        <v>Vast</v>
      </c>
      <c r="I2143" s="24" t="str">
        <f t="shared" si="110"/>
        <v>OK</v>
      </c>
    </row>
    <row r="2144" spans="1:9" hidden="1" x14ac:dyDescent="0.3">
      <c r="A2144" s="2">
        <v>45982</v>
      </c>
      <c r="B2144" s="24" t="str">
        <f t="shared" si="108"/>
        <v xml:space="preserve">november </v>
      </c>
      <c r="C2144">
        <v>-52.4</v>
      </c>
      <c r="D2144" t="str" cm="1">
        <f t="array" ref="D2144">IFERROR(
  _xlfn.XLOOKUP(TRUE, ISNUMBER(FIND(Trefwoorden!$A$2:$A$99, E2144)), Trefwoorden!$B$2:$B$99),
  "Onbekend"
)</f>
        <v>voeding</v>
      </c>
      <c r="E2144" t="s">
        <v>1024</v>
      </c>
      <c r="F2144" t="str">
        <f>VLOOKUP(Tabel1[[#This Row],[categorie]],Lijst!A:C,3,FALSE)</f>
        <v>Uitgave</v>
      </c>
      <c r="G2144" s="24">
        <f t="shared" si="109"/>
        <v>-52.4</v>
      </c>
      <c r="H2144" t="str">
        <f>VLOOKUP(Tabel1[[#This Row],[categorie]],Lijst!A:B,2,FALSE)</f>
        <v>Vast</v>
      </c>
      <c r="I2144" s="24" t="str">
        <f t="shared" si="110"/>
        <v>OK</v>
      </c>
    </row>
    <row r="2145" spans="1:9" hidden="1" x14ac:dyDescent="0.3">
      <c r="A2145" s="2">
        <v>45983</v>
      </c>
      <c r="B2145" s="24" t="str">
        <f t="shared" si="108"/>
        <v xml:space="preserve">november </v>
      </c>
      <c r="C2145">
        <v>-9</v>
      </c>
      <c r="D2145" t="s">
        <v>3</v>
      </c>
      <c r="E2145" t="s">
        <v>1025</v>
      </c>
      <c r="F2145" t="str">
        <f>VLOOKUP(Tabel1[[#This Row],[categorie]],Lijst!A:C,3,FALSE)</f>
        <v>Uitgave</v>
      </c>
      <c r="G2145" s="24">
        <f t="shared" si="109"/>
        <v>-9</v>
      </c>
      <c r="H2145" t="str">
        <f>VLOOKUP(Tabel1[[#This Row],[categorie]],Lijst!A:B,2,FALSE)</f>
        <v>Vast</v>
      </c>
      <c r="I2145" s="24" t="str">
        <f t="shared" si="110"/>
        <v>OK</v>
      </c>
    </row>
    <row r="2146" spans="1:9" hidden="1" x14ac:dyDescent="0.3">
      <c r="A2146" s="2">
        <v>45982</v>
      </c>
      <c r="B2146" s="24" t="str">
        <f t="shared" si="108"/>
        <v xml:space="preserve">november </v>
      </c>
      <c r="C2146">
        <v>-5.21</v>
      </c>
      <c r="D2146" t="str" cm="1">
        <f t="array" ref="D2146">IFERROR(
  _xlfn.XLOOKUP(TRUE, ISNUMBER(FIND(Trefwoorden!$A$2:$A$99, E2146)), Trefwoorden!$B$2:$B$99),
  "Onbekend"
)</f>
        <v>Laadbeurt</v>
      </c>
      <c r="E2146" t="s">
        <v>1026</v>
      </c>
      <c r="F2146" t="str">
        <f>VLOOKUP(Tabel1[[#This Row],[categorie]],Lijst!A:C,3,FALSE)</f>
        <v>Uitgave</v>
      </c>
      <c r="G2146" s="24">
        <f t="shared" si="109"/>
        <v>-5.21</v>
      </c>
      <c r="H2146" t="str">
        <f>VLOOKUP(Tabel1[[#This Row],[categorie]],Lijst!A:B,2,FALSE)</f>
        <v>Vast</v>
      </c>
      <c r="I2146" s="24" t="str">
        <f t="shared" si="110"/>
        <v>OK</v>
      </c>
    </row>
    <row r="2147" spans="1:9" hidden="1" x14ac:dyDescent="0.3">
      <c r="A2147" s="2">
        <v>45982</v>
      </c>
      <c r="B2147" s="24" t="str">
        <f t="shared" si="108"/>
        <v xml:space="preserve">november </v>
      </c>
      <c r="C2147">
        <v>-19.190000000000001</v>
      </c>
      <c r="D2147" t="str" cm="1">
        <f t="array" ref="D2147">IFERROR(
  _xlfn.XLOOKUP(TRUE, ISNUMBER(FIND(Trefwoorden!$A$2:$A$99, E2147)), Trefwoorden!$B$2:$B$99),
  "Onbekend"
)</f>
        <v>kledij</v>
      </c>
      <c r="E2147" t="s">
        <v>1027</v>
      </c>
      <c r="F2147" t="str">
        <f>VLOOKUP(Tabel1[[#This Row],[categorie]],Lijst!A:C,3,FALSE)</f>
        <v>Uitgave</v>
      </c>
      <c r="G2147" s="24">
        <f t="shared" si="109"/>
        <v>-19.190000000000001</v>
      </c>
      <c r="H2147" t="str">
        <f>VLOOKUP(Tabel1[[#This Row],[categorie]],Lijst!A:B,2,FALSE)</f>
        <v>Variabel</v>
      </c>
      <c r="I2147" s="24" t="str">
        <f t="shared" si="110"/>
        <v>OK</v>
      </c>
    </row>
    <row r="2148" spans="1:9" hidden="1" x14ac:dyDescent="0.3">
      <c r="A2148" s="2">
        <v>45981</v>
      </c>
      <c r="B2148" s="24" t="str">
        <f t="shared" si="108"/>
        <v xml:space="preserve">november </v>
      </c>
      <c r="C2148">
        <v>-24.1</v>
      </c>
      <c r="D2148" t="str" cm="1">
        <f t="array" ref="D2148">IFERROR(
  _xlfn.XLOOKUP(TRUE, ISNUMBER(FIND(Trefwoorden!$A$2:$A$99, E2148)), Trefwoorden!$B$2:$B$99),
  "Onbekend"
)</f>
        <v>Ikea</v>
      </c>
      <c r="E2148" t="s">
        <v>1028</v>
      </c>
      <c r="F2148" t="str">
        <f>VLOOKUP(Tabel1[[#This Row],[categorie]],Lijst!A:C,3,FALSE)</f>
        <v>Uitgave</v>
      </c>
      <c r="G2148" s="24">
        <f t="shared" si="109"/>
        <v>-24.1</v>
      </c>
      <c r="H2148" t="str">
        <f>VLOOKUP(Tabel1[[#This Row],[categorie]],Lijst!A:B,2,FALSE)</f>
        <v>Variabel</v>
      </c>
      <c r="I2148" s="24" t="str">
        <f t="shared" si="110"/>
        <v>OK</v>
      </c>
    </row>
    <row r="2149" spans="1:9" hidden="1" x14ac:dyDescent="0.3">
      <c r="A2149" s="2">
        <v>45981</v>
      </c>
      <c r="B2149" s="24" t="str">
        <f t="shared" si="108"/>
        <v xml:space="preserve">november </v>
      </c>
      <c r="C2149">
        <v>-44.3</v>
      </c>
      <c r="D2149" t="str" cm="1">
        <f t="array" ref="D2149">IFERROR(
  _xlfn.XLOOKUP(TRUE, ISNUMBER(FIND(Trefwoorden!$A$2:$A$99, E2149)), Trefwoorden!$B$2:$B$99),
  "Onbekend"
)</f>
        <v>Ikea</v>
      </c>
      <c r="E2149" t="s">
        <v>1029</v>
      </c>
      <c r="F2149" t="str">
        <f>VLOOKUP(Tabel1[[#This Row],[categorie]],Lijst!A:C,3,FALSE)</f>
        <v>Uitgave</v>
      </c>
      <c r="G2149" s="24">
        <f t="shared" si="109"/>
        <v>-44.3</v>
      </c>
      <c r="H2149" t="str">
        <f>VLOOKUP(Tabel1[[#This Row],[categorie]],Lijst!A:B,2,FALSE)</f>
        <v>Variabel</v>
      </c>
      <c r="I2149" s="24" t="str">
        <f t="shared" si="110"/>
        <v>OK</v>
      </c>
    </row>
    <row r="2150" spans="1:9" hidden="1" x14ac:dyDescent="0.3">
      <c r="A2150" s="2">
        <v>45981</v>
      </c>
      <c r="B2150" s="24" t="str">
        <f t="shared" si="108"/>
        <v xml:space="preserve">november </v>
      </c>
      <c r="C2150">
        <v>-3.5</v>
      </c>
      <c r="D2150" t="str" cm="1">
        <f t="array" ref="D2150">IFERROR(
  _xlfn.XLOOKUP(TRUE, ISNUMBER(FIND(Trefwoorden!$A$2:$A$99, E2150)), Trefwoorden!$B$2:$B$99),
  "Onbekend"
)</f>
        <v>voeding</v>
      </c>
      <c r="E2150" t="s">
        <v>1030</v>
      </c>
      <c r="F2150" t="str">
        <f>VLOOKUP(Tabel1[[#This Row],[categorie]],Lijst!A:C,3,FALSE)</f>
        <v>Uitgave</v>
      </c>
      <c r="G2150" s="24">
        <f t="shared" si="109"/>
        <v>-3.5</v>
      </c>
      <c r="H2150" t="str">
        <f>VLOOKUP(Tabel1[[#This Row],[categorie]],Lijst!A:B,2,FALSE)</f>
        <v>Vast</v>
      </c>
      <c r="I2150" s="24" t="str">
        <f t="shared" si="110"/>
        <v>OK</v>
      </c>
    </row>
    <row r="2151" spans="1:9" hidden="1" x14ac:dyDescent="0.3">
      <c r="A2151" s="2">
        <v>45982</v>
      </c>
      <c r="B2151" s="24" t="str">
        <f t="shared" si="108"/>
        <v xml:space="preserve">november </v>
      </c>
      <c r="C2151">
        <v>-27</v>
      </c>
      <c r="D2151" t="str" cm="1">
        <f t="array" ref="D2151">IFERROR(
  _xlfn.XLOOKUP(TRUE, ISNUMBER(FIND(Trefwoorden!$A$2:$A$99, E2151)), Trefwoorden!$B$2:$B$99),
  "Onbekend"
)</f>
        <v>voeding</v>
      </c>
      <c r="E2151" t="s">
        <v>1031</v>
      </c>
      <c r="F2151" t="str">
        <f>VLOOKUP(Tabel1[[#This Row],[categorie]],Lijst!A:C,3,FALSE)</f>
        <v>Uitgave</v>
      </c>
      <c r="G2151" s="24">
        <f t="shared" si="109"/>
        <v>-27</v>
      </c>
      <c r="H2151" t="str">
        <f>VLOOKUP(Tabel1[[#This Row],[categorie]],Lijst!A:B,2,FALSE)</f>
        <v>Vast</v>
      </c>
      <c r="I2151" s="24" t="str">
        <f t="shared" si="110"/>
        <v>OK</v>
      </c>
    </row>
    <row r="2152" spans="1:9" hidden="1" x14ac:dyDescent="0.3">
      <c r="A2152" s="2">
        <v>45982</v>
      </c>
      <c r="B2152" s="24" t="str">
        <f t="shared" si="108"/>
        <v xml:space="preserve">november </v>
      </c>
      <c r="C2152">
        <v>-1.1000000000000001</v>
      </c>
      <c r="D2152" t="str" cm="1">
        <f t="array" ref="D2152">IFERROR(
  _xlfn.XLOOKUP(TRUE, ISNUMBER(FIND(Trefwoorden!$A$2:$A$99, E2152)), Trefwoorden!$B$2:$B$99),
  "Onbekend"
)</f>
        <v>automaat De Lijn</v>
      </c>
      <c r="E2152" t="s">
        <v>1032</v>
      </c>
      <c r="F2152" t="str">
        <f>VLOOKUP(Tabel1[[#This Row],[categorie]],Lijst!A:C,3,FALSE)</f>
        <v>Uitgave</v>
      </c>
      <c r="G2152" s="24">
        <f t="shared" si="109"/>
        <v>-1.1000000000000001</v>
      </c>
      <c r="H2152" t="str">
        <f>VLOOKUP(Tabel1[[#This Row],[categorie]],Lijst!A:B,2,FALSE)</f>
        <v>Variabel</v>
      </c>
      <c r="I2152" s="24" t="str">
        <f t="shared" si="110"/>
        <v>OK</v>
      </c>
    </row>
    <row r="2153" spans="1:9" hidden="1" x14ac:dyDescent="0.3">
      <c r="A2153" s="2">
        <v>45982</v>
      </c>
      <c r="B2153" s="24" t="str">
        <f t="shared" si="108"/>
        <v xml:space="preserve">november </v>
      </c>
      <c r="C2153">
        <v>-1.5</v>
      </c>
      <c r="D2153" t="str" cm="1">
        <f t="array" ref="D2153">IFERROR(
  _xlfn.XLOOKUP(TRUE, ISNUMBER(FIND(Trefwoorden!$A$2:$A$99, E2153)), Trefwoorden!$B$2:$B$99),
  "Onbekend"
)</f>
        <v>automaat De Lijn</v>
      </c>
      <c r="E2153" t="s">
        <v>1033</v>
      </c>
      <c r="F2153" t="str">
        <f>VLOOKUP(Tabel1[[#This Row],[categorie]],Lijst!A:C,3,FALSE)</f>
        <v>Uitgave</v>
      </c>
      <c r="G2153" s="24">
        <f t="shared" si="109"/>
        <v>-1.5</v>
      </c>
      <c r="H2153" t="str">
        <f>VLOOKUP(Tabel1[[#This Row],[categorie]],Lijst!A:B,2,FALSE)</f>
        <v>Variabel</v>
      </c>
      <c r="I2153" s="24" t="str">
        <f t="shared" si="110"/>
        <v>OK</v>
      </c>
    </row>
    <row r="2154" spans="1:9" hidden="1" x14ac:dyDescent="0.3">
      <c r="A2154" s="2">
        <v>45982</v>
      </c>
      <c r="B2154" s="24" t="str">
        <f t="shared" ref="B2154:B2185" si="111">TEXT(A2154,"mmmm ")</f>
        <v xml:space="preserve">november </v>
      </c>
      <c r="C2154">
        <v>13.49</v>
      </c>
      <c r="D2154" t="s">
        <v>3</v>
      </c>
      <c r="E2154" t="s">
        <v>1034</v>
      </c>
      <c r="F2154" t="s">
        <v>17</v>
      </c>
      <c r="G2154" s="24">
        <f t="shared" ref="G2154:G2185" si="112">IF(F2154="Uitgave", -ABS(C2154), ABS(C2154))</f>
        <v>13.49</v>
      </c>
      <c r="H2154" t="str">
        <f>VLOOKUP(Tabel1[[#This Row],[categorie]],Lijst!A:B,2,FALSE)</f>
        <v>Vast</v>
      </c>
      <c r="I2154" s="24" t="str">
        <f t="shared" ref="I2154:I2185" si="113">IF(OR(AND(F2154="Uitgave", C2154&lt;0), AND(F2154="Inkomst", C2154&gt;0)), "OK", "FOUT")</f>
        <v>OK</v>
      </c>
    </row>
    <row r="2155" spans="1:9" hidden="1" x14ac:dyDescent="0.3">
      <c r="A2155" s="2">
        <v>45982</v>
      </c>
      <c r="B2155" s="24" t="str">
        <f t="shared" si="111"/>
        <v xml:space="preserve">november </v>
      </c>
      <c r="C2155">
        <v>-53.29</v>
      </c>
      <c r="D2155" t="str" cm="1">
        <f t="array" ref="D2155">IFERROR(
  _xlfn.XLOOKUP(TRUE, ISNUMBER(FIND(Trefwoorden!$A$2:$A$99, E2155)), Trefwoorden!$B$2:$B$99),
  "Onbekend"
)</f>
        <v>AXA</v>
      </c>
      <c r="E2155" t="s">
        <v>1035</v>
      </c>
      <c r="F2155" t="str">
        <f>VLOOKUP(Tabel1[[#This Row],[categorie]],Lijst!A:C,3,FALSE)</f>
        <v>Uitgave</v>
      </c>
      <c r="G2155" s="24">
        <f t="shared" si="112"/>
        <v>-53.29</v>
      </c>
      <c r="H2155" t="str">
        <f>VLOOKUP(Tabel1[[#This Row],[categorie]],Lijst!A:B,2,FALSE)</f>
        <v>Vast</v>
      </c>
      <c r="I2155" s="24" t="str">
        <f t="shared" si="113"/>
        <v>OK</v>
      </c>
    </row>
    <row r="2156" spans="1:9" hidden="1" x14ac:dyDescent="0.3">
      <c r="A2156" s="2">
        <v>45981</v>
      </c>
      <c r="B2156" s="24" t="str">
        <f t="shared" si="111"/>
        <v xml:space="preserve">november </v>
      </c>
      <c r="C2156">
        <v>-25.9</v>
      </c>
      <c r="D2156" t="s">
        <v>32</v>
      </c>
      <c r="E2156" t="s">
        <v>1036</v>
      </c>
      <c r="F2156" t="str">
        <f>VLOOKUP(Tabel1[[#This Row],[categorie]],Lijst!A:C,3,FALSE)</f>
        <v>Uitgave</v>
      </c>
      <c r="G2156" s="24">
        <f t="shared" si="112"/>
        <v>-25.9</v>
      </c>
      <c r="H2156" t="str">
        <f>VLOOKUP(Tabel1[[#This Row],[categorie]],Lijst!A:B,2,FALSE)</f>
        <v>Variabel</v>
      </c>
      <c r="I2156" s="24" t="str">
        <f t="shared" si="113"/>
        <v>OK</v>
      </c>
    </row>
    <row r="2157" spans="1:9" hidden="1" x14ac:dyDescent="0.3">
      <c r="A2157" s="2">
        <v>45981</v>
      </c>
      <c r="B2157" s="24" t="str">
        <f t="shared" si="111"/>
        <v xml:space="preserve">november </v>
      </c>
      <c r="C2157">
        <v>-17.39</v>
      </c>
      <c r="D2157" t="s">
        <v>75</v>
      </c>
      <c r="E2157" t="s">
        <v>1037</v>
      </c>
      <c r="F2157" t="s">
        <v>18</v>
      </c>
      <c r="G2157" s="24">
        <f t="shared" si="112"/>
        <v>-17.39</v>
      </c>
      <c r="H2157" t="str">
        <f>VLOOKUP(Tabel1[[#This Row],[categorie]],Lijst!A:B,2,FALSE)</f>
        <v>Variabel</v>
      </c>
      <c r="I2157" s="24" t="str">
        <f t="shared" si="113"/>
        <v>OK</v>
      </c>
    </row>
    <row r="2158" spans="1:9" hidden="1" x14ac:dyDescent="0.3">
      <c r="A2158" s="2">
        <v>45981</v>
      </c>
      <c r="B2158" s="24" t="str">
        <f t="shared" si="111"/>
        <v xml:space="preserve">november </v>
      </c>
      <c r="C2158">
        <v>-5.65</v>
      </c>
      <c r="D2158" t="str" cm="1">
        <f t="array" ref="D2158">IFERROR(
  _xlfn.XLOOKUP(TRUE, ISNUMBER(FIND(Trefwoorden!$A$2:$A$99, E2158)), Trefwoorden!$B$2:$B$99),
  "Onbekend"
)</f>
        <v>Laadbeurt</v>
      </c>
      <c r="E2158" t="s">
        <v>1038</v>
      </c>
      <c r="F2158" t="str">
        <f>VLOOKUP(Tabel1[[#This Row],[categorie]],Lijst!A:C,3,FALSE)</f>
        <v>Uitgave</v>
      </c>
      <c r="G2158" s="24">
        <f t="shared" si="112"/>
        <v>-5.65</v>
      </c>
      <c r="H2158" t="str">
        <f>VLOOKUP(Tabel1[[#This Row],[categorie]],Lijst!A:B,2,FALSE)</f>
        <v>Vast</v>
      </c>
      <c r="I2158" s="24" t="str">
        <f t="shared" si="113"/>
        <v>OK</v>
      </c>
    </row>
    <row r="2159" spans="1:9" hidden="1" x14ac:dyDescent="0.3">
      <c r="A2159" s="2">
        <v>45981</v>
      </c>
      <c r="B2159" s="24" t="str">
        <f t="shared" si="111"/>
        <v xml:space="preserve">november </v>
      </c>
      <c r="C2159">
        <v>-6.35</v>
      </c>
      <c r="D2159" t="str" cm="1">
        <f t="array" ref="D2159">IFERROR(
  _xlfn.XLOOKUP(TRUE, ISNUMBER(FIND(Trefwoorden!$A$2:$A$99, E2159)), Trefwoorden!$B$2:$B$99),
  "Onbekend"
)</f>
        <v>Parkeren</v>
      </c>
      <c r="E2159" t="s">
        <v>1039</v>
      </c>
      <c r="F2159" t="str">
        <f>VLOOKUP(Tabel1[[#This Row],[categorie]],Lijst!A:C,3,FALSE)</f>
        <v>Uitgave</v>
      </c>
      <c r="G2159" s="24">
        <f t="shared" si="112"/>
        <v>-6.35</v>
      </c>
      <c r="H2159" t="str">
        <f>VLOOKUP(Tabel1[[#This Row],[categorie]],Lijst!A:B,2,FALSE)</f>
        <v>Variabel</v>
      </c>
      <c r="I2159" s="24" t="str">
        <f t="shared" si="113"/>
        <v>OK</v>
      </c>
    </row>
    <row r="2160" spans="1:9" hidden="1" x14ac:dyDescent="0.3">
      <c r="A2160" s="2">
        <v>45981</v>
      </c>
      <c r="B2160" s="24" t="str">
        <f t="shared" si="111"/>
        <v xml:space="preserve">november </v>
      </c>
      <c r="C2160">
        <v>53.93</v>
      </c>
      <c r="D2160" t="str" cm="1">
        <f t="array" ref="D2160">IFERROR(
  _xlfn.XLOOKUP(TRUE, ISNUMBER(FIND(Trefwoorden!$A$2:$A$99, E2160)), Trefwoorden!$B$2:$B$99),
  "Onbekend"
)</f>
        <v>kledij</v>
      </c>
      <c r="E2160" t="s">
        <v>1040</v>
      </c>
      <c r="F2160" t="s">
        <v>17</v>
      </c>
      <c r="G2160" s="24">
        <f t="shared" si="112"/>
        <v>53.93</v>
      </c>
      <c r="H2160" t="str">
        <f>VLOOKUP(Tabel1[[#This Row],[categorie]],Lijst!A:B,2,FALSE)</f>
        <v>Variabel</v>
      </c>
      <c r="I2160" s="24" t="str">
        <f t="shared" si="113"/>
        <v>OK</v>
      </c>
    </row>
    <row r="2161" spans="1:9" hidden="1" x14ac:dyDescent="0.3">
      <c r="A2161" s="2">
        <v>45980</v>
      </c>
      <c r="B2161" s="24" t="str">
        <f t="shared" si="111"/>
        <v xml:space="preserve">november </v>
      </c>
      <c r="C2161">
        <v>-15.99</v>
      </c>
      <c r="D2161" t="s">
        <v>35</v>
      </c>
      <c r="E2161" t="s">
        <v>1041</v>
      </c>
      <c r="F2161" t="str">
        <f>VLOOKUP(Tabel1[[#This Row],[categorie]],Lijst!A:C,3,FALSE)</f>
        <v>Uitgave</v>
      </c>
      <c r="G2161" s="24">
        <f t="shared" si="112"/>
        <v>-15.99</v>
      </c>
      <c r="H2161" t="str">
        <f>VLOOKUP(Tabel1[[#This Row],[categorie]],Lijst!A:B,2,FALSE)</f>
        <v>Variabel</v>
      </c>
      <c r="I2161" s="24" t="str">
        <f t="shared" si="113"/>
        <v>OK</v>
      </c>
    </row>
    <row r="2162" spans="1:9" hidden="1" x14ac:dyDescent="0.3">
      <c r="A2162" s="2">
        <v>45981</v>
      </c>
      <c r="B2162" s="24" t="str">
        <f t="shared" si="111"/>
        <v xml:space="preserve">november </v>
      </c>
      <c r="C2162">
        <v>-1.5</v>
      </c>
      <c r="D2162" t="str" cm="1">
        <f t="array" ref="D2162">IFERROR(
  _xlfn.XLOOKUP(TRUE, ISNUMBER(FIND(Trefwoorden!$A$2:$A$99, E2162)), Trefwoorden!$B$2:$B$99),
  "Onbekend"
)</f>
        <v>automaat De Lijn</v>
      </c>
      <c r="E2162" t="s">
        <v>1042</v>
      </c>
      <c r="F2162" t="str">
        <f>VLOOKUP(Tabel1[[#This Row],[categorie]],Lijst!A:C,3,FALSE)</f>
        <v>Uitgave</v>
      </c>
      <c r="G2162" s="24">
        <f t="shared" si="112"/>
        <v>-1.5</v>
      </c>
      <c r="H2162" t="str">
        <f>VLOOKUP(Tabel1[[#This Row],[categorie]],Lijst!A:B,2,FALSE)</f>
        <v>Variabel</v>
      </c>
      <c r="I2162" s="24" t="str">
        <f t="shared" si="113"/>
        <v>OK</v>
      </c>
    </row>
    <row r="2163" spans="1:9" hidden="1" x14ac:dyDescent="0.3">
      <c r="A2163" s="2">
        <v>45981</v>
      </c>
      <c r="B2163" s="24" t="str">
        <f t="shared" si="111"/>
        <v xml:space="preserve">november </v>
      </c>
      <c r="C2163">
        <v>-6</v>
      </c>
      <c r="D2163" t="s">
        <v>30</v>
      </c>
      <c r="E2163" t="s">
        <v>1043</v>
      </c>
      <c r="F2163" t="str">
        <f>VLOOKUP(Tabel1[[#This Row],[categorie]],Lijst!A:C,3,FALSE)</f>
        <v>Uitgave</v>
      </c>
      <c r="G2163" s="24">
        <f t="shared" si="112"/>
        <v>-6</v>
      </c>
      <c r="H2163" t="str">
        <f>VLOOKUP(Tabel1[[#This Row],[categorie]],Lijst!A:B,2,FALSE)</f>
        <v>Vast</v>
      </c>
      <c r="I2163" s="24" t="str">
        <f t="shared" si="113"/>
        <v>OK</v>
      </c>
    </row>
    <row r="2164" spans="1:9" hidden="1" x14ac:dyDescent="0.3">
      <c r="A2164" s="2">
        <v>45980</v>
      </c>
      <c r="B2164" s="24" t="str">
        <f t="shared" si="111"/>
        <v xml:space="preserve">november </v>
      </c>
      <c r="C2164">
        <v>-5</v>
      </c>
      <c r="D2164" t="s">
        <v>31</v>
      </c>
      <c r="E2164" t="s">
        <v>1044</v>
      </c>
      <c r="F2164" t="str">
        <f>VLOOKUP(Tabel1[[#This Row],[categorie]],Lijst!A:C,3,FALSE)</f>
        <v>Uitgave</v>
      </c>
      <c r="G2164" s="24">
        <f t="shared" si="112"/>
        <v>-5</v>
      </c>
      <c r="H2164" t="str">
        <f>VLOOKUP(Tabel1[[#This Row],[categorie]],Lijst!A:B,2,FALSE)</f>
        <v>Vast</v>
      </c>
      <c r="I2164" s="24" t="str">
        <f t="shared" si="113"/>
        <v>OK</v>
      </c>
    </row>
    <row r="2165" spans="1:9" hidden="1" x14ac:dyDescent="0.3">
      <c r="A2165" s="2">
        <v>45979</v>
      </c>
      <c r="B2165" s="24" t="str">
        <f t="shared" si="111"/>
        <v xml:space="preserve">november </v>
      </c>
      <c r="C2165">
        <v>-2.79</v>
      </c>
      <c r="D2165" t="str" cm="1">
        <f t="array" ref="D2165">IFERROR(
  _xlfn.XLOOKUP(TRUE, ISNUMBER(FIND(Trefwoorden!$A$2:$A$99, E2165)), Trefwoorden!$B$2:$B$99),
  "Onbekend"
)</f>
        <v>voeding</v>
      </c>
      <c r="E2165" t="s">
        <v>1045</v>
      </c>
      <c r="F2165" t="str">
        <f>VLOOKUP(Tabel1[[#This Row],[categorie]],Lijst!A:C,3,FALSE)</f>
        <v>Uitgave</v>
      </c>
      <c r="G2165" s="24">
        <f t="shared" si="112"/>
        <v>-2.79</v>
      </c>
      <c r="H2165" t="str">
        <f>VLOOKUP(Tabel1[[#This Row],[categorie]],Lijst!A:B,2,FALSE)</f>
        <v>Vast</v>
      </c>
      <c r="I2165" s="24" t="str">
        <f t="shared" si="113"/>
        <v>OK</v>
      </c>
    </row>
    <row r="2166" spans="1:9" hidden="1" x14ac:dyDescent="0.3">
      <c r="A2166" s="2">
        <v>45980</v>
      </c>
      <c r="B2166" s="24" t="str">
        <f t="shared" si="111"/>
        <v xml:space="preserve">november </v>
      </c>
      <c r="C2166">
        <v>-62</v>
      </c>
      <c r="D2166" t="s">
        <v>14</v>
      </c>
      <c r="E2166" t="s">
        <v>1046</v>
      </c>
      <c r="F2166" t="str">
        <f>VLOOKUP(Tabel1[[#This Row],[categorie]],Lijst!A:C,3,FALSE)</f>
        <v>Uitgave</v>
      </c>
      <c r="G2166" s="24">
        <f t="shared" si="112"/>
        <v>-62</v>
      </c>
      <c r="H2166" t="str">
        <f>VLOOKUP(Tabel1[[#This Row],[categorie]],Lijst!A:B,2,FALSE)</f>
        <v>Variabel</v>
      </c>
      <c r="I2166" s="24" t="str">
        <f t="shared" si="113"/>
        <v>OK</v>
      </c>
    </row>
    <row r="2167" spans="1:9" hidden="1" x14ac:dyDescent="0.3">
      <c r="A2167" s="2">
        <v>45980</v>
      </c>
      <c r="B2167" s="24" t="str">
        <f t="shared" si="111"/>
        <v xml:space="preserve">november </v>
      </c>
      <c r="C2167">
        <v>-14</v>
      </c>
      <c r="D2167" t="s">
        <v>75</v>
      </c>
      <c r="E2167" t="s">
        <v>1047</v>
      </c>
      <c r="F2167" t="s">
        <v>18</v>
      </c>
      <c r="G2167" s="24">
        <f t="shared" si="112"/>
        <v>-14</v>
      </c>
      <c r="H2167" t="str">
        <f>VLOOKUP(Tabel1[[#This Row],[categorie]],Lijst!A:B,2,FALSE)</f>
        <v>Variabel</v>
      </c>
      <c r="I2167" s="24" t="str">
        <f t="shared" si="113"/>
        <v>OK</v>
      </c>
    </row>
    <row r="2168" spans="1:9" hidden="1" x14ac:dyDescent="0.3">
      <c r="A2168" s="2">
        <v>45980</v>
      </c>
      <c r="B2168" s="24" t="str">
        <f t="shared" si="111"/>
        <v xml:space="preserve">november </v>
      </c>
      <c r="C2168">
        <v>-1.5</v>
      </c>
      <c r="D2168" t="str" cm="1">
        <f t="array" ref="D2168">IFERROR(
  _xlfn.XLOOKUP(TRUE, ISNUMBER(FIND(Trefwoorden!$A$2:$A$99, E2168)), Trefwoorden!$B$2:$B$99),
  "Onbekend"
)</f>
        <v>automaat De Lijn</v>
      </c>
      <c r="E2168" t="s">
        <v>1048</v>
      </c>
      <c r="F2168" t="str">
        <f>VLOOKUP(Tabel1[[#This Row],[categorie]],Lijst!A:C,3,FALSE)</f>
        <v>Uitgave</v>
      </c>
      <c r="G2168" s="24">
        <f t="shared" si="112"/>
        <v>-1.5</v>
      </c>
      <c r="H2168" t="str">
        <f>VLOOKUP(Tabel1[[#This Row],[categorie]],Lijst!A:B,2,FALSE)</f>
        <v>Variabel</v>
      </c>
      <c r="I2168" s="24" t="str">
        <f t="shared" si="113"/>
        <v>OK</v>
      </c>
    </row>
    <row r="2169" spans="1:9" hidden="1" x14ac:dyDescent="0.3">
      <c r="A2169" s="2">
        <v>45979</v>
      </c>
      <c r="B2169" s="24" t="str">
        <f t="shared" si="111"/>
        <v xml:space="preserve">november </v>
      </c>
      <c r="C2169">
        <v>-1.5</v>
      </c>
      <c r="D2169" t="str" cm="1">
        <f t="array" ref="D2169">IFERROR(
  _xlfn.XLOOKUP(TRUE, ISNUMBER(FIND(Trefwoorden!$A$2:$A$99, E2169)), Trefwoorden!$B$2:$B$99),
  "Onbekend"
)</f>
        <v>automaat De Lijn</v>
      </c>
      <c r="E2169" t="s">
        <v>1049</v>
      </c>
      <c r="F2169" t="str">
        <f>VLOOKUP(Tabel1[[#This Row],[categorie]],Lijst!A:C,3,FALSE)</f>
        <v>Uitgave</v>
      </c>
      <c r="G2169" s="24">
        <f t="shared" si="112"/>
        <v>-1.5</v>
      </c>
      <c r="H2169" t="str">
        <f>VLOOKUP(Tabel1[[#This Row],[categorie]],Lijst!A:B,2,FALSE)</f>
        <v>Variabel</v>
      </c>
      <c r="I2169" s="24" t="str">
        <f t="shared" si="113"/>
        <v>OK</v>
      </c>
    </row>
    <row r="2170" spans="1:9" hidden="1" x14ac:dyDescent="0.3">
      <c r="A2170" s="2">
        <v>45979</v>
      </c>
      <c r="B2170" s="24" t="str">
        <f t="shared" si="111"/>
        <v xml:space="preserve">november </v>
      </c>
      <c r="C2170">
        <v>5</v>
      </c>
      <c r="D2170" t="s">
        <v>32</v>
      </c>
      <c r="E2170" t="s">
        <v>1050</v>
      </c>
      <c r="F2170" t="s">
        <v>17</v>
      </c>
      <c r="G2170" s="24">
        <f t="shared" si="112"/>
        <v>5</v>
      </c>
      <c r="H2170" t="str">
        <f>VLOOKUP(Tabel1[[#This Row],[categorie]],Lijst!A:B,2,FALSE)</f>
        <v>Variabel</v>
      </c>
      <c r="I2170" s="24" t="str">
        <f t="shared" si="113"/>
        <v>OK</v>
      </c>
    </row>
    <row r="2171" spans="1:9" hidden="1" x14ac:dyDescent="0.3">
      <c r="A2171" s="2">
        <v>45978</v>
      </c>
      <c r="B2171" s="24" t="str">
        <f t="shared" si="111"/>
        <v xml:space="preserve">november </v>
      </c>
      <c r="C2171">
        <v>-16.989999999999998</v>
      </c>
      <c r="D2171" t="s">
        <v>48</v>
      </c>
      <c r="E2171" t="s">
        <v>1051</v>
      </c>
      <c r="F2171" t="s">
        <v>18</v>
      </c>
      <c r="G2171" s="24">
        <f t="shared" si="112"/>
        <v>-16.989999999999998</v>
      </c>
      <c r="H2171" t="str">
        <f>VLOOKUP(Tabel1[[#This Row],[categorie]],Lijst!A:B,2,FALSE)</f>
        <v>Variabel</v>
      </c>
      <c r="I2171" s="24" t="str">
        <f t="shared" si="113"/>
        <v>OK</v>
      </c>
    </row>
    <row r="2172" spans="1:9" hidden="1" x14ac:dyDescent="0.3">
      <c r="A2172" s="2">
        <v>45978</v>
      </c>
      <c r="B2172" s="24" t="str">
        <f t="shared" si="111"/>
        <v xml:space="preserve">november </v>
      </c>
      <c r="C2172">
        <v>-12.55</v>
      </c>
      <c r="D2172" t="str" cm="1">
        <f t="array" ref="D2172">IFERROR(
  _xlfn.XLOOKUP(TRUE, ISNUMBER(FIND(Trefwoorden!$A$2:$A$99, E2172)), Trefwoorden!$B$2:$B$99),
  "Onbekend"
)</f>
        <v>Laadbeurt</v>
      </c>
      <c r="E2172" t="s">
        <v>1052</v>
      </c>
      <c r="F2172" t="str">
        <f>VLOOKUP(Tabel1[[#This Row],[categorie]],Lijst!A:C,3,FALSE)</f>
        <v>Uitgave</v>
      </c>
      <c r="G2172" s="24">
        <f t="shared" si="112"/>
        <v>-12.55</v>
      </c>
      <c r="H2172" t="str">
        <f>VLOOKUP(Tabel1[[#This Row],[categorie]],Lijst!A:B,2,FALSE)</f>
        <v>Vast</v>
      </c>
      <c r="I2172" s="24" t="str">
        <f t="shared" si="113"/>
        <v>OK</v>
      </c>
    </row>
    <row r="2173" spans="1:9" hidden="1" x14ac:dyDescent="0.3">
      <c r="A2173" s="2">
        <v>45976</v>
      </c>
      <c r="B2173" s="24" t="str">
        <f t="shared" si="111"/>
        <v xml:space="preserve">november </v>
      </c>
      <c r="C2173">
        <v>-30</v>
      </c>
      <c r="D2173" t="str" cm="1">
        <f t="array" ref="D2173">IFERROR(
  _xlfn.XLOOKUP(TRUE, ISNUMBER(FIND(Trefwoorden!$A$2:$A$99, E2173)), Trefwoorden!$B$2:$B$99),
  "Onbekend"
)</f>
        <v>voeding</v>
      </c>
      <c r="E2173" t="s">
        <v>1053</v>
      </c>
      <c r="F2173" t="str">
        <f>VLOOKUP(Tabel1[[#This Row],[categorie]],Lijst!A:C,3,FALSE)</f>
        <v>Uitgave</v>
      </c>
      <c r="G2173" s="24">
        <f t="shared" si="112"/>
        <v>-30</v>
      </c>
      <c r="H2173" t="str">
        <f>VLOOKUP(Tabel1[[#This Row],[categorie]],Lijst!A:B,2,FALSE)</f>
        <v>Vast</v>
      </c>
      <c r="I2173" s="24" t="str">
        <f t="shared" si="113"/>
        <v>OK</v>
      </c>
    </row>
    <row r="2174" spans="1:9" hidden="1" x14ac:dyDescent="0.3">
      <c r="A2174" s="2">
        <v>45976</v>
      </c>
      <c r="B2174" s="24" t="str">
        <f t="shared" si="111"/>
        <v xml:space="preserve">november </v>
      </c>
      <c r="C2174">
        <v>-4.82</v>
      </c>
      <c r="D2174" t="str" cm="1">
        <f t="array" ref="D2174">IFERROR(
  _xlfn.XLOOKUP(TRUE, ISNUMBER(FIND(Trefwoorden!$A$2:$A$99, E2174)), Trefwoorden!$B$2:$B$99),
  "Onbekend"
)</f>
        <v>voeding</v>
      </c>
      <c r="E2174" t="s">
        <v>1054</v>
      </c>
      <c r="F2174" t="str">
        <f>VLOOKUP(Tabel1[[#This Row],[categorie]],Lijst!A:C,3,FALSE)</f>
        <v>Uitgave</v>
      </c>
      <c r="G2174" s="24">
        <f t="shared" si="112"/>
        <v>-4.82</v>
      </c>
      <c r="H2174" t="str">
        <f>VLOOKUP(Tabel1[[#This Row],[categorie]],Lijst!A:B,2,FALSE)</f>
        <v>Vast</v>
      </c>
      <c r="I2174" s="24" t="str">
        <f t="shared" si="113"/>
        <v>OK</v>
      </c>
    </row>
    <row r="2175" spans="1:9" hidden="1" x14ac:dyDescent="0.3">
      <c r="A2175" s="2">
        <v>45977</v>
      </c>
      <c r="B2175" s="24" t="str">
        <f t="shared" si="111"/>
        <v xml:space="preserve">november </v>
      </c>
      <c r="C2175">
        <v>-2.95</v>
      </c>
      <c r="D2175" t="str" cm="1">
        <f t="array" ref="D2175">IFERROR(
  _xlfn.XLOOKUP(TRUE, ISNUMBER(FIND(Trefwoorden!$A$2:$A$99, E2175)), Trefwoorden!$B$2:$B$99),
  "Onbekend"
)</f>
        <v>voeding</v>
      </c>
      <c r="E2175" t="s">
        <v>1055</v>
      </c>
      <c r="F2175" t="str">
        <f>VLOOKUP(Tabel1[[#This Row],[categorie]],Lijst!A:C,3,FALSE)</f>
        <v>Uitgave</v>
      </c>
      <c r="G2175" s="24">
        <f t="shared" si="112"/>
        <v>-2.95</v>
      </c>
      <c r="H2175" t="str">
        <f>VLOOKUP(Tabel1[[#This Row],[categorie]],Lijst!A:B,2,FALSE)</f>
        <v>Vast</v>
      </c>
      <c r="I2175" s="24" t="str">
        <f t="shared" si="113"/>
        <v>OK</v>
      </c>
    </row>
    <row r="2176" spans="1:9" hidden="1" x14ac:dyDescent="0.3">
      <c r="A2176" s="2">
        <v>45977</v>
      </c>
      <c r="B2176" s="24" t="str">
        <f t="shared" si="111"/>
        <v xml:space="preserve">november </v>
      </c>
      <c r="C2176">
        <v>-20.52</v>
      </c>
      <c r="D2176" t="str" cm="1">
        <f t="array" ref="D2176">IFERROR(
  _xlfn.XLOOKUP(TRUE, ISNUMBER(FIND(Trefwoorden!$A$2:$A$99, E2176)), Trefwoorden!$B$2:$B$99),
  "Onbekend"
)</f>
        <v>Louis/Vis</v>
      </c>
      <c r="E2176" t="s">
        <v>1056</v>
      </c>
      <c r="F2176" t="str">
        <f>VLOOKUP(Tabel1[[#This Row],[categorie]],Lijst!A:C,3,FALSE)</f>
        <v>Uitgave</v>
      </c>
      <c r="G2176" s="24">
        <f t="shared" si="112"/>
        <v>-20.52</v>
      </c>
      <c r="H2176" t="str">
        <f>VLOOKUP(Tabel1[[#This Row],[categorie]],Lijst!A:B,2,FALSE)</f>
        <v>Variabel</v>
      </c>
      <c r="I2176" s="24" t="str">
        <f t="shared" si="113"/>
        <v>OK</v>
      </c>
    </row>
    <row r="2177" spans="1:9" hidden="1" x14ac:dyDescent="0.3">
      <c r="A2177" s="2">
        <v>45978</v>
      </c>
      <c r="B2177" s="24" t="str">
        <f t="shared" si="111"/>
        <v xml:space="preserve">november </v>
      </c>
      <c r="C2177">
        <v>-3.85</v>
      </c>
      <c r="D2177" t="str" cm="1">
        <f t="array" ref="D2177">IFERROR(
  _xlfn.XLOOKUP(TRUE, ISNUMBER(FIND(Trefwoorden!$A$2:$A$99, E2177)), Trefwoorden!$B$2:$B$99),
  "Onbekend"
)</f>
        <v>Gezondheid</v>
      </c>
      <c r="E2177" t="s">
        <v>1057</v>
      </c>
      <c r="F2177" t="s">
        <v>18</v>
      </c>
      <c r="G2177" s="24">
        <f t="shared" si="112"/>
        <v>-3.85</v>
      </c>
      <c r="H2177" t="str">
        <f>VLOOKUP(Tabel1[[#This Row],[categorie]],Lijst!A:B,2,FALSE)</f>
        <v>Vast</v>
      </c>
      <c r="I2177" s="24" t="str">
        <f t="shared" si="113"/>
        <v>OK</v>
      </c>
    </row>
    <row r="2178" spans="1:9" hidden="1" x14ac:dyDescent="0.3">
      <c r="A2178" s="2">
        <v>45978</v>
      </c>
      <c r="B2178" s="24" t="str">
        <f t="shared" si="111"/>
        <v xml:space="preserve">november </v>
      </c>
      <c r="C2178">
        <v>-169.2</v>
      </c>
      <c r="D2178" t="s">
        <v>9</v>
      </c>
      <c r="E2178" t="s">
        <v>1058</v>
      </c>
      <c r="F2178" t="s">
        <v>18</v>
      </c>
      <c r="G2178" s="24">
        <f t="shared" si="112"/>
        <v>-169.2</v>
      </c>
      <c r="H2178" t="str">
        <f>VLOOKUP(Tabel1[[#This Row],[categorie]],Lijst!A:B,2,FALSE)</f>
        <v>Variabel</v>
      </c>
      <c r="I2178" s="24" t="str">
        <f t="shared" si="113"/>
        <v>OK</v>
      </c>
    </row>
    <row r="2179" spans="1:9" hidden="1" x14ac:dyDescent="0.3">
      <c r="A2179" s="2">
        <v>45978</v>
      </c>
      <c r="B2179" s="24" t="str">
        <f t="shared" si="111"/>
        <v xml:space="preserve">november </v>
      </c>
      <c r="C2179">
        <v>-1.5</v>
      </c>
      <c r="D2179" t="str" cm="1">
        <f t="array" ref="D2179">IFERROR(
  _xlfn.XLOOKUP(TRUE, ISNUMBER(FIND(Trefwoorden!$A$2:$A$99, E2179)), Trefwoorden!$B$2:$B$99),
  "Onbekend"
)</f>
        <v>automaat De Lijn</v>
      </c>
      <c r="E2179" t="s">
        <v>1059</v>
      </c>
      <c r="F2179" t="str">
        <f>VLOOKUP(Tabel1[[#This Row],[categorie]],Lijst!A:C,3,FALSE)</f>
        <v>Uitgave</v>
      </c>
      <c r="G2179" s="24">
        <f t="shared" si="112"/>
        <v>-1.5</v>
      </c>
      <c r="H2179" t="str">
        <f>VLOOKUP(Tabel1[[#This Row],[categorie]],Lijst!A:B,2,FALSE)</f>
        <v>Variabel</v>
      </c>
      <c r="I2179" s="24" t="str">
        <f t="shared" si="113"/>
        <v>OK</v>
      </c>
    </row>
    <row r="2180" spans="1:9" hidden="1" x14ac:dyDescent="0.3">
      <c r="A2180" s="2">
        <v>45978</v>
      </c>
      <c r="B2180" s="24" t="str">
        <f t="shared" si="111"/>
        <v xml:space="preserve">november </v>
      </c>
      <c r="C2180">
        <v>-1.1000000000000001</v>
      </c>
      <c r="D2180" t="str" cm="1">
        <f t="array" ref="D2180">IFERROR(
  _xlfn.XLOOKUP(TRUE, ISNUMBER(FIND(Trefwoorden!$A$2:$A$99, E2180)), Trefwoorden!$B$2:$B$99),
  "Onbekend"
)</f>
        <v>automaat De Lijn</v>
      </c>
      <c r="E2180" t="s">
        <v>1060</v>
      </c>
      <c r="F2180" t="str">
        <f>VLOOKUP(Tabel1[[#This Row],[categorie]],Lijst!A:C,3,FALSE)</f>
        <v>Uitgave</v>
      </c>
      <c r="G2180" s="24">
        <f t="shared" si="112"/>
        <v>-1.1000000000000001</v>
      </c>
      <c r="H2180" t="str">
        <f>VLOOKUP(Tabel1[[#This Row],[categorie]],Lijst!A:B,2,FALSE)</f>
        <v>Variabel</v>
      </c>
      <c r="I2180" s="24" t="str">
        <f t="shared" si="113"/>
        <v>OK</v>
      </c>
    </row>
    <row r="2181" spans="1:9" hidden="1" x14ac:dyDescent="0.3">
      <c r="A2181" s="2">
        <v>45978</v>
      </c>
      <c r="B2181" s="24" t="str">
        <f t="shared" si="111"/>
        <v xml:space="preserve">november </v>
      </c>
      <c r="C2181">
        <v>-81.66</v>
      </c>
      <c r="D2181" t="str" cm="1">
        <f t="array" ref="D2181">IFERROR(
  _xlfn.XLOOKUP(TRUE, ISNUMBER(FIND(Trefwoorden!$A$2:$A$99, E2181)), Trefwoorden!$B$2:$B$99),
  "Onbekend"
)</f>
        <v>pensioensparen</v>
      </c>
      <c r="E2181" t="s">
        <v>1061</v>
      </c>
      <c r="F2181" t="str">
        <f>VLOOKUP(Tabel1[[#This Row],[categorie]],Lijst!A:C,3,FALSE)</f>
        <v>Uitgave</v>
      </c>
      <c r="G2181" s="24">
        <f t="shared" si="112"/>
        <v>-81.66</v>
      </c>
      <c r="H2181" t="str">
        <f>VLOOKUP(Tabel1[[#This Row],[categorie]],Lijst!A:B,2,FALSE)</f>
        <v>Vast</v>
      </c>
      <c r="I2181" s="24" t="str">
        <f t="shared" si="113"/>
        <v>OK</v>
      </c>
    </row>
    <row r="2182" spans="1:9" hidden="1" x14ac:dyDescent="0.3">
      <c r="A2182" s="2">
        <v>45978</v>
      </c>
      <c r="B2182" s="24" t="str">
        <f t="shared" si="111"/>
        <v xml:space="preserve">november </v>
      </c>
      <c r="C2182">
        <v>-90</v>
      </c>
      <c r="D2182" t="str" cm="1">
        <f t="array" ref="D2182">IFERROR(
  _xlfn.XLOOKUP(TRUE, ISNUMBER(FIND(Trefwoorden!$A$2:$A$99, E2182)), Trefwoorden!$B$2:$B$99),
  "Onbekend"
)</f>
        <v>pensioensparen</v>
      </c>
      <c r="E2182" t="s">
        <v>1062</v>
      </c>
      <c r="F2182" t="str">
        <f>VLOOKUP(Tabel1[[#This Row],[categorie]],Lijst!A:C,3,FALSE)</f>
        <v>Uitgave</v>
      </c>
      <c r="G2182" s="24">
        <f t="shared" si="112"/>
        <v>-90</v>
      </c>
      <c r="H2182" t="str">
        <f>VLOOKUP(Tabel1[[#This Row],[categorie]],Lijst!A:B,2,FALSE)</f>
        <v>Vast</v>
      </c>
      <c r="I2182" s="24" t="str">
        <f t="shared" si="113"/>
        <v>OK</v>
      </c>
    </row>
    <row r="2183" spans="1:9" hidden="1" x14ac:dyDescent="0.3">
      <c r="A2183" s="2">
        <v>45977</v>
      </c>
      <c r="B2183" s="24" t="str">
        <f t="shared" si="111"/>
        <v xml:space="preserve">november </v>
      </c>
      <c r="C2183">
        <v>-5.09</v>
      </c>
      <c r="D2183" t="str" cm="1">
        <f t="array" ref="D2183">IFERROR(
  _xlfn.XLOOKUP(TRUE, ISNUMBER(FIND(Trefwoorden!$A$2:$A$99, E2183)), Trefwoorden!$B$2:$B$99),
  "Onbekend"
)</f>
        <v>Laadbeurt</v>
      </c>
      <c r="E2183" t="s">
        <v>1063</v>
      </c>
      <c r="F2183" t="str">
        <f>VLOOKUP(Tabel1[[#This Row],[categorie]],Lijst!A:C,3,FALSE)</f>
        <v>Uitgave</v>
      </c>
      <c r="G2183" s="24">
        <f t="shared" si="112"/>
        <v>-5.09</v>
      </c>
      <c r="H2183" t="str">
        <f>VLOOKUP(Tabel1[[#This Row],[categorie]],Lijst!A:B,2,FALSE)</f>
        <v>Vast</v>
      </c>
      <c r="I2183" s="24" t="str">
        <f t="shared" si="113"/>
        <v>OK</v>
      </c>
    </row>
    <row r="2184" spans="1:9" hidden="1" x14ac:dyDescent="0.3">
      <c r="A2184" s="2">
        <v>45977</v>
      </c>
      <c r="B2184" s="24" t="str">
        <f t="shared" si="111"/>
        <v xml:space="preserve">november </v>
      </c>
      <c r="C2184">
        <v>-1.21</v>
      </c>
      <c r="D2184" t="s">
        <v>31</v>
      </c>
      <c r="E2184" t="s">
        <v>1064</v>
      </c>
      <c r="F2184" t="str">
        <f>VLOOKUP(Tabel1[[#This Row],[categorie]],Lijst!A:C,3,FALSE)</f>
        <v>Uitgave</v>
      </c>
      <c r="G2184" s="24">
        <f t="shared" si="112"/>
        <v>-1.21</v>
      </c>
      <c r="H2184" t="str">
        <f>VLOOKUP(Tabel1[[#This Row],[categorie]],Lijst!A:B,2,FALSE)</f>
        <v>Vast</v>
      </c>
      <c r="I2184" s="24" t="str">
        <f t="shared" si="113"/>
        <v>OK</v>
      </c>
    </row>
    <row r="2185" spans="1:9" hidden="1" x14ac:dyDescent="0.3">
      <c r="A2185" s="2">
        <v>45976</v>
      </c>
      <c r="B2185" s="24" t="str">
        <f t="shared" si="111"/>
        <v xml:space="preserve">november </v>
      </c>
      <c r="C2185">
        <v>-3.04</v>
      </c>
      <c r="D2185" t="s">
        <v>22</v>
      </c>
      <c r="E2185" t="s">
        <v>1065</v>
      </c>
      <c r="F2185" t="str">
        <f>VLOOKUP(Tabel1[[#This Row],[categorie]],Lijst!A:C,3,FALSE)</f>
        <v>Uitgave</v>
      </c>
      <c r="G2185" s="24">
        <f t="shared" si="112"/>
        <v>-3.04</v>
      </c>
      <c r="H2185" t="str">
        <f>VLOOKUP(Tabel1[[#This Row],[categorie]],Lijst!A:B,2,FALSE)</f>
        <v>Variabel</v>
      </c>
      <c r="I2185" s="24" t="str">
        <f t="shared" si="113"/>
        <v>OK</v>
      </c>
    </row>
    <row r="2186" spans="1:9" hidden="1" x14ac:dyDescent="0.3">
      <c r="A2186" s="2">
        <v>45976</v>
      </c>
      <c r="B2186" s="24" t="str">
        <f t="shared" ref="B2186:B2217" si="114">TEXT(A2186,"mmmm ")</f>
        <v xml:space="preserve">november </v>
      </c>
      <c r="C2186">
        <v>-4.58</v>
      </c>
      <c r="D2186" t="s">
        <v>3</v>
      </c>
      <c r="E2186" t="s">
        <v>1066</v>
      </c>
      <c r="F2186" t="str">
        <f>VLOOKUP(Tabel1[[#This Row],[categorie]],Lijst!A:C,3,FALSE)</f>
        <v>Uitgave</v>
      </c>
      <c r="G2186" s="24">
        <f t="shared" ref="G2186:G2217" si="115">IF(F2186="Uitgave", -ABS(C2186), ABS(C2186))</f>
        <v>-4.58</v>
      </c>
      <c r="H2186" t="str">
        <f>VLOOKUP(Tabel1[[#This Row],[categorie]],Lijst!A:B,2,FALSE)</f>
        <v>Vast</v>
      </c>
      <c r="I2186" s="24" t="str">
        <f t="shared" ref="I2186:I2217" si="116">IF(OR(AND(F2186="Uitgave", C2186&lt;0), AND(F2186="Inkomst", C2186&gt;0)), "OK", "FOUT")</f>
        <v>OK</v>
      </c>
    </row>
    <row r="2187" spans="1:9" hidden="1" x14ac:dyDescent="0.3">
      <c r="A2187" s="2">
        <v>45976</v>
      </c>
      <c r="B2187" s="24" t="str">
        <f t="shared" si="114"/>
        <v xml:space="preserve">november </v>
      </c>
      <c r="C2187">
        <v>-79.989999999999995</v>
      </c>
      <c r="D2187" t="s">
        <v>32</v>
      </c>
      <c r="E2187" t="s">
        <v>1067</v>
      </c>
      <c r="F2187" t="str">
        <f>VLOOKUP(Tabel1[[#This Row],[categorie]],Lijst!A:C,3,FALSE)</f>
        <v>Uitgave</v>
      </c>
      <c r="G2187" s="24">
        <f t="shared" si="115"/>
        <v>-79.989999999999995</v>
      </c>
      <c r="H2187" t="str">
        <f>VLOOKUP(Tabel1[[#This Row],[categorie]],Lijst!A:B,2,FALSE)</f>
        <v>Variabel</v>
      </c>
      <c r="I2187" s="24" t="str">
        <f t="shared" si="116"/>
        <v>OK</v>
      </c>
    </row>
    <row r="2188" spans="1:9" hidden="1" x14ac:dyDescent="0.3">
      <c r="A2188" s="2">
        <v>45976</v>
      </c>
      <c r="B2188" s="24" t="str">
        <f t="shared" si="114"/>
        <v xml:space="preserve">november </v>
      </c>
      <c r="C2188">
        <v>-19.350000000000001</v>
      </c>
      <c r="D2188" t="str" cm="1">
        <f t="array" ref="D2188">IFERROR(
  _xlfn.XLOOKUP(TRUE, ISNUMBER(FIND(Trefwoorden!$A$2:$A$99, E2188)), Trefwoorden!$B$2:$B$99),
  "Onbekend"
)</f>
        <v>voeding</v>
      </c>
      <c r="E2188" t="s">
        <v>1068</v>
      </c>
      <c r="F2188" t="str">
        <f>VLOOKUP(Tabel1[[#This Row],[categorie]],Lijst!A:C,3,FALSE)</f>
        <v>Uitgave</v>
      </c>
      <c r="G2188" s="24">
        <f t="shared" si="115"/>
        <v>-19.350000000000001</v>
      </c>
      <c r="H2188" t="str">
        <f>VLOOKUP(Tabel1[[#This Row],[categorie]],Lijst!A:B,2,FALSE)</f>
        <v>Vast</v>
      </c>
      <c r="I2188" s="24" t="str">
        <f t="shared" si="116"/>
        <v>OK</v>
      </c>
    </row>
    <row r="2189" spans="1:9" hidden="1" x14ac:dyDescent="0.3">
      <c r="A2189" s="2">
        <v>45976</v>
      </c>
      <c r="B2189" s="24" t="str">
        <f t="shared" si="114"/>
        <v xml:space="preserve">november </v>
      </c>
      <c r="C2189">
        <v>-7.7</v>
      </c>
      <c r="D2189" t="s">
        <v>9</v>
      </c>
      <c r="E2189" t="s">
        <v>1069</v>
      </c>
      <c r="F2189" t="s">
        <v>18</v>
      </c>
      <c r="G2189" s="24">
        <f t="shared" si="115"/>
        <v>-7.7</v>
      </c>
      <c r="H2189" t="str">
        <f>VLOOKUP(Tabel1[[#This Row],[categorie]],Lijst!A:B,2,FALSE)</f>
        <v>Variabel</v>
      </c>
      <c r="I2189" s="24" t="str">
        <f t="shared" si="116"/>
        <v>OK</v>
      </c>
    </row>
    <row r="2190" spans="1:9" hidden="1" x14ac:dyDescent="0.3">
      <c r="A2190" s="2">
        <v>45976</v>
      </c>
      <c r="B2190" s="24" t="str">
        <f t="shared" si="114"/>
        <v xml:space="preserve">november </v>
      </c>
      <c r="C2190">
        <v>-9.36</v>
      </c>
      <c r="D2190" t="str" cm="1">
        <f t="array" ref="D2190">IFERROR(
  _xlfn.XLOOKUP(TRUE, ISNUMBER(FIND(Trefwoorden!$A$2:$A$99, E2190)), Trefwoorden!$B$2:$B$99),
  "Onbekend"
)</f>
        <v>Action</v>
      </c>
      <c r="E2190" t="s">
        <v>1070</v>
      </c>
      <c r="F2190" t="str">
        <f>VLOOKUP(Tabel1[[#This Row],[categorie]],Lijst!A:C,3,FALSE)</f>
        <v>Uitgave</v>
      </c>
      <c r="G2190" s="24">
        <f t="shared" si="115"/>
        <v>-9.36</v>
      </c>
      <c r="H2190" t="str">
        <f>VLOOKUP(Tabel1[[#This Row],[categorie]],Lijst!A:B,2,FALSE)</f>
        <v>Variabel</v>
      </c>
      <c r="I2190" s="24" t="str">
        <f t="shared" si="116"/>
        <v>OK</v>
      </c>
    </row>
    <row r="2191" spans="1:9" hidden="1" x14ac:dyDescent="0.3">
      <c r="A2191" s="2">
        <v>45976</v>
      </c>
      <c r="B2191" s="24" t="str">
        <f t="shared" si="114"/>
        <v xml:space="preserve">november </v>
      </c>
      <c r="C2191">
        <v>-18.7</v>
      </c>
      <c r="D2191" t="s">
        <v>21</v>
      </c>
      <c r="E2191" t="s">
        <v>1071</v>
      </c>
      <c r="F2191" t="str">
        <f>VLOOKUP(Tabel1[[#This Row],[categorie]],Lijst!A:C,3,FALSE)</f>
        <v>Uitgave</v>
      </c>
      <c r="G2191" s="24">
        <f t="shared" si="115"/>
        <v>-18.7</v>
      </c>
      <c r="H2191" t="str">
        <f>VLOOKUP(Tabel1[[#This Row],[categorie]],Lijst!A:B,2,FALSE)</f>
        <v>Variabel</v>
      </c>
      <c r="I2191" s="24" t="str">
        <f t="shared" si="116"/>
        <v>OK</v>
      </c>
    </row>
    <row r="2192" spans="1:9" hidden="1" x14ac:dyDescent="0.3">
      <c r="A2192" s="2">
        <v>45976</v>
      </c>
      <c r="B2192" s="24" t="str">
        <f t="shared" si="114"/>
        <v xml:space="preserve">november </v>
      </c>
      <c r="C2192">
        <v>84</v>
      </c>
      <c r="D2192" t="s">
        <v>9</v>
      </c>
      <c r="E2192" t="s">
        <v>1072</v>
      </c>
      <c r="F2192" t="s">
        <v>17</v>
      </c>
      <c r="G2192" s="24">
        <f t="shared" si="115"/>
        <v>84</v>
      </c>
      <c r="H2192" t="str">
        <f>VLOOKUP(Tabel1[[#This Row],[categorie]],Lijst!A:B,2,FALSE)</f>
        <v>Variabel</v>
      </c>
      <c r="I2192" s="24" t="str">
        <f t="shared" si="116"/>
        <v>OK</v>
      </c>
    </row>
    <row r="2193" spans="1:9" hidden="1" x14ac:dyDescent="0.3">
      <c r="A2193" s="2">
        <v>45976</v>
      </c>
      <c r="B2193" s="24" t="str">
        <f t="shared" si="114"/>
        <v xml:space="preserve">november </v>
      </c>
      <c r="C2193">
        <v>-13</v>
      </c>
      <c r="D2193" t="str" cm="1">
        <f t="array" ref="D2193">IFERROR(
  _xlfn.XLOOKUP(TRUE, ISNUMBER(FIND(Trefwoorden!$A$2:$A$99, E2193)), Trefwoorden!$B$2:$B$99),
  "Onbekend"
)</f>
        <v>car wash</v>
      </c>
      <c r="E2193" t="s">
        <v>1073</v>
      </c>
      <c r="F2193" t="str">
        <f>VLOOKUP(Tabel1[[#This Row],[categorie]],Lijst!A:C,3,FALSE)</f>
        <v>Uitgave</v>
      </c>
      <c r="G2193" s="24">
        <f t="shared" si="115"/>
        <v>-13</v>
      </c>
      <c r="H2193" t="str">
        <f>VLOOKUP(Tabel1[[#This Row],[categorie]],Lijst!A:B,2,FALSE)</f>
        <v>Variabel</v>
      </c>
      <c r="I2193" s="24" t="str">
        <f t="shared" si="116"/>
        <v>OK</v>
      </c>
    </row>
    <row r="2194" spans="1:9" hidden="1" x14ac:dyDescent="0.3">
      <c r="A2194" s="2">
        <v>45976</v>
      </c>
      <c r="B2194" s="24" t="str">
        <f t="shared" si="114"/>
        <v xml:space="preserve">november </v>
      </c>
      <c r="C2194">
        <v>-17.75</v>
      </c>
      <c r="D2194" t="s">
        <v>82</v>
      </c>
      <c r="E2194" t="s">
        <v>1074</v>
      </c>
      <c r="F2194" t="s">
        <v>18</v>
      </c>
      <c r="G2194" s="24">
        <f t="shared" si="115"/>
        <v>-17.75</v>
      </c>
      <c r="H2194" t="str">
        <f>VLOOKUP(Tabel1[[#This Row],[categorie]],Lijst!A:B,2,FALSE)</f>
        <v>Vast</v>
      </c>
      <c r="I2194" s="24" t="str">
        <f t="shared" si="116"/>
        <v>OK</v>
      </c>
    </row>
    <row r="2195" spans="1:9" hidden="1" x14ac:dyDescent="0.3">
      <c r="A2195" s="2">
        <v>45975</v>
      </c>
      <c r="B2195" s="24" t="str">
        <f t="shared" si="114"/>
        <v xml:space="preserve">november </v>
      </c>
      <c r="C2195">
        <v>-15.6</v>
      </c>
      <c r="D2195" t="s">
        <v>3</v>
      </c>
      <c r="E2195" t="s">
        <v>1075</v>
      </c>
      <c r="F2195" t="str">
        <f>VLOOKUP(Tabel1[[#This Row],[categorie]],Lijst!A:C,3,FALSE)</f>
        <v>Uitgave</v>
      </c>
      <c r="G2195" s="24">
        <f t="shared" si="115"/>
        <v>-15.6</v>
      </c>
      <c r="H2195" t="str">
        <f>VLOOKUP(Tabel1[[#This Row],[categorie]],Lijst!A:B,2,FALSE)</f>
        <v>Vast</v>
      </c>
      <c r="I2195" s="24" t="str">
        <f t="shared" si="116"/>
        <v>OK</v>
      </c>
    </row>
    <row r="2196" spans="1:9" hidden="1" x14ac:dyDescent="0.3">
      <c r="A2196" s="2">
        <v>45975</v>
      </c>
      <c r="B2196" s="24" t="str">
        <f t="shared" si="114"/>
        <v xml:space="preserve">november </v>
      </c>
      <c r="C2196">
        <v>-97</v>
      </c>
      <c r="D2196" t="s">
        <v>9</v>
      </c>
      <c r="E2196" t="s">
        <v>1076</v>
      </c>
      <c r="F2196" t="s">
        <v>18</v>
      </c>
      <c r="G2196" s="24">
        <f t="shared" si="115"/>
        <v>-97</v>
      </c>
      <c r="H2196" t="str">
        <f>VLOOKUP(Tabel1[[#This Row],[categorie]],Lijst!A:B,2,FALSE)</f>
        <v>Variabel</v>
      </c>
      <c r="I2196" s="24" t="str">
        <f t="shared" si="116"/>
        <v>OK</v>
      </c>
    </row>
    <row r="2197" spans="1:9" hidden="1" x14ac:dyDescent="0.3">
      <c r="A2197" s="2">
        <v>45974</v>
      </c>
      <c r="B2197" s="24" t="str">
        <f t="shared" si="114"/>
        <v xml:space="preserve">november </v>
      </c>
      <c r="C2197">
        <v>-5.8</v>
      </c>
      <c r="D2197" t="str" cm="1">
        <f t="array" ref="D2197">IFERROR(
  _xlfn.XLOOKUP(TRUE, ISNUMBER(FIND(Trefwoorden!$A$2:$A$99, E2197)), Trefwoorden!$B$2:$B$99),
  "Onbekend"
)</f>
        <v>voeding</v>
      </c>
      <c r="E2197" t="s">
        <v>1077</v>
      </c>
      <c r="F2197" t="str">
        <f>VLOOKUP(Tabel1[[#This Row],[categorie]],Lijst!A:C,3,FALSE)</f>
        <v>Uitgave</v>
      </c>
      <c r="G2197" s="24">
        <f t="shared" si="115"/>
        <v>-5.8</v>
      </c>
      <c r="H2197" t="str">
        <f>VLOOKUP(Tabel1[[#This Row],[categorie]],Lijst!A:B,2,FALSE)</f>
        <v>Vast</v>
      </c>
      <c r="I2197" s="24" t="str">
        <f t="shared" si="116"/>
        <v>OK</v>
      </c>
    </row>
    <row r="2198" spans="1:9" hidden="1" x14ac:dyDescent="0.3">
      <c r="A2198" s="2">
        <v>45975</v>
      </c>
      <c r="B2198" s="24" t="str">
        <f t="shared" si="114"/>
        <v xml:space="preserve">november </v>
      </c>
      <c r="C2198">
        <v>-1.5</v>
      </c>
      <c r="D2198" t="str" cm="1">
        <f t="array" ref="D2198">IFERROR(
  _xlfn.XLOOKUP(TRUE, ISNUMBER(FIND(Trefwoorden!$A$2:$A$99, E2198)), Trefwoorden!$B$2:$B$99),
  "Onbekend"
)</f>
        <v>automaat De Lijn</v>
      </c>
      <c r="E2198" t="s">
        <v>1078</v>
      </c>
      <c r="F2198" t="str">
        <f>VLOOKUP(Tabel1[[#This Row],[categorie]],Lijst!A:C,3,FALSE)</f>
        <v>Uitgave</v>
      </c>
      <c r="G2198" s="24">
        <f t="shared" si="115"/>
        <v>-1.5</v>
      </c>
      <c r="H2198" t="str">
        <f>VLOOKUP(Tabel1[[#This Row],[categorie]],Lijst!A:B,2,FALSE)</f>
        <v>Variabel</v>
      </c>
      <c r="I2198" s="24" t="str">
        <f t="shared" si="116"/>
        <v>OK</v>
      </c>
    </row>
    <row r="2199" spans="1:9" hidden="1" x14ac:dyDescent="0.3">
      <c r="A2199" s="2">
        <v>45974</v>
      </c>
      <c r="B2199" s="24" t="str">
        <f t="shared" si="114"/>
        <v xml:space="preserve">november </v>
      </c>
      <c r="C2199">
        <v>-10.85</v>
      </c>
      <c r="D2199" t="str" cm="1">
        <f t="array" ref="D2199">IFERROR(
  _xlfn.XLOOKUP(TRUE, ISNUMBER(FIND(Trefwoorden!$A$2:$A$99, E2199)), Trefwoorden!$B$2:$B$99),
  "Onbekend"
)</f>
        <v>Laadbeurt</v>
      </c>
      <c r="E2199" t="s">
        <v>1079</v>
      </c>
      <c r="F2199" t="str">
        <f>VLOOKUP(Tabel1[[#This Row],[categorie]],Lijst!A:C,3,FALSE)</f>
        <v>Uitgave</v>
      </c>
      <c r="G2199" s="24">
        <f t="shared" si="115"/>
        <v>-10.85</v>
      </c>
      <c r="H2199" t="str">
        <f>VLOOKUP(Tabel1[[#This Row],[categorie]],Lijst!A:B,2,FALSE)</f>
        <v>Vast</v>
      </c>
      <c r="I2199" s="24" t="str">
        <f t="shared" si="116"/>
        <v>OK</v>
      </c>
    </row>
    <row r="2200" spans="1:9" hidden="1" x14ac:dyDescent="0.3">
      <c r="A2200" s="2">
        <v>45974</v>
      </c>
      <c r="B2200" s="24" t="str">
        <f t="shared" si="114"/>
        <v xml:space="preserve">november </v>
      </c>
      <c r="C2200">
        <v>-90</v>
      </c>
      <c r="D2200" t="str" cm="1">
        <f t="array" ref="D2200">IFERROR(
  _xlfn.XLOOKUP(TRUE, ISNUMBER(FIND(Trefwoorden!$A$2:$A$99, E2200)), Trefwoorden!$B$2:$B$99),
  "Onbekend"
)</f>
        <v>Laserontharing</v>
      </c>
      <c r="E2200" t="s">
        <v>1080</v>
      </c>
      <c r="F2200" t="str">
        <f>VLOOKUP(Tabel1[[#This Row],[categorie]],Lijst!A:C,3,FALSE)</f>
        <v>Uitgave</v>
      </c>
      <c r="G2200" s="24">
        <f t="shared" si="115"/>
        <v>-90</v>
      </c>
      <c r="H2200" t="str">
        <f>VLOOKUP(Tabel1[[#This Row],[categorie]],Lijst!A:B,2,FALSE)</f>
        <v>Variabel</v>
      </c>
      <c r="I2200" s="24" t="str">
        <f t="shared" si="116"/>
        <v>OK</v>
      </c>
    </row>
    <row r="2201" spans="1:9" hidden="1" x14ac:dyDescent="0.3">
      <c r="A2201" s="2">
        <v>45973</v>
      </c>
      <c r="B2201" s="24" t="str">
        <f t="shared" si="114"/>
        <v xml:space="preserve">november </v>
      </c>
      <c r="C2201">
        <v>-28.76</v>
      </c>
      <c r="D2201" t="str" cm="1">
        <f t="array" ref="D2201">IFERROR(
  _xlfn.XLOOKUP(TRUE, ISNUMBER(FIND(Trefwoorden!$A$2:$A$99, E2201)), Trefwoorden!$B$2:$B$99),
  "Onbekend"
)</f>
        <v>voeding</v>
      </c>
      <c r="E2201" t="s">
        <v>1081</v>
      </c>
      <c r="F2201" t="str">
        <f>VLOOKUP(Tabel1[[#This Row],[categorie]],Lijst!A:C,3,FALSE)</f>
        <v>Uitgave</v>
      </c>
      <c r="G2201" s="24">
        <f t="shared" si="115"/>
        <v>-28.76</v>
      </c>
      <c r="H2201" t="str">
        <f>VLOOKUP(Tabel1[[#This Row],[categorie]],Lijst!A:B,2,FALSE)</f>
        <v>Vast</v>
      </c>
      <c r="I2201" s="24" t="str">
        <f t="shared" si="116"/>
        <v>OK</v>
      </c>
    </row>
    <row r="2202" spans="1:9" hidden="1" x14ac:dyDescent="0.3">
      <c r="A2202" s="2">
        <v>45973</v>
      </c>
      <c r="B2202" s="24" t="str">
        <f t="shared" si="114"/>
        <v xml:space="preserve">november </v>
      </c>
      <c r="C2202">
        <v>-2.99</v>
      </c>
      <c r="D2202" t="str" cm="1">
        <f t="array" ref="D2202">IFERROR(
  _xlfn.XLOOKUP(TRUE, ISNUMBER(FIND(Trefwoorden!$A$2:$A$99, E2202)), Trefwoorden!$B$2:$B$99),
  "Onbekend"
)</f>
        <v>voeding</v>
      </c>
      <c r="E2202" t="s">
        <v>1082</v>
      </c>
      <c r="F2202" t="str">
        <f>VLOOKUP(Tabel1[[#This Row],[categorie]],Lijst!A:C,3,FALSE)</f>
        <v>Uitgave</v>
      </c>
      <c r="G2202" s="24">
        <f t="shared" si="115"/>
        <v>-2.99</v>
      </c>
      <c r="H2202" t="str">
        <f>VLOOKUP(Tabel1[[#This Row],[categorie]],Lijst!A:B,2,FALSE)</f>
        <v>Vast</v>
      </c>
      <c r="I2202" s="24" t="str">
        <f t="shared" si="116"/>
        <v>OK</v>
      </c>
    </row>
    <row r="2203" spans="1:9" hidden="1" x14ac:dyDescent="0.3">
      <c r="A2203" s="2">
        <v>45974</v>
      </c>
      <c r="B2203" s="24" t="str">
        <f t="shared" si="114"/>
        <v xml:space="preserve">november </v>
      </c>
      <c r="C2203">
        <v>70</v>
      </c>
      <c r="D2203" t="s">
        <v>75</v>
      </c>
      <c r="E2203" t="s">
        <v>1083</v>
      </c>
      <c r="F2203" t="s">
        <v>17</v>
      </c>
      <c r="G2203" s="24">
        <f t="shared" si="115"/>
        <v>70</v>
      </c>
      <c r="H2203" t="str">
        <f>VLOOKUP(Tabel1[[#This Row],[categorie]],Lijst!A:B,2,FALSE)</f>
        <v>Variabel</v>
      </c>
      <c r="I2203" s="24" t="str">
        <f t="shared" si="116"/>
        <v>OK</v>
      </c>
    </row>
    <row r="2204" spans="1:9" hidden="1" x14ac:dyDescent="0.3">
      <c r="A2204" s="2">
        <v>45974</v>
      </c>
      <c r="B2204" s="24" t="str">
        <f t="shared" si="114"/>
        <v xml:space="preserve">november </v>
      </c>
      <c r="C2204">
        <v>-5.99</v>
      </c>
      <c r="D2204" t="s">
        <v>3</v>
      </c>
      <c r="E2204" t="s">
        <v>1084</v>
      </c>
      <c r="F2204" t="str">
        <f>VLOOKUP(Tabel1[[#This Row],[categorie]],Lijst!A:C,3,FALSE)</f>
        <v>Uitgave</v>
      </c>
      <c r="G2204" s="24">
        <f t="shared" si="115"/>
        <v>-5.99</v>
      </c>
      <c r="H2204" t="str">
        <f>VLOOKUP(Tabel1[[#This Row],[categorie]],Lijst!A:B,2,FALSE)</f>
        <v>Vast</v>
      </c>
      <c r="I2204" s="24" t="str">
        <f t="shared" si="116"/>
        <v>OK</v>
      </c>
    </row>
    <row r="2205" spans="1:9" hidden="1" x14ac:dyDescent="0.3">
      <c r="A2205" s="2">
        <v>45974</v>
      </c>
      <c r="B2205" s="24" t="str">
        <f t="shared" si="114"/>
        <v xml:space="preserve">november </v>
      </c>
      <c r="C2205">
        <v>-1.5</v>
      </c>
      <c r="D2205" t="str" cm="1">
        <f t="array" ref="D2205">IFERROR(
  _xlfn.XLOOKUP(TRUE, ISNUMBER(FIND(Trefwoorden!$A$2:$A$99, E2205)), Trefwoorden!$B$2:$B$99),
  "Onbekend"
)</f>
        <v>automaat De Lijn</v>
      </c>
      <c r="E2205" t="s">
        <v>1085</v>
      </c>
      <c r="F2205" t="str">
        <f>VLOOKUP(Tabel1[[#This Row],[categorie]],Lijst!A:C,3,FALSE)</f>
        <v>Uitgave</v>
      </c>
      <c r="G2205" s="24">
        <f t="shared" si="115"/>
        <v>-1.5</v>
      </c>
      <c r="H2205" t="str">
        <f>VLOOKUP(Tabel1[[#This Row],[categorie]],Lijst!A:B,2,FALSE)</f>
        <v>Variabel</v>
      </c>
      <c r="I2205" s="24" t="str">
        <f t="shared" si="116"/>
        <v>OK</v>
      </c>
    </row>
    <row r="2206" spans="1:9" hidden="1" x14ac:dyDescent="0.3">
      <c r="A2206" s="2">
        <v>45974</v>
      </c>
      <c r="B2206" s="24" t="str">
        <f t="shared" si="114"/>
        <v xml:space="preserve">november </v>
      </c>
      <c r="C2206">
        <v>-1.5</v>
      </c>
      <c r="D2206" t="str" cm="1">
        <f t="array" ref="D2206">IFERROR(
  _xlfn.XLOOKUP(TRUE, ISNUMBER(FIND(Trefwoorden!$A$2:$A$99, E2206)), Trefwoorden!$B$2:$B$99),
  "Onbekend"
)</f>
        <v>automaat De Lijn</v>
      </c>
      <c r="E2206" t="s">
        <v>1086</v>
      </c>
      <c r="F2206" t="str">
        <f>VLOOKUP(Tabel1[[#This Row],[categorie]],Lijst!A:C,3,FALSE)</f>
        <v>Uitgave</v>
      </c>
      <c r="G2206" s="24">
        <f t="shared" si="115"/>
        <v>-1.5</v>
      </c>
      <c r="H2206" t="str">
        <f>VLOOKUP(Tabel1[[#This Row],[categorie]],Lijst!A:B,2,FALSE)</f>
        <v>Variabel</v>
      </c>
      <c r="I2206" s="24" t="str">
        <f t="shared" si="116"/>
        <v>OK</v>
      </c>
    </row>
    <row r="2207" spans="1:9" hidden="1" x14ac:dyDescent="0.3">
      <c r="A2207" s="2">
        <v>45974</v>
      </c>
      <c r="B2207" s="24" t="str">
        <f t="shared" si="114"/>
        <v xml:space="preserve">november </v>
      </c>
      <c r="C2207">
        <v>-1.5</v>
      </c>
      <c r="D2207" t="str" cm="1">
        <f t="array" ref="D2207">IFERROR(
  _xlfn.XLOOKUP(TRUE, ISNUMBER(FIND(Trefwoorden!$A$2:$A$99, E2207)), Trefwoorden!$B$2:$B$99),
  "Onbekend"
)</f>
        <v>automaat De Lijn</v>
      </c>
      <c r="E2207" t="s">
        <v>1087</v>
      </c>
      <c r="F2207" t="str">
        <f>VLOOKUP(Tabel1[[#This Row],[categorie]],Lijst!A:C,3,FALSE)</f>
        <v>Uitgave</v>
      </c>
      <c r="G2207" s="24">
        <f t="shared" si="115"/>
        <v>-1.5</v>
      </c>
      <c r="H2207" t="str">
        <f>VLOOKUP(Tabel1[[#This Row],[categorie]],Lijst!A:B,2,FALSE)</f>
        <v>Variabel</v>
      </c>
      <c r="I2207" s="24" t="str">
        <f t="shared" si="116"/>
        <v>OK</v>
      </c>
    </row>
    <row r="2208" spans="1:9" hidden="1" x14ac:dyDescent="0.3">
      <c r="A2208" s="2">
        <v>45972</v>
      </c>
      <c r="B2208" s="24" t="str">
        <f t="shared" si="114"/>
        <v xml:space="preserve">november </v>
      </c>
      <c r="C2208">
        <v>-6.89</v>
      </c>
      <c r="D2208" t="str" cm="1">
        <f t="array" ref="D2208">IFERROR(
  _xlfn.XLOOKUP(TRUE, ISNUMBER(FIND(Trefwoorden!$A$2:$A$99, E2208)), Trefwoorden!$B$2:$B$99),
  "Onbekend"
)</f>
        <v>voeding</v>
      </c>
      <c r="E2208" t="s">
        <v>1088</v>
      </c>
      <c r="F2208" t="str">
        <f>VLOOKUP(Tabel1[[#This Row],[categorie]],Lijst!A:C,3,FALSE)</f>
        <v>Uitgave</v>
      </c>
      <c r="G2208" s="24">
        <f t="shared" si="115"/>
        <v>-6.89</v>
      </c>
      <c r="H2208" t="str">
        <f>VLOOKUP(Tabel1[[#This Row],[categorie]],Lijst!A:B,2,FALSE)</f>
        <v>Vast</v>
      </c>
      <c r="I2208" s="24" t="str">
        <f t="shared" si="116"/>
        <v>OK</v>
      </c>
    </row>
    <row r="2209" spans="1:9" hidden="1" x14ac:dyDescent="0.3">
      <c r="A2209" s="2">
        <v>45973</v>
      </c>
      <c r="B2209" s="24" t="str">
        <f t="shared" si="114"/>
        <v xml:space="preserve">november </v>
      </c>
      <c r="C2209">
        <v>-26</v>
      </c>
      <c r="D2209" t="str" cm="1">
        <f t="array" ref="D2209">IFERROR(
  _xlfn.XLOOKUP(TRUE, ISNUMBER(FIND(Trefwoorden!$A$2:$A$99, E2209)), Trefwoorden!$B$2:$B$99),
  "Onbekend"
)</f>
        <v>Gezondheid</v>
      </c>
      <c r="E2209" t="s">
        <v>1089</v>
      </c>
      <c r="F2209" t="s">
        <v>18</v>
      </c>
      <c r="G2209" s="24">
        <f t="shared" si="115"/>
        <v>-26</v>
      </c>
      <c r="H2209" t="str">
        <f>VLOOKUP(Tabel1[[#This Row],[categorie]],Lijst!A:B,2,FALSE)</f>
        <v>Vast</v>
      </c>
      <c r="I2209" s="24" t="str">
        <f t="shared" si="116"/>
        <v>OK</v>
      </c>
    </row>
    <row r="2210" spans="1:9" hidden="1" x14ac:dyDescent="0.3">
      <c r="A2210" s="2">
        <v>45972</v>
      </c>
      <c r="B2210" s="24" t="str">
        <f t="shared" si="114"/>
        <v xml:space="preserve">november </v>
      </c>
      <c r="C2210">
        <v>-8</v>
      </c>
      <c r="D2210" t="str" cm="1">
        <f t="array" ref="D2210">IFERROR(
  _xlfn.XLOOKUP(TRUE, ISNUMBER(FIND(Trefwoorden!$A$2:$A$99, E2210)), Trefwoorden!$B$2:$B$99),
  "Onbekend"
)</f>
        <v>Laadbeurt</v>
      </c>
      <c r="E2210" t="s">
        <v>1090</v>
      </c>
      <c r="F2210" t="str">
        <f>VLOOKUP(Tabel1[[#This Row],[categorie]],Lijst!A:C,3,FALSE)</f>
        <v>Uitgave</v>
      </c>
      <c r="G2210" s="24">
        <f t="shared" si="115"/>
        <v>-8</v>
      </c>
      <c r="H2210" t="str">
        <f>VLOOKUP(Tabel1[[#This Row],[categorie]],Lijst!A:B,2,FALSE)</f>
        <v>Vast</v>
      </c>
      <c r="I2210" s="24" t="str">
        <f t="shared" si="116"/>
        <v>OK</v>
      </c>
    </row>
    <row r="2211" spans="1:9" hidden="1" x14ac:dyDescent="0.3">
      <c r="A2211" s="2">
        <v>45972</v>
      </c>
      <c r="B2211" s="24" t="str">
        <f t="shared" si="114"/>
        <v xml:space="preserve">november </v>
      </c>
      <c r="C2211">
        <v>-53.93</v>
      </c>
      <c r="D2211" t="str" cm="1">
        <f t="array" ref="D2211">IFERROR(
  _xlfn.XLOOKUP(TRUE, ISNUMBER(FIND(Trefwoorden!$A$2:$A$99, E2211)), Trefwoorden!$B$2:$B$99),
  "Onbekend"
)</f>
        <v>kledij</v>
      </c>
      <c r="E2211" t="s">
        <v>1091</v>
      </c>
      <c r="F2211" t="str">
        <f>VLOOKUP(Tabel1[[#This Row],[categorie]],Lijst!A:C,3,FALSE)</f>
        <v>Uitgave</v>
      </c>
      <c r="G2211" s="24">
        <f t="shared" si="115"/>
        <v>-53.93</v>
      </c>
      <c r="H2211" t="str">
        <f>VLOOKUP(Tabel1[[#This Row],[categorie]],Lijst!A:B,2,FALSE)</f>
        <v>Variabel</v>
      </c>
      <c r="I2211" s="24" t="str">
        <f t="shared" si="116"/>
        <v>OK</v>
      </c>
    </row>
    <row r="2212" spans="1:9" hidden="1" x14ac:dyDescent="0.3">
      <c r="A2212" s="2">
        <v>45971</v>
      </c>
      <c r="B2212" s="24" t="str">
        <f t="shared" si="114"/>
        <v xml:space="preserve">november </v>
      </c>
      <c r="C2212">
        <v>-11.87</v>
      </c>
      <c r="D2212" t="str" cm="1">
        <f t="array" ref="D2212">IFERROR(
  _xlfn.XLOOKUP(TRUE, ISNUMBER(FIND(Trefwoorden!$A$2:$A$99, E2212)), Trefwoorden!$B$2:$B$99),
  "Onbekend"
)</f>
        <v>voeding</v>
      </c>
      <c r="E2212" t="s">
        <v>1092</v>
      </c>
      <c r="F2212" t="str">
        <f>VLOOKUP(Tabel1[[#This Row],[categorie]],Lijst!A:C,3,FALSE)</f>
        <v>Uitgave</v>
      </c>
      <c r="G2212" s="24">
        <f t="shared" si="115"/>
        <v>-11.87</v>
      </c>
      <c r="H2212" t="str">
        <f>VLOOKUP(Tabel1[[#This Row],[categorie]],Lijst!A:B,2,FALSE)</f>
        <v>Vast</v>
      </c>
      <c r="I2212" s="24" t="str">
        <f t="shared" si="116"/>
        <v>OK</v>
      </c>
    </row>
    <row r="2213" spans="1:9" hidden="1" x14ac:dyDescent="0.3">
      <c r="A2213" s="2">
        <v>45971</v>
      </c>
      <c r="B2213" s="24" t="str">
        <f t="shared" si="114"/>
        <v xml:space="preserve">november </v>
      </c>
      <c r="C2213">
        <v>-14</v>
      </c>
      <c r="D2213" t="str" cm="1">
        <f t="array" ref="D2213">IFERROR(
  _xlfn.XLOOKUP(TRUE, ISNUMBER(FIND(Trefwoorden!$A$2:$A$99, E2213)), Trefwoorden!$B$2:$B$99),
  "Onbekend"
)</f>
        <v>EuroShop</v>
      </c>
      <c r="E2213" t="s">
        <v>1093</v>
      </c>
      <c r="F2213" t="str">
        <f>VLOOKUP(Tabel1[[#This Row],[categorie]],Lijst!A:C,3,FALSE)</f>
        <v>Uitgave</v>
      </c>
      <c r="G2213" s="24">
        <f t="shared" si="115"/>
        <v>-14</v>
      </c>
      <c r="H2213" t="str">
        <f>VLOOKUP(Tabel1[[#This Row],[categorie]],Lijst!A:B,2,FALSE)</f>
        <v>Variabel</v>
      </c>
      <c r="I2213" s="24" t="str">
        <f t="shared" si="116"/>
        <v>OK</v>
      </c>
    </row>
    <row r="2214" spans="1:9" hidden="1" x14ac:dyDescent="0.3">
      <c r="A2214" s="2">
        <v>45971</v>
      </c>
      <c r="B2214" s="24" t="str">
        <f t="shared" si="114"/>
        <v xml:space="preserve">november </v>
      </c>
      <c r="C2214">
        <v>-9.99</v>
      </c>
      <c r="D2214" t="str" cm="1">
        <f t="array" ref="D2214">IFERROR(
  _xlfn.XLOOKUP(TRUE, ISNUMBER(FIND(Trefwoorden!$A$2:$A$99, E2214)), Trefwoorden!$B$2:$B$99),
  "Onbekend"
)</f>
        <v>Louis/Vis</v>
      </c>
      <c r="E2214" t="s">
        <v>1094</v>
      </c>
      <c r="F2214" t="str">
        <f>VLOOKUP(Tabel1[[#This Row],[categorie]],Lijst!A:C,3,FALSE)</f>
        <v>Uitgave</v>
      </c>
      <c r="G2214" s="24">
        <f t="shared" si="115"/>
        <v>-9.99</v>
      </c>
      <c r="H2214" t="str">
        <f>VLOOKUP(Tabel1[[#This Row],[categorie]],Lijst!A:B,2,FALSE)</f>
        <v>Variabel</v>
      </c>
      <c r="I2214" s="24" t="str">
        <f t="shared" si="116"/>
        <v>OK</v>
      </c>
    </row>
    <row r="2215" spans="1:9" hidden="1" x14ac:dyDescent="0.3">
      <c r="A2215" s="2">
        <v>45971</v>
      </c>
      <c r="B2215" s="24" t="str">
        <f t="shared" si="114"/>
        <v xml:space="preserve">november </v>
      </c>
      <c r="C2215">
        <v>-8.6199999999999992</v>
      </c>
      <c r="D2215" t="str" cm="1">
        <f t="array" ref="D2215">IFERROR(
  _xlfn.XLOOKUP(TRUE, ISNUMBER(FIND(Trefwoorden!$A$2:$A$99, E2215)), Trefwoorden!$B$2:$B$99),
  "Onbekend"
)</f>
        <v>Laadbeurt</v>
      </c>
      <c r="E2215" t="s">
        <v>1095</v>
      </c>
      <c r="F2215" t="str">
        <f>VLOOKUP(Tabel1[[#This Row],[categorie]],Lijst!A:C,3,FALSE)</f>
        <v>Uitgave</v>
      </c>
      <c r="G2215" s="24">
        <f t="shared" si="115"/>
        <v>-8.6199999999999992</v>
      </c>
      <c r="H2215" t="str">
        <f>VLOOKUP(Tabel1[[#This Row],[categorie]],Lijst!A:B,2,FALSE)</f>
        <v>Vast</v>
      </c>
      <c r="I2215" s="24" t="str">
        <f t="shared" si="116"/>
        <v>OK</v>
      </c>
    </row>
    <row r="2216" spans="1:9" hidden="1" x14ac:dyDescent="0.3">
      <c r="A2216" s="2">
        <v>45969</v>
      </c>
      <c r="B2216" s="24" t="str">
        <f t="shared" si="114"/>
        <v xml:space="preserve">november </v>
      </c>
      <c r="C2216">
        <v>-25</v>
      </c>
      <c r="D2216" t="str" cm="1">
        <f t="array" ref="D2216">IFERROR(
  _xlfn.XLOOKUP(TRUE, ISNUMBER(FIND(Trefwoorden!$A$2:$A$99, E2216)), Trefwoorden!$B$2:$B$99),
  "Onbekend"
)</f>
        <v>decathlon</v>
      </c>
      <c r="E2216" t="s">
        <v>1096</v>
      </c>
      <c r="F2216" t="str">
        <f>VLOOKUP(Tabel1[[#This Row],[categorie]],Lijst!A:C,3,FALSE)</f>
        <v>Uitgave</v>
      </c>
      <c r="G2216" s="24">
        <f t="shared" si="115"/>
        <v>-25</v>
      </c>
      <c r="H2216" t="str">
        <f>VLOOKUP(Tabel1[[#This Row],[categorie]],Lijst!A:B,2,FALSE)</f>
        <v>Variabel</v>
      </c>
      <c r="I2216" s="24" t="str">
        <f t="shared" si="116"/>
        <v>OK</v>
      </c>
    </row>
    <row r="2217" spans="1:9" hidden="1" x14ac:dyDescent="0.3">
      <c r="A2217" s="2">
        <v>45971</v>
      </c>
      <c r="B2217" s="24" t="str">
        <f t="shared" si="114"/>
        <v xml:space="preserve">november </v>
      </c>
      <c r="C2217">
        <v>-19.95</v>
      </c>
      <c r="D2217" t="s">
        <v>3</v>
      </c>
      <c r="E2217" t="s">
        <v>1097</v>
      </c>
      <c r="F2217" t="str">
        <f>VLOOKUP(Tabel1[[#This Row],[categorie]],Lijst!A:C,3,FALSE)</f>
        <v>Uitgave</v>
      </c>
      <c r="G2217" s="24">
        <f t="shared" si="115"/>
        <v>-19.95</v>
      </c>
      <c r="H2217" t="str">
        <f>VLOOKUP(Tabel1[[#This Row],[categorie]],Lijst!A:B,2,FALSE)</f>
        <v>Vast</v>
      </c>
      <c r="I2217" s="24" t="str">
        <f t="shared" si="116"/>
        <v>OK</v>
      </c>
    </row>
    <row r="2218" spans="1:9" hidden="1" x14ac:dyDescent="0.3">
      <c r="A2218" s="2">
        <v>45971</v>
      </c>
      <c r="B2218" s="24" t="str">
        <f t="shared" ref="B2218:B2249" si="117">TEXT(A2218,"mmmm ")</f>
        <v xml:space="preserve">november </v>
      </c>
      <c r="C2218">
        <v>-1.5</v>
      </c>
      <c r="D2218" t="str" cm="1">
        <f t="array" ref="D2218">IFERROR(
  _xlfn.XLOOKUP(TRUE, ISNUMBER(FIND(Trefwoorden!$A$2:$A$99, E2218)), Trefwoorden!$B$2:$B$99),
  "Onbekend"
)</f>
        <v>automaat De Lijn</v>
      </c>
      <c r="E2218" t="s">
        <v>1098</v>
      </c>
      <c r="F2218" t="str">
        <f>VLOOKUP(Tabel1[[#This Row],[categorie]],Lijst!A:C,3,FALSE)</f>
        <v>Uitgave</v>
      </c>
      <c r="G2218" s="24">
        <f t="shared" ref="G2218:G2249" si="118">IF(F2218="Uitgave", -ABS(C2218), ABS(C2218))</f>
        <v>-1.5</v>
      </c>
      <c r="H2218" t="str">
        <f>VLOOKUP(Tabel1[[#This Row],[categorie]],Lijst!A:B,2,FALSE)</f>
        <v>Variabel</v>
      </c>
      <c r="I2218" s="24" t="str">
        <f t="shared" ref="I2218:I2249" si="119">IF(OR(AND(F2218="Uitgave", C2218&lt;0), AND(F2218="Inkomst", C2218&gt;0)), "OK", "FOUT")</f>
        <v>OK</v>
      </c>
    </row>
    <row r="2219" spans="1:9" hidden="1" x14ac:dyDescent="0.3">
      <c r="A2219" s="2">
        <v>45971</v>
      </c>
      <c r="B2219" s="24" t="str">
        <f t="shared" si="117"/>
        <v xml:space="preserve">november </v>
      </c>
      <c r="C2219">
        <v>-1.5</v>
      </c>
      <c r="D2219" t="str" cm="1">
        <f t="array" ref="D2219">IFERROR(
  _xlfn.XLOOKUP(TRUE, ISNUMBER(FIND(Trefwoorden!$A$2:$A$99, E2219)), Trefwoorden!$B$2:$B$99),
  "Onbekend"
)</f>
        <v>automaat De Lijn</v>
      </c>
      <c r="E2219" t="s">
        <v>1099</v>
      </c>
      <c r="F2219" t="str">
        <f>VLOOKUP(Tabel1[[#This Row],[categorie]],Lijst!A:C,3,FALSE)</f>
        <v>Uitgave</v>
      </c>
      <c r="G2219" s="24">
        <f t="shared" si="118"/>
        <v>-1.5</v>
      </c>
      <c r="H2219" t="str">
        <f>VLOOKUP(Tabel1[[#This Row],[categorie]],Lijst!A:B,2,FALSE)</f>
        <v>Variabel</v>
      </c>
      <c r="I2219" s="24" t="str">
        <f t="shared" si="119"/>
        <v>OK</v>
      </c>
    </row>
    <row r="2220" spans="1:9" hidden="1" x14ac:dyDescent="0.3">
      <c r="A2220" s="2">
        <v>45969</v>
      </c>
      <c r="B2220" s="24" t="str">
        <f t="shared" si="117"/>
        <v xml:space="preserve">november </v>
      </c>
      <c r="C2220">
        <v>-2.1</v>
      </c>
      <c r="D2220" t="str" cm="1">
        <f t="array" ref="D2220">IFERROR(
  _xlfn.XLOOKUP(TRUE, ISNUMBER(FIND(Trefwoorden!$A$2:$A$99, E2220)), Trefwoorden!$B$2:$B$99),
  "Onbekend"
)</f>
        <v>Laadbeurt</v>
      </c>
      <c r="E2220" t="s">
        <v>1100</v>
      </c>
      <c r="F2220" t="str">
        <f>VLOOKUP(Tabel1[[#This Row],[categorie]],Lijst!A:C,3,FALSE)</f>
        <v>Uitgave</v>
      </c>
      <c r="G2220" s="24">
        <f t="shared" si="118"/>
        <v>-2.1</v>
      </c>
      <c r="H2220" t="str">
        <f>VLOOKUP(Tabel1[[#This Row],[categorie]],Lijst!A:B,2,FALSE)</f>
        <v>Vast</v>
      </c>
      <c r="I2220" s="24" t="str">
        <f t="shared" si="119"/>
        <v>OK</v>
      </c>
    </row>
    <row r="2221" spans="1:9" hidden="1" x14ac:dyDescent="0.3">
      <c r="A2221" s="2">
        <v>45969</v>
      </c>
      <c r="B2221" s="24" t="str">
        <f t="shared" si="117"/>
        <v xml:space="preserve">november </v>
      </c>
      <c r="C2221">
        <v>-5</v>
      </c>
      <c r="D2221" t="s">
        <v>75</v>
      </c>
      <c r="E2221" t="s">
        <v>1101</v>
      </c>
      <c r="F2221" t="s">
        <v>18</v>
      </c>
      <c r="G2221" s="24">
        <f t="shared" si="118"/>
        <v>-5</v>
      </c>
      <c r="H2221" t="str">
        <f>VLOOKUP(Tabel1[[#This Row],[categorie]],Lijst!A:B,2,FALSE)</f>
        <v>Variabel</v>
      </c>
      <c r="I2221" s="24" t="str">
        <f t="shared" si="119"/>
        <v>OK</v>
      </c>
    </row>
    <row r="2222" spans="1:9" hidden="1" x14ac:dyDescent="0.3">
      <c r="A2222" s="2">
        <v>45968</v>
      </c>
      <c r="B2222" s="24" t="str">
        <f t="shared" si="117"/>
        <v xml:space="preserve">november </v>
      </c>
      <c r="C2222">
        <v>-18.39</v>
      </c>
      <c r="D2222" t="str" cm="1">
        <f t="array" ref="D2222">IFERROR(
  _xlfn.XLOOKUP(TRUE, ISNUMBER(FIND(Trefwoorden!$A$2:$A$99, E2222)), Trefwoorden!$B$2:$B$99),
  "Onbekend"
)</f>
        <v>Brico</v>
      </c>
      <c r="E2222" t="s">
        <v>1102</v>
      </c>
      <c r="F2222" t="str">
        <f>VLOOKUP(Tabel1[[#This Row],[categorie]],Lijst!A:C,3,FALSE)</f>
        <v>Uitgave</v>
      </c>
      <c r="G2222" s="24">
        <f t="shared" si="118"/>
        <v>-18.39</v>
      </c>
      <c r="H2222" t="str">
        <f>VLOOKUP(Tabel1[[#This Row],[categorie]],Lijst!A:B,2,FALSE)</f>
        <v>Variabel</v>
      </c>
      <c r="I2222" s="24" t="str">
        <f t="shared" si="119"/>
        <v>OK</v>
      </c>
    </row>
    <row r="2223" spans="1:9" hidden="1" x14ac:dyDescent="0.3">
      <c r="A2223" s="2">
        <v>45967</v>
      </c>
      <c r="B2223" s="24" t="str">
        <f t="shared" si="117"/>
        <v xml:space="preserve">november </v>
      </c>
      <c r="C2223">
        <v>-10.09</v>
      </c>
      <c r="D2223" t="str" cm="1">
        <f t="array" ref="D2223">IFERROR(
  _xlfn.XLOOKUP(TRUE, ISNUMBER(FIND(Trefwoorden!$A$2:$A$99, E2223)), Trefwoorden!$B$2:$B$99),
  "Onbekend"
)</f>
        <v>voeding</v>
      </c>
      <c r="E2223" t="s">
        <v>1103</v>
      </c>
      <c r="F2223" t="str">
        <f>VLOOKUP(Tabel1[[#This Row],[categorie]],Lijst!A:C,3,FALSE)</f>
        <v>Uitgave</v>
      </c>
      <c r="G2223" s="24">
        <f t="shared" si="118"/>
        <v>-10.09</v>
      </c>
      <c r="H2223" t="str">
        <f>VLOOKUP(Tabel1[[#This Row],[categorie]],Lijst!A:B,2,FALSE)</f>
        <v>Vast</v>
      </c>
      <c r="I2223" s="24" t="str">
        <f t="shared" si="119"/>
        <v>OK</v>
      </c>
    </row>
    <row r="2224" spans="1:9" hidden="1" x14ac:dyDescent="0.3">
      <c r="A2224" s="2">
        <v>45967</v>
      </c>
      <c r="B2224" s="24" t="str">
        <f t="shared" si="117"/>
        <v xml:space="preserve">november </v>
      </c>
      <c r="C2224">
        <v>-5.97</v>
      </c>
      <c r="D2224" t="str" cm="1">
        <f t="array" ref="D2224">IFERROR(
  _xlfn.XLOOKUP(TRUE, ISNUMBER(FIND(Trefwoorden!$A$2:$A$99, E2224)), Trefwoorden!$B$2:$B$99),
  "Onbekend"
)</f>
        <v>voeding</v>
      </c>
      <c r="E2224" t="s">
        <v>1104</v>
      </c>
      <c r="F2224" t="str">
        <f>VLOOKUP(Tabel1[[#This Row],[categorie]],Lijst!A:C,3,FALSE)</f>
        <v>Uitgave</v>
      </c>
      <c r="G2224" s="24">
        <f t="shared" si="118"/>
        <v>-5.97</v>
      </c>
      <c r="H2224" t="str">
        <f>VLOOKUP(Tabel1[[#This Row],[categorie]],Lijst!A:B,2,FALSE)</f>
        <v>Vast</v>
      </c>
      <c r="I2224" s="24" t="str">
        <f t="shared" si="119"/>
        <v>OK</v>
      </c>
    </row>
    <row r="2225" spans="1:9" hidden="1" x14ac:dyDescent="0.3">
      <c r="A2225" s="2">
        <v>45968</v>
      </c>
      <c r="B2225" s="24" t="str">
        <f t="shared" si="117"/>
        <v xml:space="preserve">november </v>
      </c>
      <c r="C2225">
        <v>-1.5</v>
      </c>
      <c r="D2225" t="str" cm="1">
        <f t="array" ref="D2225">IFERROR(
  _xlfn.XLOOKUP(TRUE, ISNUMBER(FIND(Trefwoorden!$A$2:$A$99, E2225)), Trefwoorden!$B$2:$B$99),
  "Onbekend"
)</f>
        <v>automaat De Lijn</v>
      </c>
      <c r="E2225" t="s">
        <v>1105</v>
      </c>
      <c r="F2225" t="str">
        <f>VLOOKUP(Tabel1[[#This Row],[categorie]],Lijst!A:C,3,FALSE)</f>
        <v>Uitgave</v>
      </c>
      <c r="G2225" s="24">
        <f t="shared" si="118"/>
        <v>-1.5</v>
      </c>
      <c r="H2225" t="str">
        <f>VLOOKUP(Tabel1[[#This Row],[categorie]],Lijst!A:B,2,FALSE)</f>
        <v>Variabel</v>
      </c>
      <c r="I2225" s="24" t="str">
        <f t="shared" si="119"/>
        <v>OK</v>
      </c>
    </row>
    <row r="2226" spans="1:9" hidden="1" x14ac:dyDescent="0.3">
      <c r="A2226" s="2">
        <v>45968</v>
      </c>
      <c r="B2226" s="24" t="str">
        <f t="shared" si="117"/>
        <v xml:space="preserve">november </v>
      </c>
      <c r="C2226">
        <v>-1.5</v>
      </c>
      <c r="D2226" t="str" cm="1">
        <f t="array" ref="D2226">IFERROR(
  _xlfn.XLOOKUP(TRUE, ISNUMBER(FIND(Trefwoorden!$A$2:$A$99, E2226)), Trefwoorden!$B$2:$B$99),
  "Onbekend"
)</f>
        <v>automaat De Lijn</v>
      </c>
      <c r="E2226" t="s">
        <v>1106</v>
      </c>
      <c r="F2226" t="str">
        <f>VLOOKUP(Tabel1[[#This Row],[categorie]],Lijst!A:C,3,FALSE)</f>
        <v>Uitgave</v>
      </c>
      <c r="G2226" s="24">
        <f t="shared" si="118"/>
        <v>-1.5</v>
      </c>
      <c r="H2226" t="str">
        <f>VLOOKUP(Tabel1[[#This Row],[categorie]],Lijst!A:B,2,FALSE)</f>
        <v>Variabel</v>
      </c>
      <c r="I2226" s="24" t="str">
        <f t="shared" si="119"/>
        <v>OK</v>
      </c>
    </row>
    <row r="2227" spans="1:9" hidden="1" x14ac:dyDescent="0.3">
      <c r="A2227" s="2">
        <v>45968</v>
      </c>
      <c r="B2227" s="24" t="str">
        <f t="shared" si="117"/>
        <v xml:space="preserve">november </v>
      </c>
      <c r="C2227">
        <v>-12.01</v>
      </c>
      <c r="D2227" t="str" cm="1">
        <f t="array" ref="D2227">IFERROR(
  _xlfn.XLOOKUP(TRUE, ISNUMBER(FIND(Trefwoorden!$A$2:$A$99, E2227)), Trefwoorden!$B$2:$B$99),
  "Onbekend"
)</f>
        <v>Euromex</v>
      </c>
      <c r="E2227" t="s">
        <v>1107</v>
      </c>
      <c r="F2227" t="str">
        <f>VLOOKUP(Tabel1[[#This Row],[categorie]],Lijst!A:C,3,FALSE)</f>
        <v>Uitgave</v>
      </c>
      <c r="G2227" s="24">
        <f t="shared" si="118"/>
        <v>-12.01</v>
      </c>
      <c r="H2227" t="str">
        <f>VLOOKUP(Tabel1[[#This Row],[categorie]],Lijst!A:B,2,FALSE)</f>
        <v>Vast</v>
      </c>
      <c r="I2227" s="24" t="str">
        <f t="shared" si="119"/>
        <v>OK</v>
      </c>
    </row>
    <row r="2228" spans="1:9" hidden="1" x14ac:dyDescent="0.3">
      <c r="A2228" s="2">
        <v>45968</v>
      </c>
      <c r="B2228" s="24" t="str">
        <f t="shared" si="117"/>
        <v xml:space="preserve">november </v>
      </c>
      <c r="C2228">
        <v>-810.65</v>
      </c>
      <c r="D2228" t="str" cm="1">
        <f t="array" ref="D2228">IFERROR(
  _xlfn.XLOOKUP(TRUE, ISNUMBER(FIND(Trefwoorden!$A$2:$A$99, E2228)), Trefwoorden!$B$2:$B$99),
  "Onbekend"
)</f>
        <v>Hypotheek</v>
      </c>
      <c r="E2228" t="s">
        <v>1108</v>
      </c>
      <c r="F2228" t="str">
        <f>VLOOKUP(Tabel1[[#This Row],[categorie]],Lijst!A:C,3,FALSE)</f>
        <v>Uitgave</v>
      </c>
      <c r="G2228" s="24">
        <f t="shared" si="118"/>
        <v>-810.65</v>
      </c>
      <c r="H2228" t="str">
        <f>VLOOKUP(Tabel1[[#This Row],[categorie]],Lijst!A:B,2,FALSE)</f>
        <v>Vast</v>
      </c>
      <c r="I2228" s="24" t="str">
        <f t="shared" si="119"/>
        <v>OK</v>
      </c>
    </row>
    <row r="2229" spans="1:9" hidden="1" x14ac:dyDescent="0.3">
      <c r="A2229" s="2">
        <v>45968</v>
      </c>
      <c r="B2229" s="24" t="str">
        <f t="shared" si="117"/>
        <v xml:space="preserve">november </v>
      </c>
      <c r="C2229">
        <v>-6.24</v>
      </c>
      <c r="D2229" t="s">
        <v>13</v>
      </c>
      <c r="E2229" t="s">
        <v>1109</v>
      </c>
      <c r="F2229" t="str">
        <f>VLOOKUP(Tabel1[[#This Row],[categorie]],Lijst!A:C,3,FALSE)</f>
        <v>Uitgave</v>
      </c>
      <c r="G2229" s="24">
        <f t="shared" si="118"/>
        <v>-6.24</v>
      </c>
      <c r="H2229" t="str">
        <f>VLOOKUP(Tabel1[[#This Row],[categorie]],Lijst!A:B,2,FALSE)</f>
        <v>Vast</v>
      </c>
      <c r="I2229" s="24" t="str">
        <f t="shared" si="119"/>
        <v>OK</v>
      </c>
    </row>
    <row r="2230" spans="1:9" hidden="1" x14ac:dyDescent="0.3">
      <c r="A2230" s="2">
        <v>45968</v>
      </c>
      <c r="B2230" s="24" t="str">
        <f t="shared" si="117"/>
        <v xml:space="preserve">november </v>
      </c>
      <c r="C2230">
        <v>-39.119999999999997</v>
      </c>
      <c r="D2230" t="str" cm="1">
        <f t="array" ref="D2230">IFERROR(
  _xlfn.XLOOKUP(TRUE, ISNUMBER(FIND(Trefwoorden!$A$2:$A$99, E2230)), Trefwoorden!$B$2:$B$99),
  "Onbekend"
)</f>
        <v>Gezondheid</v>
      </c>
      <c r="E2230" t="s">
        <v>1110</v>
      </c>
      <c r="F2230" t="s">
        <v>18</v>
      </c>
      <c r="G2230" s="24">
        <f t="shared" si="118"/>
        <v>-39.119999999999997</v>
      </c>
      <c r="H2230" t="str">
        <f>VLOOKUP(Tabel1[[#This Row],[categorie]],Lijst!A:B,2,FALSE)</f>
        <v>Vast</v>
      </c>
      <c r="I2230" s="24" t="str">
        <f t="shared" si="119"/>
        <v>OK</v>
      </c>
    </row>
    <row r="2231" spans="1:9" hidden="1" x14ac:dyDescent="0.3">
      <c r="A2231" s="2">
        <v>45967</v>
      </c>
      <c r="B2231" s="24" t="str">
        <f t="shared" si="117"/>
        <v xml:space="preserve">november </v>
      </c>
      <c r="C2231">
        <v>-6.02</v>
      </c>
      <c r="D2231" t="str" cm="1">
        <f t="array" ref="D2231">IFERROR(
  _xlfn.XLOOKUP(TRUE, ISNUMBER(FIND(Trefwoorden!$A$2:$A$99, E2231)), Trefwoorden!$B$2:$B$99),
  "Onbekend"
)</f>
        <v>Laadbeurt</v>
      </c>
      <c r="E2231" t="s">
        <v>1111</v>
      </c>
      <c r="F2231" t="str">
        <f>VLOOKUP(Tabel1[[#This Row],[categorie]],Lijst!A:C,3,FALSE)</f>
        <v>Uitgave</v>
      </c>
      <c r="G2231" s="24">
        <f t="shared" si="118"/>
        <v>-6.02</v>
      </c>
      <c r="H2231" t="str">
        <f>VLOOKUP(Tabel1[[#This Row],[categorie]],Lijst!A:B,2,FALSE)</f>
        <v>Vast</v>
      </c>
      <c r="I2231" s="24" t="str">
        <f t="shared" si="119"/>
        <v>OK</v>
      </c>
    </row>
    <row r="2232" spans="1:9" hidden="1" x14ac:dyDescent="0.3">
      <c r="A2232" s="2">
        <v>45966</v>
      </c>
      <c r="B2232" s="24" t="str">
        <f t="shared" si="117"/>
        <v xml:space="preserve">november </v>
      </c>
      <c r="C2232">
        <v>-22.51</v>
      </c>
      <c r="D2232" t="str" cm="1">
        <f t="array" ref="D2232">IFERROR(
  _xlfn.XLOOKUP(TRUE, ISNUMBER(FIND(Trefwoorden!$A$2:$A$99, E2232)), Trefwoorden!$B$2:$B$99),
  "Onbekend"
)</f>
        <v>voeding</v>
      </c>
      <c r="E2232" t="s">
        <v>1112</v>
      </c>
      <c r="F2232" t="str">
        <f>VLOOKUP(Tabel1[[#This Row],[categorie]],Lijst!A:C,3,FALSE)</f>
        <v>Uitgave</v>
      </c>
      <c r="G2232" s="24">
        <f t="shared" si="118"/>
        <v>-22.51</v>
      </c>
      <c r="H2232" t="str">
        <f>VLOOKUP(Tabel1[[#This Row],[categorie]],Lijst!A:B,2,FALSE)</f>
        <v>Vast</v>
      </c>
      <c r="I2232" s="24" t="str">
        <f t="shared" si="119"/>
        <v>OK</v>
      </c>
    </row>
    <row r="2233" spans="1:9" hidden="1" x14ac:dyDescent="0.3">
      <c r="A2233" s="2">
        <v>45967</v>
      </c>
      <c r="B2233" s="24" t="str">
        <f t="shared" si="117"/>
        <v xml:space="preserve">november </v>
      </c>
      <c r="C2233">
        <v>-14.99</v>
      </c>
      <c r="D2233" t="str" cm="1">
        <f t="array" ref="D2233">IFERROR(
  _xlfn.XLOOKUP(TRUE, ISNUMBER(FIND(Trefwoorden!$A$2:$A$99, E2233)), Trefwoorden!$B$2:$B$99),
  "Onbekend"
)</f>
        <v>Bol</v>
      </c>
      <c r="E2233" t="s">
        <v>1113</v>
      </c>
      <c r="F2233" t="str">
        <f>VLOOKUP(Tabel1[[#This Row],[categorie]],Lijst!A:C,3,FALSE)</f>
        <v>Uitgave</v>
      </c>
      <c r="G2233" s="24">
        <f t="shared" si="118"/>
        <v>-14.99</v>
      </c>
      <c r="H2233" t="str">
        <f>VLOOKUP(Tabel1[[#This Row],[categorie]],Lijst!A:B,2,FALSE)</f>
        <v>Variabel</v>
      </c>
      <c r="I2233" s="24" t="str">
        <f t="shared" si="119"/>
        <v>OK</v>
      </c>
    </row>
    <row r="2234" spans="1:9" hidden="1" x14ac:dyDescent="0.3">
      <c r="A2234" s="2">
        <v>45967</v>
      </c>
      <c r="B2234" s="24" t="str">
        <f t="shared" si="117"/>
        <v xml:space="preserve">november </v>
      </c>
      <c r="C2234">
        <v>-1.5</v>
      </c>
      <c r="D2234" t="str" cm="1">
        <f t="array" ref="D2234">IFERROR(
  _xlfn.XLOOKUP(TRUE, ISNUMBER(FIND(Trefwoorden!$A$2:$A$99, E2234)), Trefwoorden!$B$2:$B$99),
  "Onbekend"
)</f>
        <v>automaat De Lijn</v>
      </c>
      <c r="E2234" t="s">
        <v>1114</v>
      </c>
      <c r="F2234" t="str">
        <f>VLOOKUP(Tabel1[[#This Row],[categorie]],Lijst!A:C,3,FALSE)</f>
        <v>Uitgave</v>
      </c>
      <c r="G2234" s="24">
        <f t="shared" si="118"/>
        <v>-1.5</v>
      </c>
      <c r="H2234" t="str">
        <f>VLOOKUP(Tabel1[[#This Row],[categorie]],Lijst!A:B,2,FALSE)</f>
        <v>Variabel</v>
      </c>
      <c r="I2234" s="24" t="str">
        <f t="shared" si="119"/>
        <v>OK</v>
      </c>
    </row>
    <row r="2235" spans="1:9" hidden="1" x14ac:dyDescent="0.3">
      <c r="A2235" s="2">
        <v>45967</v>
      </c>
      <c r="B2235" s="24" t="str">
        <f t="shared" si="117"/>
        <v xml:space="preserve">november </v>
      </c>
      <c r="C2235">
        <v>-8.5500000000000007</v>
      </c>
      <c r="D2235" t="s">
        <v>9</v>
      </c>
      <c r="E2235" t="s">
        <v>1115</v>
      </c>
      <c r="F2235" t="s">
        <v>18</v>
      </c>
      <c r="G2235" s="24">
        <f t="shared" si="118"/>
        <v>-8.5500000000000007</v>
      </c>
      <c r="H2235" t="str">
        <f>VLOOKUP(Tabel1[[#This Row],[categorie]],Lijst!A:B,2,FALSE)</f>
        <v>Variabel</v>
      </c>
      <c r="I2235" s="24" t="str">
        <f t="shared" si="119"/>
        <v>OK</v>
      </c>
    </row>
    <row r="2236" spans="1:9" hidden="1" x14ac:dyDescent="0.3">
      <c r="A2236" s="2">
        <v>45967</v>
      </c>
      <c r="B2236" s="24" t="str">
        <f t="shared" si="117"/>
        <v xml:space="preserve">november </v>
      </c>
      <c r="C2236">
        <v>-125.81</v>
      </c>
      <c r="D2236" t="s">
        <v>24</v>
      </c>
      <c r="E2236" t="s">
        <v>1116</v>
      </c>
      <c r="F2236" t="str">
        <f>VLOOKUP(Tabel1[[#This Row],[categorie]],Lijst!A:C,3,FALSE)</f>
        <v>Uitgave</v>
      </c>
      <c r="G2236" s="24">
        <f t="shared" si="118"/>
        <v>-125.81</v>
      </c>
      <c r="H2236" t="str">
        <f>VLOOKUP(Tabel1[[#This Row],[categorie]],Lijst!A:B,2,FALSE)</f>
        <v>Vast</v>
      </c>
      <c r="I2236" s="24" t="str">
        <f t="shared" si="119"/>
        <v>OK</v>
      </c>
    </row>
    <row r="2237" spans="1:9" hidden="1" x14ac:dyDescent="0.3">
      <c r="A2237" s="2">
        <v>45966</v>
      </c>
      <c r="B2237" s="24" t="str">
        <f t="shared" si="117"/>
        <v xml:space="preserve">november </v>
      </c>
      <c r="C2237">
        <v>-4</v>
      </c>
      <c r="D2237" t="str" cm="1">
        <f t="array" ref="D2237">IFERROR(
  _xlfn.XLOOKUP(TRUE, ISNUMBER(FIND(Trefwoorden!$A$2:$A$99, E2237)), Trefwoorden!$B$2:$B$99),
  "Onbekend"
)</f>
        <v>Gezondheid</v>
      </c>
      <c r="E2237" t="s">
        <v>1117</v>
      </c>
      <c r="F2237" t="s">
        <v>18</v>
      </c>
      <c r="G2237" s="24">
        <f t="shared" si="118"/>
        <v>-4</v>
      </c>
      <c r="H2237" t="str">
        <f>VLOOKUP(Tabel1[[#This Row],[categorie]],Lijst!A:B,2,FALSE)</f>
        <v>Vast</v>
      </c>
      <c r="I2237" s="24" t="str">
        <f t="shared" si="119"/>
        <v>OK</v>
      </c>
    </row>
    <row r="2238" spans="1:9" hidden="1" x14ac:dyDescent="0.3">
      <c r="A2238" s="2">
        <v>45966</v>
      </c>
      <c r="B2238" s="24" t="str">
        <f t="shared" si="117"/>
        <v xml:space="preserve">november </v>
      </c>
      <c r="C2238">
        <v>-5.4</v>
      </c>
      <c r="D2238" t="s">
        <v>75</v>
      </c>
      <c r="E2238" t="s">
        <v>1118</v>
      </c>
      <c r="F2238" t="s">
        <v>18</v>
      </c>
      <c r="G2238" s="24">
        <f t="shared" si="118"/>
        <v>-5.4</v>
      </c>
      <c r="H2238" t="str">
        <f>VLOOKUP(Tabel1[[#This Row],[categorie]],Lijst!A:B,2,FALSE)</f>
        <v>Variabel</v>
      </c>
      <c r="I2238" s="24" t="str">
        <f t="shared" si="119"/>
        <v>OK</v>
      </c>
    </row>
    <row r="2239" spans="1:9" hidden="1" x14ac:dyDescent="0.3">
      <c r="A2239" s="2">
        <v>45966</v>
      </c>
      <c r="B2239" s="24" t="str">
        <f t="shared" si="117"/>
        <v xml:space="preserve">november </v>
      </c>
      <c r="C2239">
        <v>-1.4</v>
      </c>
      <c r="D2239" t="s">
        <v>9</v>
      </c>
      <c r="E2239" t="s">
        <v>1119</v>
      </c>
      <c r="F2239" t="s">
        <v>18</v>
      </c>
      <c r="G2239" s="24">
        <f t="shared" si="118"/>
        <v>-1.4</v>
      </c>
      <c r="H2239" t="str">
        <f>VLOOKUP(Tabel1[[#This Row],[categorie]],Lijst!A:B,2,FALSE)</f>
        <v>Variabel</v>
      </c>
      <c r="I2239" s="24" t="str">
        <f t="shared" si="119"/>
        <v>OK</v>
      </c>
    </row>
    <row r="2240" spans="1:9" hidden="1" x14ac:dyDescent="0.3">
      <c r="A2240" s="2">
        <v>45966</v>
      </c>
      <c r="B2240" s="24" t="str">
        <f t="shared" si="117"/>
        <v xml:space="preserve">november </v>
      </c>
      <c r="C2240">
        <v>-1.4</v>
      </c>
      <c r="D2240" t="s">
        <v>9</v>
      </c>
      <c r="E2240" t="s">
        <v>1120</v>
      </c>
      <c r="F2240" t="s">
        <v>18</v>
      </c>
      <c r="G2240" s="24">
        <f t="shared" si="118"/>
        <v>-1.4</v>
      </c>
      <c r="H2240" t="str">
        <f>VLOOKUP(Tabel1[[#This Row],[categorie]],Lijst!A:B,2,FALSE)</f>
        <v>Variabel</v>
      </c>
      <c r="I2240" s="24" t="str">
        <f t="shared" si="119"/>
        <v>OK</v>
      </c>
    </row>
    <row r="2241" spans="1:9" hidden="1" x14ac:dyDescent="0.3">
      <c r="A2241" s="2">
        <v>45966</v>
      </c>
      <c r="B2241" s="24" t="str">
        <f t="shared" si="117"/>
        <v xml:space="preserve">november </v>
      </c>
      <c r="C2241">
        <v>-7.2</v>
      </c>
      <c r="D2241" t="s">
        <v>9</v>
      </c>
      <c r="E2241" t="s">
        <v>1121</v>
      </c>
      <c r="F2241" t="s">
        <v>18</v>
      </c>
      <c r="G2241" s="24">
        <f t="shared" si="118"/>
        <v>-7.2</v>
      </c>
      <c r="H2241" t="str">
        <f>VLOOKUP(Tabel1[[#This Row],[categorie]],Lijst!A:B,2,FALSE)</f>
        <v>Variabel</v>
      </c>
      <c r="I2241" s="24" t="str">
        <f t="shared" si="119"/>
        <v>OK</v>
      </c>
    </row>
    <row r="2242" spans="1:9" hidden="1" x14ac:dyDescent="0.3">
      <c r="A2242" s="2">
        <v>45966</v>
      </c>
      <c r="B2242" s="24" t="str">
        <f t="shared" si="117"/>
        <v xml:space="preserve">november </v>
      </c>
      <c r="C2242">
        <v>-89.04</v>
      </c>
      <c r="D2242" t="str" cm="1">
        <f t="array" ref="D2242">IFERROR(
  _xlfn.XLOOKUP(TRUE, ISNUMBER(FIND(Trefwoorden!$A$2:$A$99, E2242)), Trefwoorden!$B$2:$B$99),
  "Onbekend"
)</f>
        <v>Laadbeurt</v>
      </c>
      <c r="E2242" t="s">
        <v>1122</v>
      </c>
      <c r="F2242" t="str">
        <f>VLOOKUP(Tabel1[[#This Row],[categorie]],Lijst!A:C,3,FALSE)</f>
        <v>Uitgave</v>
      </c>
      <c r="G2242" s="24">
        <f t="shared" si="118"/>
        <v>-89.04</v>
      </c>
      <c r="H2242" t="str">
        <f>VLOOKUP(Tabel1[[#This Row],[categorie]],Lijst!A:B,2,FALSE)</f>
        <v>Vast</v>
      </c>
      <c r="I2242" s="24" t="str">
        <f t="shared" si="119"/>
        <v>OK</v>
      </c>
    </row>
    <row r="2243" spans="1:9" hidden="1" x14ac:dyDescent="0.3">
      <c r="A2243" s="2">
        <v>45965</v>
      </c>
      <c r="B2243" s="24" t="str">
        <f t="shared" si="117"/>
        <v xml:space="preserve">november </v>
      </c>
      <c r="C2243">
        <v>-19.72</v>
      </c>
      <c r="D2243" t="str" cm="1">
        <f t="array" ref="D2243">IFERROR(
  _xlfn.XLOOKUP(TRUE, ISNUMBER(FIND(Trefwoorden!$A$2:$A$99, E2243)), Trefwoorden!$B$2:$B$99),
  "Onbekend"
)</f>
        <v>Gezondheid</v>
      </c>
      <c r="E2243" t="s">
        <v>1123</v>
      </c>
      <c r="F2243" t="s">
        <v>18</v>
      </c>
      <c r="G2243" s="24">
        <f t="shared" si="118"/>
        <v>-19.72</v>
      </c>
      <c r="H2243" t="str">
        <f>VLOOKUP(Tabel1[[#This Row],[categorie]],Lijst!A:B,2,FALSE)</f>
        <v>Vast</v>
      </c>
      <c r="I2243" s="24" t="str">
        <f t="shared" si="119"/>
        <v>OK</v>
      </c>
    </row>
    <row r="2244" spans="1:9" hidden="1" x14ac:dyDescent="0.3">
      <c r="A2244" s="2">
        <v>45964</v>
      </c>
      <c r="B2244" s="24" t="str">
        <f t="shared" si="117"/>
        <v xml:space="preserve">november </v>
      </c>
      <c r="C2244">
        <v>-1.19</v>
      </c>
      <c r="D2244" t="str" cm="1">
        <f t="array" ref="D2244">IFERROR(
  _xlfn.XLOOKUP(TRUE, ISNUMBER(FIND(Trefwoorden!$A$2:$A$99, E2244)), Trefwoorden!$B$2:$B$99),
  "Onbekend"
)</f>
        <v>voeding</v>
      </c>
      <c r="E2244" t="s">
        <v>1124</v>
      </c>
      <c r="F2244" t="str">
        <f>VLOOKUP(Tabel1[[#This Row],[categorie]],Lijst!A:C,3,FALSE)</f>
        <v>Uitgave</v>
      </c>
      <c r="G2244" s="24">
        <f t="shared" si="118"/>
        <v>-1.19</v>
      </c>
      <c r="H2244" t="str">
        <f>VLOOKUP(Tabel1[[#This Row],[categorie]],Lijst!A:B,2,FALSE)</f>
        <v>Vast</v>
      </c>
      <c r="I2244" s="24" t="str">
        <f t="shared" si="119"/>
        <v>OK</v>
      </c>
    </row>
    <row r="2245" spans="1:9" hidden="1" x14ac:dyDescent="0.3">
      <c r="A2245" s="2">
        <v>45965</v>
      </c>
      <c r="B2245" s="24" t="str">
        <f t="shared" si="117"/>
        <v xml:space="preserve">november </v>
      </c>
      <c r="C2245">
        <v>-0.1</v>
      </c>
      <c r="D2245" t="s">
        <v>26</v>
      </c>
      <c r="E2245" t="s">
        <v>1125</v>
      </c>
      <c r="F2245" t="str">
        <f>VLOOKUP(Tabel1[[#This Row],[categorie]],Lijst!A:C,3,FALSE)</f>
        <v>Uitgave</v>
      </c>
      <c r="G2245" s="24">
        <f t="shared" si="118"/>
        <v>-0.1</v>
      </c>
      <c r="H2245" t="str">
        <f>VLOOKUP(Tabel1[[#This Row],[categorie]],Lijst!A:B,2,FALSE)</f>
        <v>Variabel</v>
      </c>
      <c r="I2245" s="24" t="str">
        <f t="shared" si="119"/>
        <v>OK</v>
      </c>
    </row>
    <row r="2246" spans="1:9" hidden="1" x14ac:dyDescent="0.3">
      <c r="A2246" s="2">
        <v>45965</v>
      </c>
      <c r="B2246" s="24" t="str">
        <f t="shared" si="117"/>
        <v xml:space="preserve">november </v>
      </c>
      <c r="C2246">
        <v>-1.5</v>
      </c>
      <c r="D2246" t="str" cm="1">
        <f t="array" ref="D2246">IFERROR(
  _xlfn.XLOOKUP(TRUE, ISNUMBER(FIND(Trefwoorden!$A$2:$A$99, E2246)), Trefwoorden!$B$2:$B$99),
  "Onbekend"
)</f>
        <v>automaat De Lijn</v>
      </c>
      <c r="E2246" t="s">
        <v>1126</v>
      </c>
      <c r="F2246" t="str">
        <f>VLOOKUP(Tabel1[[#This Row],[categorie]],Lijst!A:C,3,FALSE)</f>
        <v>Uitgave</v>
      </c>
      <c r="G2246" s="24">
        <f t="shared" si="118"/>
        <v>-1.5</v>
      </c>
      <c r="H2246" t="str">
        <f>VLOOKUP(Tabel1[[#This Row],[categorie]],Lijst!A:B,2,FALSE)</f>
        <v>Variabel</v>
      </c>
      <c r="I2246" s="24" t="str">
        <f t="shared" si="119"/>
        <v>OK</v>
      </c>
    </row>
    <row r="2247" spans="1:9" hidden="1" x14ac:dyDescent="0.3">
      <c r="A2247" s="2">
        <v>45965</v>
      </c>
      <c r="B2247" s="24" t="str">
        <f t="shared" si="117"/>
        <v xml:space="preserve">november </v>
      </c>
      <c r="C2247">
        <v>-1.5</v>
      </c>
      <c r="D2247" t="str" cm="1">
        <f t="array" ref="D2247">IFERROR(
  _xlfn.XLOOKUP(TRUE, ISNUMBER(FIND(Trefwoorden!$A$2:$A$99, E2247)), Trefwoorden!$B$2:$B$99),
  "Onbekend"
)</f>
        <v>automaat De Lijn</v>
      </c>
      <c r="E2247" t="s">
        <v>1127</v>
      </c>
      <c r="F2247" t="str">
        <f>VLOOKUP(Tabel1[[#This Row],[categorie]],Lijst!A:C,3,FALSE)</f>
        <v>Uitgave</v>
      </c>
      <c r="G2247" s="24">
        <f t="shared" si="118"/>
        <v>-1.5</v>
      </c>
      <c r="H2247" t="str">
        <f>VLOOKUP(Tabel1[[#This Row],[categorie]],Lijst!A:B,2,FALSE)</f>
        <v>Variabel</v>
      </c>
      <c r="I2247" s="24" t="str">
        <f t="shared" si="119"/>
        <v>OK</v>
      </c>
    </row>
    <row r="2248" spans="1:9" hidden="1" x14ac:dyDescent="0.3">
      <c r="A2248" s="2">
        <v>45963</v>
      </c>
      <c r="B2248" s="24" t="str">
        <f t="shared" si="117"/>
        <v xml:space="preserve">november </v>
      </c>
      <c r="C2248">
        <v>-4.79</v>
      </c>
      <c r="D2248" t="str" cm="1">
        <f t="array" ref="D2248">IFERROR(
  _xlfn.XLOOKUP(TRUE, ISNUMBER(FIND(Trefwoorden!$A$2:$A$99, E2248)), Trefwoorden!$B$2:$B$99),
  "Onbekend"
)</f>
        <v>voeding</v>
      </c>
      <c r="E2248" t="s">
        <v>1128</v>
      </c>
      <c r="F2248" t="str">
        <f>VLOOKUP(Tabel1[[#This Row],[categorie]],Lijst!A:C,3,FALSE)</f>
        <v>Uitgave</v>
      </c>
      <c r="G2248" s="24">
        <f t="shared" si="118"/>
        <v>-4.79</v>
      </c>
      <c r="H2248" t="str">
        <f>VLOOKUP(Tabel1[[#This Row],[categorie]],Lijst!A:B,2,FALSE)</f>
        <v>Vast</v>
      </c>
      <c r="I2248" s="24" t="str">
        <f t="shared" si="119"/>
        <v>OK</v>
      </c>
    </row>
    <row r="2249" spans="1:9" hidden="1" x14ac:dyDescent="0.3">
      <c r="A2249" s="2">
        <v>45963</v>
      </c>
      <c r="B2249" s="24" t="str">
        <f t="shared" si="117"/>
        <v xml:space="preserve">november </v>
      </c>
      <c r="C2249">
        <v>-26.99</v>
      </c>
      <c r="D2249" t="str" cm="1">
        <f t="array" ref="D2249">IFERROR(
  _xlfn.XLOOKUP(TRUE, ISNUMBER(FIND(Trefwoorden!$A$2:$A$99, E2249)), Trefwoorden!$B$2:$B$99),
  "Onbekend"
)</f>
        <v>Coolblue</v>
      </c>
      <c r="E2249" t="s">
        <v>1129</v>
      </c>
      <c r="F2249" t="str">
        <f>VLOOKUP(Tabel1[[#This Row],[categorie]],Lijst!A:C,3,FALSE)</f>
        <v>Uitgave</v>
      </c>
      <c r="G2249" s="24">
        <f t="shared" si="118"/>
        <v>-26.99</v>
      </c>
      <c r="H2249" t="str">
        <f>VLOOKUP(Tabel1[[#This Row],[categorie]],Lijst!A:B,2,FALSE)</f>
        <v>Variabel</v>
      </c>
      <c r="I2249" s="24" t="str">
        <f t="shared" si="119"/>
        <v>OK</v>
      </c>
    </row>
    <row r="2250" spans="1:9" hidden="1" x14ac:dyDescent="0.3">
      <c r="A2250" s="2">
        <v>45964</v>
      </c>
      <c r="B2250" s="24" t="str">
        <f t="shared" ref="B2250:B2281" si="120">TEXT(A2250,"mmmm ")</f>
        <v xml:space="preserve">november </v>
      </c>
      <c r="C2250">
        <v>-7</v>
      </c>
      <c r="D2250" t="s">
        <v>9</v>
      </c>
      <c r="E2250" t="s">
        <v>1130</v>
      </c>
      <c r="F2250" t="s">
        <v>18</v>
      </c>
      <c r="G2250" s="24">
        <f t="shared" ref="G2250:G2281" si="121">IF(F2250="Uitgave", -ABS(C2250), ABS(C2250))</f>
        <v>-7</v>
      </c>
      <c r="H2250" t="str">
        <f>VLOOKUP(Tabel1[[#This Row],[categorie]],Lijst!A:B,2,FALSE)</f>
        <v>Variabel</v>
      </c>
      <c r="I2250" s="24" t="str">
        <f t="shared" ref="I2250:I2258" si="122">IF(OR(AND(F2250="Uitgave", C2250&lt;0), AND(F2250="Inkomst", C2250&gt;0)), "OK", "FOUT")</f>
        <v>OK</v>
      </c>
    </row>
    <row r="2251" spans="1:9" hidden="1" x14ac:dyDescent="0.3">
      <c r="A2251" s="2">
        <v>45964</v>
      </c>
      <c r="B2251" s="24" t="str">
        <f t="shared" si="120"/>
        <v xml:space="preserve">november </v>
      </c>
      <c r="C2251">
        <v>-20.71</v>
      </c>
      <c r="D2251" t="str" cm="1">
        <f t="array" ref="D2251">IFERROR(
  _xlfn.XLOOKUP(TRUE, ISNUMBER(FIND(Trefwoorden!$A$2:$A$99, E2251)), Trefwoorden!$B$2:$B$99),
  "Onbekend"
)</f>
        <v>vakbond</v>
      </c>
      <c r="E2251" t="s">
        <v>1131</v>
      </c>
      <c r="F2251" t="s">
        <v>18</v>
      </c>
      <c r="G2251" s="24">
        <f t="shared" si="121"/>
        <v>-20.71</v>
      </c>
      <c r="H2251" t="str">
        <f>VLOOKUP(Tabel1[[#This Row],[categorie]],Lijst!A:B,2,FALSE)</f>
        <v>Vast</v>
      </c>
      <c r="I2251" s="24" t="str">
        <f t="shared" si="122"/>
        <v>OK</v>
      </c>
    </row>
    <row r="2252" spans="1:9" hidden="1" x14ac:dyDescent="0.3">
      <c r="A2252" s="2">
        <v>45964</v>
      </c>
      <c r="B2252" s="24" t="str">
        <f t="shared" si="120"/>
        <v xml:space="preserve">november </v>
      </c>
      <c r="C2252">
        <v>-54</v>
      </c>
      <c r="D2252" t="s">
        <v>11</v>
      </c>
      <c r="E2252" t="s">
        <v>1132</v>
      </c>
      <c r="F2252" t="s">
        <v>18</v>
      </c>
      <c r="G2252" s="24">
        <f t="shared" si="121"/>
        <v>-54</v>
      </c>
      <c r="H2252" t="str">
        <f>VLOOKUP(Tabel1[[#This Row],[categorie]],Lijst!A:B,2,FALSE)</f>
        <v>Vast</v>
      </c>
      <c r="I2252" s="24" t="str">
        <f t="shared" si="122"/>
        <v>OK</v>
      </c>
    </row>
    <row r="2253" spans="1:9" hidden="1" x14ac:dyDescent="0.3">
      <c r="A2253" s="2">
        <v>45964</v>
      </c>
      <c r="B2253" s="24" t="str">
        <f t="shared" si="120"/>
        <v xml:space="preserve">november </v>
      </c>
      <c r="C2253">
        <v>-45.25</v>
      </c>
      <c r="D2253" t="str" cm="1">
        <f t="array" ref="D2253">IFERROR(
  _xlfn.XLOOKUP(TRUE, ISNUMBER(FIND(Trefwoorden!$A$2:$A$99, E2253)), Trefwoorden!$B$2:$B$99),
  "Onbekend"
)</f>
        <v>Hospitalisatie</v>
      </c>
      <c r="E2253" t="s">
        <v>1133</v>
      </c>
      <c r="F2253" t="str">
        <f>VLOOKUP(Tabel1[[#This Row],[categorie]],Lijst!A:C,3,FALSE)</f>
        <v>Uitgave</v>
      </c>
      <c r="G2253" s="24">
        <f t="shared" si="121"/>
        <v>-45.25</v>
      </c>
      <c r="H2253" t="str">
        <f>VLOOKUP(Tabel1[[#This Row],[categorie]],Lijst!A:B,2,FALSE)</f>
        <v>Vast</v>
      </c>
      <c r="I2253" s="24" t="str">
        <f t="shared" si="122"/>
        <v>OK</v>
      </c>
    </row>
    <row r="2254" spans="1:9" hidden="1" x14ac:dyDescent="0.3">
      <c r="A2254" s="2">
        <v>45964</v>
      </c>
      <c r="B2254" s="24" t="str">
        <f t="shared" si="120"/>
        <v xml:space="preserve">november </v>
      </c>
      <c r="C2254">
        <v>-18.95</v>
      </c>
      <c r="D2254" t="str" cm="1">
        <f t="array" ref="D2254">IFERROR(
  _xlfn.XLOOKUP(TRUE, ISNUMBER(FIND(Trefwoorden!$A$2:$A$99, E2254)), Trefwoorden!$B$2:$B$99),
  "Onbekend"
)</f>
        <v>Hospitalisatie</v>
      </c>
      <c r="E2254" t="s">
        <v>1134</v>
      </c>
      <c r="F2254" t="str">
        <f>VLOOKUP(Tabel1[[#This Row],[categorie]],Lijst!A:C,3,FALSE)</f>
        <v>Uitgave</v>
      </c>
      <c r="G2254" s="24">
        <f t="shared" si="121"/>
        <v>-18.95</v>
      </c>
      <c r="H2254" t="str">
        <f>VLOOKUP(Tabel1[[#This Row],[categorie]],Lijst!A:B,2,FALSE)</f>
        <v>Vast</v>
      </c>
      <c r="I2254" s="24" t="str">
        <f t="shared" si="122"/>
        <v>OK</v>
      </c>
    </row>
    <row r="2255" spans="1:9" hidden="1" x14ac:dyDescent="0.3">
      <c r="A2255" s="2">
        <v>45964</v>
      </c>
      <c r="B2255" s="24" t="str">
        <f t="shared" si="120"/>
        <v xml:space="preserve">november </v>
      </c>
      <c r="C2255">
        <v>-12</v>
      </c>
      <c r="D2255" t="s">
        <v>71</v>
      </c>
      <c r="E2255" t="s">
        <v>1135</v>
      </c>
      <c r="F2255" t="str">
        <f>VLOOKUP(Tabel1[[#This Row],[categorie]],Lijst!A:C,3,FALSE)</f>
        <v>Uitgave</v>
      </c>
      <c r="G2255" s="24">
        <f t="shared" si="121"/>
        <v>-12</v>
      </c>
      <c r="H2255" t="str">
        <f>VLOOKUP(Tabel1[[#This Row],[categorie]],Lijst!A:B,2,FALSE)</f>
        <v>Variabel</v>
      </c>
      <c r="I2255" s="24" t="str">
        <f t="shared" si="122"/>
        <v>OK</v>
      </c>
    </row>
    <row r="2256" spans="1:9" hidden="1" x14ac:dyDescent="0.3">
      <c r="A2256" s="2">
        <v>45961</v>
      </c>
      <c r="B2256" s="24" t="str">
        <f t="shared" si="120"/>
        <v xml:space="preserve">oktober </v>
      </c>
      <c r="C2256">
        <v>-34.21</v>
      </c>
      <c r="D2256" t="str" cm="1">
        <f t="array" ref="D2256">IFERROR(
  _xlfn.XLOOKUP(TRUE, ISNUMBER(FIND(Trefwoorden!$A$2:$A$99, E2256)), Trefwoorden!$B$2:$B$99),
  "Onbekend"
)</f>
        <v>voeding</v>
      </c>
      <c r="E2256" t="s">
        <v>1136</v>
      </c>
      <c r="F2256" t="str">
        <f>VLOOKUP(Tabel1[[#This Row],[categorie]],Lijst!A:C,3,FALSE)</f>
        <v>Uitgave</v>
      </c>
      <c r="G2256" s="24">
        <f t="shared" si="121"/>
        <v>-34.21</v>
      </c>
      <c r="H2256" t="str">
        <f>VLOOKUP(Tabel1[[#This Row],[categorie]],Lijst!A:B,2,FALSE)</f>
        <v>Vast</v>
      </c>
      <c r="I2256" s="24" t="str">
        <f t="shared" si="122"/>
        <v>OK</v>
      </c>
    </row>
    <row r="2257" spans="1:9" hidden="1" x14ac:dyDescent="0.3">
      <c r="A2257" s="2">
        <v>45962</v>
      </c>
      <c r="B2257" s="24" t="str">
        <f t="shared" si="120"/>
        <v xml:space="preserve">november </v>
      </c>
      <c r="C2257">
        <v>-100</v>
      </c>
      <c r="D2257" t="str" cm="1">
        <f t="array" ref="D2257">IFERROR(
  _xlfn.XLOOKUP(TRUE, ISNUMBER(FIND(Trefwoorden!$A$2:$A$99, E2257)), Trefwoorden!$B$2:$B$99),
  "Onbekend"
)</f>
        <v>voeding</v>
      </c>
      <c r="E2257" t="s">
        <v>1137</v>
      </c>
      <c r="F2257" t="str">
        <f>VLOOKUP(Tabel1[[#This Row],[categorie]],Lijst!A:C,3,FALSE)</f>
        <v>Uitgave</v>
      </c>
      <c r="G2257" s="24">
        <f t="shared" si="121"/>
        <v>-100</v>
      </c>
      <c r="H2257" t="str">
        <f>VLOOKUP(Tabel1[[#This Row],[categorie]],Lijst!A:B,2,FALSE)</f>
        <v>Vast</v>
      </c>
      <c r="I2257" s="24" t="str">
        <f t="shared" si="122"/>
        <v>OK</v>
      </c>
    </row>
    <row r="2258" spans="1:9" hidden="1" x14ac:dyDescent="0.3">
      <c r="A2258" s="2">
        <v>45962</v>
      </c>
      <c r="B2258" s="24" t="str">
        <f t="shared" si="120"/>
        <v xml:space="preserve">november </v>
      </c>
      <c r="C2258">
        <v>-58.69</v>
      </c>
      <c r="D2258" t="s">
        <v>40</v>
      </c>
      <c r="E2258" t="s">
        <v>1138</v>
      </c>
      <c r="F2258" t="str">
        <f>VLOOKUP(Tabel1[[#This Row],[categorie]],Lijst!A:C,3,FALSE)</f>
        <v>Uitgave</v>
      </c>
      <c r="G2258" s="24">
        <f t="shared" si="121"/>
        <v>-58.69</v>
      </c>
      <c r="H2258" t="str">
        <f>VLOOKUP(Tabel1[[#This Row],[categorie]],Lijst!A:B,2,FALSE)</f>
        <v>Variabel</v>
      </c>
      <c r="I2258" s="24" t="str">
        <f t="shared" si="122"/>
        <v>OK</v>
      </c>
    </row>
  </sheetData>
  <dataConsolidate/>
  <conditionalFormatting sqref="E2:E2258">
    <cfRule type="duplicateValues" dxfId="58" priority="217"/>
  </conditionalFormatting>
  <pageMargins left="0.7" right="0.7" top="0.75" bottom="0.75" header="0.3" footer="0.3"/>
  <customProperties>
    <customPr name="_pios_id" r:id="rId1"/>
  </customPropertie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EFC8AF-58D4-4FCE-996D-82800E706660}">
          <x14:formula1>
            <xm:f>Lijst!$A:$A</xm:f>
          </x14:formula1>
          <xm:sqref>D2:D2258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566D-F663-4EE5-856F-23B09B5FBC42}">
  <dimension ref="A1:AC235"/>
  <sheetViews>
    <sheetView tabSelected="1" topLeftCell="B65" zoomScale="90" zoomScaleNormal="90" workbookViewId="0">
      <selection activeCell="K69" sqref="K69"/>
    </sheetView>
  </sheetViews>
  <sheetFormatPr defaultRowHeight="14.4" x14ac:dyDescent="0.3"/>
  <cols>
    <col min="1" max="1" width="17.88671875" bestFit="1" customWidth="1"/>
    <col min="2" max="2" width="19.88671875" bestFit="1" customWidth="1"/>
    <col min="3" max="14" width="15.44140625" bestFit="1" customWidth="1"/>
    <col min="15" max="15" width="14" bestFit="1" customWidth="1"/>
    <col min="16" max="17" width="14" customWidth="1"/>
    <col min="18" max="18" width="13.88671875" bestFit="1" customWidth="1"/>
    <col min="19" max="19" width="33" bestFit="1" customWidth="1"/>
    <col min="20" max="54" width="28.6640625" bestFit="1" customWidth="1"/>
    <col min="55" max="55" width="32.5546875" bestFit="1" customWidth="1"/>
    <col min="56" max="56" width="34.33203125" bestFit="1" customWidth="1"/>
    <col min="57" max="57" width="20.6640625" bestFit="1" customWidth="1"/>
    <col min="58" max="58" width="24.33203125" bestFit="1" customWidth="1"/>
  </cols>
  <sheetData>
    <row r="1" spans="1:29" ht="28.95" customHeight="1" x14ac:dyDescent="0.3">
      <c r="A1" s="22" t="s">
        <v>341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0"/>
      <c r="Q1" s="20"/>
      <c r="R1" s="8"/>
      <c r="S1" s="8"/>
      <c r="T1" s="13">
        <f t="shared" ref="T1:AB1" si="0">DATE(2025,COLUMN()-3,1)</f>
        <v>46143</v>
      </c>
      <c r="U1" s="13">
        <f t="shared" si="0"/>
        <v>46174</v>
      </c>
      <c r="V1" s="13">
        <f t="shared" si="0"/>
        <v>46204</v>
      </c>
      <c r="W1" s="13">
        <f t="shared" si="0"/>
        <v>46235</v>
      </c>
      <c r="X1" s="13">
        <f t="shared" si="0"/>
        <v>46266</v>
      </c>
      <c r="Y1" s="13">
        <f t="shared" si="0"/>
        <v>46296</v>
      </c>
      <c r="Z1" s="13">
        <f t="shared" si="0"/>
        <v>46327</v>
      </c>
      <c r="AA1" s="13">
        <f t="shared" si="0"/>
        <v>46357</v>
      </c>
      <c r="AB1" s="13">
        <f t="shared" si="0"/>
        <v>46388</v>
      </c>
      <c r="AC1" s="13">
        <f t="shared" ref="AC1" si="1">DATE(2025,COLUMN()-2,1)</f>
        <v>46447</v>
      </c>
    </row>
    <row r="2" spans="1:29" ht="28.9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0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93.6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4.4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0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spans="1:29" ht="14.4" customHeight="1" x14ac:dyDescent="0.3">
      <c r="A5" s="1" t="s">
        <v>325</v>
      </c>
      <c r="C5" s="1" t="s">
        <v>5</v>
      </c>
      <c r="R5" s="21" t="s">
        <v>340</v>
      </c>
      <c r="S5" s="21">
        <f>Score!E7</f>
        <v>70</v>
      </c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21" x14ac:dyDescent="0.4">
      <c r="A6" s="14" t="s">
        <v>20</v>
      </c>
      <c r="B6" s="14" t="s">
        <v>210</v>
      </c>
      <c r="C6" s="15" t="s">
        <v>219</v>
      </c>
      <c r="D6" s="15" t="s">
        <v>218</v>
      </c>
      <c r="E6" s="15" t="s">
        <v>217</v>
      </c>
      <c r="F6" s="15" t="s">
        <v>216</v>
      </c>
      <c r="G6" s="15" t="s">
        <v>215</v>
      </c>
      <c r="H6" s="15" t="s">
        <v>214</v>
      </c>
      <c r="I6" s="15" t="s">
        <v>212</v>
      </c>
      <c r="J6" s="15" t="s">
        <v>213</v>
      </c>
      <c r="K6" s="15" t="s">
        <v>586</v>
      </c>
      <c r="L6" s="15" t="s">
        <v>222</v>
      </c>
      <c r="M6" s="15" t="s">
        <v>221</v>
      </c>
      <c r="N6" s="15" t="s">
        <v>220</v>
      </c>
      <c r="O6" s="15" t="s">
        <v>4</v>
      </c>
      <c r="Q6" s="15"/>
      <c r="R6" s="21"/>
      <c r="S6" s="21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3">
      <c r="A7" t="s">
        <v>211</v>
      </c>
      <c r="B7" t="s">
        <v>83</v>
      </c>
      <c r="C7" s="6">
        <v>4880.3500000000004</v>
      </c>
      <c r="D7" s="6">
        <v>4656.53</v>
      </c>
      <c r="E7" s="6">
        <v>5546.02</v>
      </c>
      <c r="F7" s="6">
        <v>5108.93</v>
      </c>
      <c r="G7" s="6">
        <v>7249.02</v>
      </c>
      <c r="H7" s="6">
        <v>6896.6299999999992</v>
      </c>
      <c r="I7" s="25">
        <v>5039.74</v>
      </c>
      <c r="J7" s="6">
        <v>4526.2800000000007</v>
      </c>
      <c r="K7" s="6">
        <v>5638.08</v>
      </c>
      <c r="L7" s="6">
        <v>5258.8099999999995</v>
      </c>
      <c r="M7" s="6">
        <v>5120.21</v>
      </c>
      <c r="N7" s="6">
        <v>5123.7299999999996</v>
      </c>
      <c r="O7" s="6">
        <v>65044.33</v>
      </c>
      <c r="Q7" s="6"/>
      <c r="R7" s="21" t="s">
        <v>350</v>
      </c>
      <c r="S7" s="23" t="str">
        <f>IF(Kredietscore!B8&gt;=80,"✅ Kredietwaardig",IF(Kredietscore!B8&gt;=50,"⚠️ Redelijk","❌ Risico"))</f>
        <v>✅ Kredietwaardig</v>
      </c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3">
      <c r="A8" t="s">
        <v>383</v>
      </c>
      <c r="C8" s="6">
        <v>4880.3500000000004</v>
      </c>
      <c r="D8" s="6">
        <v>4656.53</v>
      </c>
      <c r="E8" s="6">
        <v>5546.02</v>
      </c>
      <c r="F8" s="6">
        <v>5108.93</v>
      </c>
      <c r="G8" s="6">
        <v>7249.02</v>
      </c>
      <c r="H8" s="6">
        <v>6896.6299999999992</v>
      </c>
      <c r="I8" s="6">
        <v>5039.74</v>
      </c>
      <c r="J8" s="6">
        <v>4526.2800000000007</v>
      </c>
      <c r="K8" s="6">
        <v>5638.08</v>
      </c>
      <c r="L8" s="6">
        <v>5258.8099999999995</v>
      </c>
      <c r="M8" s="6">
        <v>5120.21</v>
      </c>
      <c r="N8" s="6">
        <v>5123.7299999999996</v>
      </c>
      <c r="O8" s="6">
        <v>65044.33</v>
      </c>
      <c r="Q8" s="6"/>
      <c r="R8" s="21"/>
      <c r="S8" s="23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3">
      <c r="A9" t="s">
        <v>1</v>
      </c>
      <c r="B9" t="s">
        <v>10</v>
      </c>
      <c r="C9" s="6">
        <v>-810.65</v>
      </c>
      <c r="D9" s="25">
        <v>-810.65</v>
      </c>
      <c r="E9" s="6">
        <v>-810.65</v>
      </c>
      <c r="F9" s="6">
        <v>-810.65</v>
      </c>
      <c r="G9" s="6">
        <v>-810.65</v>
      </c>
      <c r="H9" s="6">
        <v>-810.65</v>
      </c>
      <c r="I9" s="25">
        <v>-810.65</v>
      </c>
      <c r="J9" s="6">
        <v>-810.65</v>
      </c>
      <c r="K9" s="6">
        <v>-810.65</v>
      </c>
      <c r="L9" s="6">
        <v>-810.65</v>
      </c>
      <c r="M9" s="6">
        <v>-810.65</v>
      </c>
      <c r="N9" s="6"/>
      <c r="O9" s="6">
        <v>-8917.1499999999978</v>
      </c>
      <c r="Q9" s="6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3">
      <c r="B10" t="s">
        <v>11</v>
      </c>
      <c r="C10" s="6">
        <v>-121.5</v>
      </c>
      <c r="D10" s="25">
        <v>-127.5</v>
      </c>
      <c r="E10" s="6">
        <v>-265.71000000000004</v>
      </c>
      <c r="F10" s="6">
        <v>-142</v>
      </c>
      <c r="G10" s="6">
        <v>51.33</v>
      </c>
      <c r="H10" s="6">
        <v>-108.31</v>
      </c>
      <c r="I10" s="25">
        <v>-228.76</v>
      </c>
      <c r="J10" s="6">
        <v>-84.37</v>
      </c>
      <c r="K10" s="6">
        <v>60</v>
      </c>
      <c r="L10" s="6">
        <v>-108</v>
      </c>
      <c r="M10" s="6">
        <v>-54</v>
      </c>
      <c r="N10" s="6"/>
      <c r="O10" s="6">
        <v>-1128.8200000000002</v>
      </c>
      <c r="Q10" s="6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3">
      <c r="B11" t="s">
        <v>12</v>
      </c>
      <c r="C11" s="6"/>
      <c r="D11" s="25">
        <v>-95.86</v>
      </c>
      <c r="E11" s="6"/>
      <c r="F11" s="6">
        <v>-159.85</v>
      </c>
      <c r="G11" s="6"/>
      <c r="H11" s="6"/>
      <c r="I11" s="25"/>
      <c r="J11" s="6"/>
      <c r="K11" s="6"/>
      <c r="L11" s="6"/>
      <c r="M11" s="6"/>
      <c r="N11" s="6"/>
      <c r="O11" s="6">
        <v>-255.70999999999998</v>
      </c>
      <c r="Q11" s="6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3">
      <c r="B12" t="s">
        <v>3</v>
      </c>
      <c r="C12" s="6">
        <v>-728.74</v>
      </c>
      <c r="D12" s="25">
        <v>-679.88000000000034</v>
      </c>
      <c r="E12" s="6">
        <v>-1235.3700000000001</v>
      </c>
      <c r="F12" s="6">
        <v>-924.1099999999999</v>
      </c>
      <c r="G12" s="6">
        <v>-1037.9500000000003</v>
      </c>
      <c r="H12" s="6">
        <v>-952.25000000000057</v>
      </c>
      <c r="I12" s="25">
        <v>-1002.9500000000002</v>
      </c>
      <c r="J12" s="6">
        <v>-469.15000000000009</v>
      </c>
      <c r="K12" s="6">
        <v>-570.37999999999988</v>
      </c>
      <c r="L12" s="6">
        <v>-785.24999999999989</v>
      </c>
      <c r="M12" s="6">
        <v>-605.95000000000027</v>
      </c>
      <c r="N12" s="6"/>
      <c r="O12" s="6">
        <v>-8991.9800000000014</v>
      </c>
      <c r="Q12" s="6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3">
      <c r="B13" t="s">
        <v>23</v>
      </c>
      <c r="C13" s="6">
        <v>-66.23</v>
      </c>
      <c r="D13" s="25"/>
      <c r="E13" s="6">
        <v>-136.26999999999998</v>
      </c>
      <c r="F13" s="6">
        <v>-66.03</v>
      </c>
      <c r="G13" s="6">
        <v>-69.650000000000006</v>
      </c>
      <c r="H13" s="6">
        <v>-74.430000000000007</v>
      </c>
      <c r="I13" s="25">
        <v>-76.83</v>
      </c>
      <c r="J13" s="6"/>
      <c r="K13" s="6">
        <v>-111.08</v>
      </c>
      <c r="L13" s="6">
        <v>-61.83</v>
      </c>
      <c r="M13" s="6"/>
      <c r="N13" s="6"/>
      <c r="O13" s="6">
        <v>-662.35</v>
      </c>
      <c r="Q13" s="6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3">
      <c r="B14" t="s">
        <v>19</v>
      </c>
      <c r="C14" s="6"/>
      <c r="D14" s="25">
        <v>-1.5</v>
      </c>
      <c r="E14" s="6">
        <v>-1.5</v>
      </c>
      <c r="F14" s="6">
        <v>-11.49</v>
      </c>
      <c r="G14" s="6">
        <v>-1.5</v>
      </c>
      <c r="H14" s="6">
        <v>-1.5</v>
      </c>
      <c r="I14" s="25">
        <v>-1.5</v>
      </c>
      <c r="J14" s="6">
        <v>-1.5</v>
      </c>
      <c r="K14" s="6"/>
      <c r="L14" s="6">
        <v>-5.25</v>
      </c>
      <c r="M14" s="6">
        <v>-5.25</v>
      </c>
      <c r="N14" s="6"/>
      <c r="O14" s="6">
        <v>-30.990000000000002</v>
      </c>
      <c r="Q14" s="6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3">
      <c r="B15" t="s">
        <v>29</v>
      </c>
      <c r="C15" s="6"/>
      <c r="D15" s="25"/>
      <c r="E15" s="6">
        <v>3234.04</v>
      </c>
      <c r="F15" s="6"/>
      <c r="G15" s="6"/>
      <c r="H15" s="6">
        <v>-310.06</v>
      </c>
      <c r="I15" s="25"/>
      <c r="J15" s="6"/>
      <c r="K15" s="6">
        <v>-49</v>
      </c>
      <c r="L15" s="6"/>
      <c r="M15" s="6"/>
      <c r="N15" s="6"/>
      <c r="O15" s="6">
        <v>2874.98</v>
      </c>
      <c r="Q15" s="6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3">
      <c r="B16" t="s">
        <v>30</v>
      </c>
      <c r="C16" s="6">
        <v>-120.94</v>
      </c>
      <c r="D16" s="25">
        <v>-126.92</v>
      </c>
      <c r="E16" s="6">
        <v>-75.959999999999994</v>
      </c>
      <c r="F16" s="6">
        <v>-44.98</v>
      </c>
      <c r="G16" s="6">
        <v>-24.1</v>
      </c>
      <c r="H16" s="6">
        <v>-53.22</v>
      </c>
      <c r="I16" s="25">
        <v>-14.010000000000002</v>
      </c>
      <c r="J16" s="6">
        <v>-10</v>
      </c>
      <c r="K16" s="6">
        <v>-23</v>
      </c>
      <c r="L16" s="6">
        <v>-23</v>
      </c>
      <c r="M16" s="6">
        <v>-6</v>
      </c>
      <c r="N16" s="6"/>
      <c r="O16" s="6">
        <v>-522.13</v>
      </c>
      <c r="Q16" s="6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3">
      <c r="B17" t="s">
        <v>31</v>
      </c>
      <c r="C17" s="6"/>
      <c r="D17" s="25"/>
      <c r="E17" s="6"/>
      <c r="F17" s="6">
        <v>-5</v>
      </c>
      <c r="G17" s="6">
        <v>-5</v>
      </c>
      <c r="H17" s="6">
        <v>-7.58</v>
      </c>
      <c r="I17" s="25">
        <v>-5</v>
      </c>
      <c r="J17" s="6">
        <v>-5</v>
      </c>
      <c r="K17" s="6">
        <v>-5</v>
      </c>
      <c r="L17" s="6">
        <v>-5</v>
      </c>
      <c r="M17" s="6">
        <v>-6.21</v>
      </c>
      <c r="N17" s="6"/>
      <c r="O17" s="6">
        <v>-43.79</v>
      </c>
      <c r="Q17" s="6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3">
      <c r="B18" t="s">
        <v>82</v>
      </c>
      <c r="C18" s="6">
        <v>-45.509999999999991</v>
      </c>
      <c r="D18" s="25">
        <v>-175.74</v>
      </c>
      <c r="E18" s="6">
        <v>-161.15</v>
      </c>
      <c r="F18" s="6">
        <v>-232.26</v>
      </c>
      <c r="G18" s="6">
        <v>-313.74</v>
      </c>
      <c r="H18" s="6">
        <v>-375.81</v>
      </c>
      <c r="I18" s="25">
        <v>-817.75</v>
      </c>
      <c r="J18" s="6">
        <v>-411.27000000000004</v>
      </c>
      <c r="K18" s="6">
        <v>-411.43999999999994</v>
      </c>
      <c r="L18" s="6">
        <v>-672.45</v>
      </c>
      <c r="M18" s="6">
        <v>-379.09000000000003</v>
      </c>
      <c r="N18" s="6"/>
      <c r="O18" s="6">
        <v>-3996.21</v>
      </c>
      <c r="Q18" s="6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3">
      <c r="B19" t="s">
        <v>209</v>
      </c>
      <c r="C19" s="6">
        <v>-85.259999999999991</v>
      </c>
      <c r="D19" s="25">
        <v>-85.259999999999991</v>
      </c>
      <c r="E19" s="6">
        <v>-85.259999999999991</v>
      </c>
      <c r="F19" s="6">
        <v>-85.259999999999991</v>
      </c>
      <c r="G19" s="6">
        <v>-45.25</v>
      </c>
      <c r="H19" s="6">
        <v>-134.53</v>
      </c>
      <c r="I19" s="25">
        <v>-95.85</v>
      </c>
      <c r="J19" s="6">
        <v>-45.25</v>
      </c>
      <c r="K19" s="6">
        <v>-184.35</v>
      </c>
      <c r="L19" s="6">
        <v>-50.6</v>
      </c>
      <c r="M19" s="6">
        <v>-64.2</v>
      </c>
      <c r="N19" s="6"/>
      <c r="O19" s="6">
        <v>-961.07</v>
      </c>
      <c r="Q19" s="6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3">
      <c r="B20" t="s">
        <v>73</v>
      </c>
      <c r="C20" s="6">
        <v>-586.12</v>
      </c>
      <c r="D20" s="25">
        <v>-586.12</v>
      </c>
      <c r="E20" s="6">
        <v>-586.12</v>
      </c>
      <c r="F20" s="6">
        <v>-586.12</v>
      </c>
      <c r="G20" s="6">
        <v>-586.12</v>
      </c>
      <c r="H20" s="6">
        <v>-586.12</v>
      </c>
      <c r="I20" s="25">
        <v>-586.12</v>
      </c>
      <c r="J20" s="6">
        <v>-586.12</v>
      </c>
      <c r="K20" s="6">
        <v>-377.41</v>
      </c>
      <c r="L20" s="6">
        <v>-586.12</v>
      </c>
      <c r="M20" s="6">
        <v>-586.12</v>
      </c>
      <c r="N20" s="6"/>
      <c r="O20" s="6">
        <v>-6238.61</v>
      </c>
      <c r="Q20" s="6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3">
      <c r="B21" t="s">
        <v>24</v>
      </c>
      <c r="C21" s="6"/>
      <c r="D21" s="25"/>
      <c r="E21" s="6"/>
      <c r="F21" s="6"/>
      <c r="G21" s="6">
        <v>-120</v>
      </c>
      <c r="H21" s="6">
        <v>-125.81</v>
      </c>
      <c r="I21" s="25">
        <v>-125.81</v>
      </c>
      <c r="J21" s="6">
        <v>-125.81</v>
      </c>
      <c r="K21" s="6">
        <v>-125.81</v>
      </c>
      <c r="L21" s="6">
        <v>-125.81</v>
      </c>
      <c r="M21" s="6">
        <v>-125.81</v>
      </c>
      <c r="N21" s="6"/>
      <c r="O21" s="6">
        <v>-874.8599999999999</v>
      </c>
      <c r="Q21" s="6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3">
      <c r="B22" t="s">
        <v>33</v>
      </c>
      <c r="C22" s="6">
        <v>-166.66</v>
      </c>
      <c r="D22" s="25">
        <v>-166.66</v>
      </c>
      <c r="E22" s="6">
        <v>-166.66</v>
      </c>
      <c r="F22" s="6">
        <v>-166.66</v>
      </c>
      <c r="G22" s="6">
        <v>-166.66</v>
      </c>
      <c r="H22" s="6">
        <v>-166.66</v>
      </c>
      <c r="I22" s="25">
        <v>-171.66</v>
      </c>
      <c r="J22" s="6">
        <v>-171.66</v>
      </c>
      <c r="K22" s="6">
        <v>-171.66</v>
      </c>
      <c r="L22" s="6">
        <v>-171.66</v>
      </c>
      <c r="M22" s="6">
        <v>-171.66</v>
      </c>
      <c r="N22" s="6"/>
      <c r="O22" s="6">
        <v>-1858.2600000000002</v>
      </c>
      <c r="Q22" s="6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3">
      <c r="B23" t="s">
        <v>28</v>
      </c>
      <c r="C23" s="6">
        <v>-165.8</v>
      </c>
      <c r="D23" s="25">
        <v>-165.8</v>
      </c>
      <c r="E23" s="6">
        <v>-166.78</v>
      </c>
      <c r="F23" s="6">
        <v>-166.78</v>
      </c>
      <c r="G23" s="6">
        <v>-166.78</v>
      </c>
      <c r="H23" s="6">
        <v>-53.29</v>
      </c>
      <c r="I23" s="25">
        <v>-166.78</v>
      </c>
      <c r="J23" s="6">
        <v>-166.78</v>
      </c>
      <c r="K23" s="6">
        <v>-174.27</v>
      </c>
      <c r="L23" s="6">
        <v>-174.27</v>
      </c>
      <c r="M23" s="6">
        <v>-174.27</v>
      </c>
      <c r="N23" s="6"/>
      <c r="O23" s="6">
        <v>-1741.6</v>
      </c>
      <c r="Q23" s="6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3">
      <c r="B24" t="s">
        <v>41</v>
      </c>
      <c r="C24" s="6"/>
      <c r="D24" s="25"/>
      <c r="E24" s="6"/>
      <c r="F24" s="6"/>
      <c r="G24" s="6"/>
      <c r="H24" s="6">
        <v>-113.49</v>
      </c>
      <c r="I24" s="25"/>
      <c r="J24" s="6"/>
      <c r="K24" s="6"/>
      <c r="L24" s="6"/>
      <c r="M24" s="6"/>
      <c r="N24" s="6"/>
      <c r="O24" s="6">
        <v>-113.49</v>
      </c>
      <c r="Q24" s="6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3">
      <c r="B25" t="s">
        <v>38</v>
      </c>
      <c r="C25" s="6">
        <v>-20.71</v>
      </c>
      <c r="D25" s="25">
        <v>122.28999999999999</v>
      </c>
      <c r="E25" s="6">
        <v>-20.71</v>
      </c>
      <c r="F25" s="6">
        <v>-20.71</v>
      </c>
      <c r="G25" s="6">
        <v>-20.71</v>
      </c>
      <c r="H25" s="6">
        <v>-20.71</v>
      </c>
      <c r="I25" s="25">
        <v>-20.71</v>
      </c>
      <c r="J25" s="6">
        <v>-20.71</v>
      </c>
      <c r="K25" s="6">
        <v>-20.71</v>
      </c>
      <c r="L25" s="6">
        <v>-20.71</v>
      </c>
      <c r="M25" s="6">
        <v>-20.71</v>
      </c>
      <c r="N25" s="6"/>
      <c r="O25" s="6">
        <v>-84.810000000000031</v>
      </c>
      <c r="Q25" s="6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3">
      <c r="B26" t="s">
        <v>8</v>
      </c>
      <c r="C26" s="6"/>
      <c r="D26" s="25"/>
      <c r="E26" s="6">
        <v>-33.549999999999997</v>
      </c>
      <c r="F26" s="6"/>
      <c r="G26" s="6"/>
      <c r="H26" s="6">
        <v>-45.559999999999995</v>
      </c>
      <c r="I26" s="25"/>
      <c r="J26" s="6"/>
      <c r="K26" s="6"/>
      <c r="L26" s="6"/>
      <c r="M26" s="6"/>
      <c r="N26" s="6"/>
      <c r="O26" s="6">
        <v>-79.109999999999985</v>
      </c>
      <c r="Q26" s="6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3">
      <c r="B27" t="s">
        <v>46</v>
      </c>
      <c r="C27" s="6">
        <v>-12.01</v>
      </c>
      <c r="D27" s="25">
        <v>-12.01</v>
      </c>
      <c r="E27" s="6">
        <v>-12.01</v>
      </c>
      <c r="F27" s="6">
        <v>-12.01</v>
      </c>
      <c r="G27" s="6">
        <v>-12.01</v>
      </c>
      <c r="H27" s="6"/>
      <c r="I27" s="25">
        <v>-12.01</v>
      </c>
      <c r="J27" s="6">
        <v>-12.01</v>
      </c>
      <c r="K27" s="6">
        <v>-12.01</v>
      </c>
      <c r="L27" s="6">
        <v>-12.01</v>
      </c>
      <c r="M27" s="6">
        <v>-12.01</v>
      </c>
      <c r="N27" s="6"/>
      <c r="O27" s="6">
        <v>-120.10000000000002</v>
      </c>
      <c r="Q27" s="6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3">
      <c r="B28" t="s">
        <v>50</v>
      </c>
      <c r="C28" s="6">
        <v>-33.549999999999997</v>
      </c>
      <c r="D28" s="25">
        <v>-33.549999999999997</v>
      </c>
      <c r="E28" s="6"/>
      <c r="F28" s="6">
        <v>-33.549999999999997</v>
      </c>
      <c r="G28" s="6">
        <v>-33.549999999999997</v>
      </c>
      <c r="H28" s="6"/>
      <c r="I28" s="25">
        <v>-33.549999999999997</v>
      </c>
      <c r="J28" s="6">
        <v>-33.549999999999997</v>
      </c>
      <c r="K28" s="6">
        <v>-33.549999999999997</v>
      </c>
      <c r="L28" s="6">
        <v>-33.549999999999997</v>
      </c>
      <c r="M28" s="6"/>
      <c r="N28" s="6"/>
      <c r="O28" s="6">
        <v>-268.40000000000003</v>
      </c>
      <c r="Q28" s="6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3">
      <c r="B29" t="s">
        <v>13</v>
      </c>
      <c r="C29" s="6">
        <v>-213.52000000000004</v>
      </c>
      <c r="D29" s="25">
        <v>-168.53</v>
      </c>
      <c r="E29" s="6">
        <v>-132.5</v>
      </c>
      <c r="F29" s="6">
        <v>-149.30000000000001</v>
      </c>
      <c r="G29" s="6">
        <v>-104.18</v>
      </c>
      <c r="H29" s="6">
        <v>-90.449999999999989</v>
      </c>
      <c r="I29" s="25">
        <v>-122.05000000000003</v>
      </c>
      <c r="J29" s="6">
        <v>-115.33</v>
      </c>
      <c r="K29" s="6">
        <v>-175.56</v>
      </c>
      <c r="L29" s="6">
        <v>-157.41999999999999</v>
      </c>
      <c r="M29" s="6">
        <v>-203.19</v>
      </c>
      <c r="N29" s="6"/>
      <c r="O29" s="6">
        <v>-1632.0300000000004</v>
      </c>
      <c r="Q29" s="6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3">
      <c r="B30" t="s">
        <v>39</v>
      </c>
      <c r="C30" s="6">
        <v>-11.95</v>
      </c>
      <c r="D30" s="25">
        <v>-11.95</v>
      </c>
      <c r="E30" s="6">
        <v>-5.6199999999999992</v>
      </c>
      <c r="F30" s="6">
        <v>-12</v>
      </c>
      <c r="G30" s="6">
        <v>-12</v>
      </c>
      <c r="H30" s="6">
        <v>-12</v>
      </c>
      <c r="I30" s="25"/>
      <c r="J30" s="6"/>
      <c r="K30" s="6"/>
      <c r="L30" s="6"/>
      <c r="M30" s="6"/>
      <c r="N30" s="6"/>
      <c r="O30" s="6">
        <v>-65.52</v>
      </c>
      <c r="Q30" s="6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3">
      <c r="B31" t="s">
        <v>43</v>
      </c>
      <c r="C31" s="6">
        <v>-25</v>
      </c>
      <c r="D31" s="25">
        <v>-25</v>
      </c>
      <c r="E31" s="6">
        <v>-50</v>
      </c>
      <c r="F31" s="6">
        <v>-25</v>
      </c>
      <c r="G31" s="6">
        <v>-25</v>
      </c>
      <c r="H31" s="6"/>
      <c r="I31" s="25">
        <v>-25</v>
      </c>
      <c r="J31" s="6">
        <v>-50</v>
      </c>
      <c r="K31" s="6">
        <v>-25</v>
      </c>
      <c r="L31" s="6">
        <v>-25</v>
      </c>
      <c r="M31" s="6">
        <v>-25</v>
      </c>
      <c r="N31" s="6"/>
      <c r="O31" s="6">
        <v>-300</v>
      </c>
      <c r="Q31" s="6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3">
      <c r="A32" t="s">
        <v>384</v>
      </c>
      <c r="C32" s="6">
        <v>-3214.15</v>
      </c>
      <c r="D32" s="6">
        <v>-3150.6400000000008</v>
      </c>
      <c r="E32" s="6">
        <v>-711.78000000000043</v>
      </c>
      <c r="F32" s="6">
        <v>-3653.7600000000007</v>
      </c>
      <c r="G32" s="6">
        <v>-3503.5200000000004</v>
      </c>
      <c r="H32" s="6">
        <v>-4042.43</v>
      </c>
      <c r="I32" s="6">
        <v>-4316.9900000000007</v>
      </c>
      <c r="J32" s="6">
        <v>-3119.1600000000003</v>
      </c>
      <c r="K32" s="6">
        <v>-3220.8799999999997</v>
      </c>
      <c r="L32" s="6">
        <v>-3828.58</v>
      </c>
      <c r="M32" s="6">
        <v>-3250.1200000000008</v>
      </c>
      <c r="N32" s="6"/>
      <c r="O32" s="6">
        <v>-36012.009999999987</v>
      </c>
      <c r="Q32" s="6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3">
      <c r="A33" t="s">
        <v>2</v>
      </c>
      <c r="B33" t="s">
        <v>75</v>
      </c>
      <c r="C33" s="6">
        <v>-29.1</v>
      </c>
      <c r="D33" s="6">
        <v>117.20999999999998</v>
      </c>
      <c r="E33" s="6">
        <v>-189.31</v>
      </c>
      <c r="F33" s="6">
        <v>-130.26999999999998</v>
      </c>
      <c r="G33" s="6">
        <v>154.4</v>
      </c>
      <c r="H33" s="6">
        <v>-11.979999999999993</v>
      </c>
      <c r="I33" s="25">
        <v>-22.579999999999991</v>
      </c>
      <c r="J33" s="6">
        <v>-99.59</v>
      </c>
      <c r="K33" s="6">
        <v>-132.64999999999998</v>
      </c>
      <c r="L33" s="6">
        <v>-117.04</v>
      </c>
      <c r="M33" s="6">
        <v>18.21</v>
      </c>
      <c r="N33" s="6"/>
      <c r="O33" s="6">
        <v>-442.7</v>
      </c>
      <c r="Q33" s="6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3">
      <c r="B34" t="s">
        <v>62</v>
      </c>
      <c r="C34" s="6"/>
      <c r="D34" s="6"/>
      <c r="E34" s="6"/>
      <c r="F34" s="6"/>
      <c r="G34" s="6">
        <v>-0.99</v>
      </c>
      <c r="H34" s="6">
        <v>-43.96</v>
      </c>
      <c r="I34" s="25">
        <v>-25.090000000000003</v>
      </c>
      <c r="J34" s="6">
        <v>-17.79</v>
      </c>
      <c r="K34" s="6">
        <v>-20.059999999999999</v>
      </c>
      <c r="L34" s="6">
        <v>-16.149999999999999</v>
      </c>
      <c r="M34" s="6">
        <v>-9.36</v>
      </c>
      <c r="N34" s="6"/>
      <c r="O34" s="6">
        <v>-133.40000000000003</v>
      </c>
      <c r="Q34" s="6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3">
      <c r="B35" t="s">
        <v>59</v>
      </c>
      <c r="C35" s="6"/>
      <c r="D35" s="6"/>
      <c r="E35" s="6"/>
      <c r="F35" s="6"/>
      <c r="G35" s="6">
        <v>-89.17</v>
      </c>
      <c r="H35" s="6">
        <v>-52.05</v>
      </c>
      <c r="I35" s="25">
        <v>-49.99</v>
      </c>
      <c r="J35" s="6"/>
      <c r="K35" s="6"/>
      <c r="L35" s="6"/>
      <c r="M35" s="6"/>
      <c r="N35" s="6"/>
      <c r="O35" s="6">
        <v>-191.21</v>
      </c>
      <c r="Q35" s="6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3">
      <c r="B36" t="s">
        <v>26</v>
      </c>
      <c r="C36" s="6">
        <v>-27.9</v>
      </c>
      <c r="D36" s="6">
        <v>-56.899999999999991</v>
      </c>
      <c r="E36" s="6">
        <v>-41.300000000000004</v>
      </c>
      <c r="F36" s="6">
        <v>-36.4</v>
      </c>
      <c r="G36" s="6">
        <v>-22.5</v>
      </c>
      <c r="H36" s="6">
        <v>-15.200000000000001</v>
      </c>
      <c r="I36" s="25">
        <v>-11.9</v>
      </c>
      <c r="J36" s="6">
        <v>-19.600000000000001</v>
      </c>
      <c r="K36" s="6">
        <v>-41.2</v>
      </c>
      <c r="L36" s="6">
        <v>-36.5</v>
      </c>
      <c r="M36" s="6">
        <v>-33.800000000000004</v>
      </c>
      <c r="N36" s="6"/>
      <c r="O36" s="6">
        <v>-343.2</v>
      </c>
      <c r="Q36" s="6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3">
      <c r="B37" t="s">
        <v>63</v>
      </c>
      <c r="C37" s="6"/>
      <c r="D37" s="6"/>
      <c r="E37" s="6"/>
      <c r="F37" s="6">
        <v>-10.28</v>
      </c>
      <c r="G37" s="6"/>
      <c r="H37" s="6">
        <v>-3.1</v>
      </c>
      <c r="I37" s="25"/>
      <c r="J37" s="6"/>
      <c r="K37" s="6">
        <v>-2.99</v>
      </c>
      <c r="L37" s="6"/>
      <c r="M37" s="6"/>
      <c r="N37" s="6"/>
      <c r="O37" s="6">
        <v>-16.369999999999997</v>
      </c>
      <c r="Q37" s="6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3">
      <c r="B38" t="s">
        <v>52</v>
      </c>
      <c r="C38" s="6">
        <v>-45.89</v>
      </c>
      <c r="D38" s="6">
        <v>-22.89</v>
      </c>
      <c r="E38" s="6"/>
      <c r="F38" s="6">
        <v>-5.5</v>
      </c>
      <c r="G38" s="6">
        <v>-14.99</v>
      </c>
      <c r="H38" s="6">
        <v>-44.95</v>
      </c>
      <c r="I38" s="25">
        <v>0</v>
      </c>
      <c r="J38" s="6"/>
      <c r="K38" s="6">
        <v>-82</v>
      </c>
      <c r="L38" s="6">
        <v>-39.979999999999997</v>
      </c>
      <c r="M38" s="6">
        <v>-104.42999999999999</v>
      </c>
      <c r="N38" s="6"/>
      <c r="O38" s="6">
        <v>-360.63</v>
      </c>
      <c r="Q38" s="6"/>
      <c r="R38" s="8"/>
      <c r="S38" s="11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3">
      <c r="B39" t="s">
        <v>53</v>
      </c>
      <c r="C39" s="6">
        <v>-13.08</v>
      </c>
      <c r="D39" s="6"/>
      <c r="E39" s="6">
        <v>-11.99</v>
      </c>
      <c r="F39" s="6"/>
      <c r="G39" s="6"/>
      <c r="H39" s="6">
        <v>-16.579999999999998</v>
      </c>
      <c r="I39" s="25">
        <v>-15.48</v>
      </c>
      <c r="J39" s="6">
        <v>-28.4</v>
      </c>
      <c r="K39" s="6"/>
      <c r="L39" s="6"/>
      <c r="M39" s="6">
        <v>-18.39</v>
      </c>
      <c r="N39" s="6"/>
      <c r="O39" s="6">
        <v>-103.92</v>
      </c>
      <c r="Q39" s="6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3">
      <c r="B40" t="s">
        <v>44</v>
      </c>
      <c r="C40" s="6"/>
      <c r="D40" s="6"/>
      <c r="E40" s="6">
        <v>-34.5</v>
      </c>
      <c r="F40" s="6">
        <v>-10</v>
      </c>
      <c r="G40" s="6"/>
      <c r="H40" s="6"/>
      <c r="I40" s="25"/>
      <c r="J40" s="6">
        <v>-26.5</v>
      </c>
      <c r="K40" s="6">
        <v>-150</v>
      </c>
      <c r="L40" s="6">
        <v>-80.7</v>
      </c>
      <c r="M40" s="6"/>
      <c r="N40" s="6"/>
      <c r="O40" s="6">
        <v>-301.7</v>
      </c>
      <c r="Q40" s="6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3">
      <c r="B41" t="s">
        <v>54</v>
      </c>
      <c r="C41" s="6">
        <v>-13</v>
      </c>
      <c r="D41" s="6"/>
      <c r="E41" s="6"/>
      <c r="F41" s="6">
        <v>-34</v>
      </c>
      <c r="G41" s="6">
        <v>-35</v>
      </c>
      <c r="H41" s="6"/>
      <c r="I41" s="25">
        <v>-19</v>
      </c>
      <c r="J41" s="6"/>
      <c r="K41" s="6"/>
      <c r="L41" s="6"/>
      <c r="M41" s="6">
        <v>-13</v>
      </c>
      <c r="N41" s="6"/>
      <c r="O41" s="6">
        <v>-114</v>
      </c>
      <c r="Q41" s="6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3">
      <c r="B42" t="s">
        <v>45</v>
      </c>
      <c r="C42" s="6">
        <v>-60.95</v>
      </c>
      <c r="D42" s="6">
        <v>-13.99</v>
      </c>
      <c r="E42" s="6">
        <v>-90.99</v>
      </c>
      <c r="F42" s="6">
        <v>-44.98</v>
      </c>
      <c r="G42" s="6">
        <v>-120.99</v>
      </c>
      <c r="H42" s="6">
        <v>-241.97000000000003</v>
      </c>
      <c r="I42" s="25">
        <v>-43.99</v>
      </c>
      <c r="J42" s="6">
        <v>-23.98</v>
      </c>
      <c r="K42" s="6">
        <v>-29.99</v>
      </c>
      <c r="L42" s="6">
        <v>-85</v>
      </c>
      <c r="M42" s="6">
        <v>-135.99</v>
      </c>
      <c r="N42" s="6"/>
      <c r="O42" s="6">
        <v>-892.82</v>
      </c>
      <c r="Q42" s="6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3">
      <c r="B43" t="s">
        <v>74</v>
      </c>
      <c r="C43" s="6">
        <v>-25</v>
      </c>
      <c r="D43" s="6"/>
      <c r="E43" s="6"/>
      <c r="F43" s="6"/>
      <c r="G43" s="6"/>
      <c r="H43" s="6"/>
      <c r="I43" s="25"/>
      <c r="J43" s="6"/>
      <c r="K43" s="6"/>
      <c r="L43" s="6"/>
      <c r="M43" s="6"/>
      <c r="N43" s="6"/>
      <c r="O43" s="6">
        <v>-25</v>
      </c>
      <c r="Q43" s="6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3">
      <c r="B44" t="s">
        <v>61</v>
      </c>
      <c r="C44" s="6"/>
      <c r="D44" s="6"/>
      <c r="E44" s="6"/>
      <c r="F44" s="6">
        <v>-7</v>
      </c>
      <c r="G44" s="6">
        <v>-20.5</v>
      </c>
      <c r="H44" s="6"/>
      <c r="I44" s="25">
        <v>-8</v>
      </c>
      <c r="J44" s="6">
        <v>-2</v>
      </c>
      <c r="K44" s="6">
        <v>-6</v>
      </c>
      <c r="L44" s="6"/>
      <c r="M44" s="6">
        <v>-25</v>
      </c>
      <c r="N44" s="6"/>
      <c r="O44" s="6">
        <v>-68.5</v>
      </c>
      <c r="Q44" s="6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3">
      <c r="B45" t="s">
        <v>58</v>
      </c>
      <c r="C45" s="6"/>
      <c r="D45" s="6"/>
      <c r="E45" s="6"/>
      <c r="F45" s="6"/>
      <c r="G45" s="6">
        <v>-59.41</v>
      </c>
      <c r="H45" s="6"/>
      <c r="I45" s="25"/>
      <c r="J45" s="6"/>
      <c r="K45" s="6"/>
      <c r="L45" s="6"/>
      <c r="M45" s="6"/>
      <c r="N45" s="6"/>
      <c r="O45" s="6">
        <v>-59.41</v>
      </c>
      <c r="Q45" s="6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3">
      <c r="B46" t="s">
        <v>64</v>
      </c>
      <c r="C46" s="6"/>
      <c r="D46" s="6"/>
      <c r="E46" s="6"/>
      <c r="F46" s="6">
        <v>-81.8</v>
      </c>
      <c r="G46" s="6"/>
      <c r="H46" s="6"/>
      <c r="I46" s="25"/>
      <c r="J46" s="6"/>
      <c r="K46" s="6"/>
      <c r="L46" s="6"/>
      <c r="M46" s="6"/>
      <c r="N46" s="6"/>
      <c r="O46" s="6">
        <v>-81.8</v>
      </c>
      <c r="Q46" s="6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3">
      <c r="B47" t="s">
        <v>56</v>
      </c>
      <c r="C47" s="6">
        <v>-29.15</v>
      </c>
      <c r="D47" s="6">
        <v>-28.7</v>
      </c>
      <c r="E47" s="6">
        <v>-5.95</v>
      </c>
      <c r="F47" s="6"/>
      <c r="G47" s="6">
        <v>-25.9</v>
      </c>
      <c r="H47" s="6">
        <v>-71</v>
      </c>
      <c r="I47" s="25">
        <v>-35.200000000000003</v>
      </c>
      <c r="J47" s="6">
        <v>-20.95</v>
      </c>
      <c r="K47" s="6">
        <v>-35.25</v>
      </c>
      <c r="L47" s="6">
        <v>-2.5</v>
      </c>
      <c r="M47" s="6">
        <v>-14</v>
      </c>
      <c r="N47" s="6"/>
      <c r="O47" s="6">
        <v>-268.59999999999997</v>
      </c>
      <c r="Q47" s="6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3">
      <c r="B48" t="s">
        <v>72</v>
      </c>
      <c r="C48" s="6"/>
      <c r="D48" s="6"/>
      <c r="E48" s="6"/>
      <c r="F48" s="6"/>
      <c r="G48" s="6"/>
      <c r="H48" s="6">
        <v>-46.65</v>
      </c>
      <c r="I48" s="25"/>
      <c r="J48" s="6"/>
      <c r="K48" s="6"/>
      <c r="L48" s="6"/>
      <c r="M48" s="6"/>
      <c r="N48" s="6"/>
      <c r="O48" s="6">
        <v>-46.65</v>
      </c>
      <c r="Q48" s="6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2:29" x14ac:dyDescent="0.3">
      <c r="B49" t="s">
        <v>76</v>
      </c>
      <c r="C49" s="6"/>
      <c r="D49" s="6"/>
      <c r="E49" s="6">
        <v>-5.09</v>
      </c>
      <c r="F49" s="6"/>
      <c r="G49" s="6"/>
      <c r="H49" s="6"/>
      <c r="I49" s="25">
        <v>-4.59</v>
      </c>
      <c r="J49" s="6">
        <v>-6.93</v>
      </c>
      <c r="K49" s="6"/>
      <c r="L49" s="6">
        <v>-20.93</v>
      </c>
      <c r="M49" s="6"/>
      <c r="N49" s="6"/>
      <c r="O49" s="6">
        <v>-37.54</v>
      </c>
      <c r="Q49" s="6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2:29" x14ac:dyDescent="0.3">
      <c r="B50" t="s">
        <v>48</v>
      </c>
      <c r="C50" s="6">
        <v>390.33</v>
      </c>
      <c r="D50" s="6"/>
      <c r="E50" s="6">
        <v>-196.95000000000002</v>
      </c>
      <c r="F50" s="6">
        <v>-21.78</v>
      </c>
      <c r="G50" s="6"/>
      <c r="H50" s="6">
        <v>-69.98</v>
      </c>
      <c r="I50" s="25">
        <v>59.099999999999994</v>
      </c>
      <c r="J50" s="6">
        <v>-42.95</v>
      </c>
      <c r="K50" s="6">
        <v>-130.19999999999999</v>
      </c>
      <c r="L50" s="6">
        <v>-166.82</v>
      </c>
      <c r="M50" s="6">
        <v>-50.56</v>
      </c>
      <c r="N50" s="6"/>
      <c r="O50" s="6">
        <v>-229.81</v>
      </c>
      <c r="Q50" s="6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2:29" x14ac:dyDescent="0.3">
      <c r="B51" t="s">
        <v>47</v>
      </c>
      <c r="C51" s="6">
        <v>-92.96</v>
      </c>
      <c r="D51" s="6">
        <v>-82.12</v>
      </c>
      <c r="E51" s="6">
        <v>-38.739999999999995</v>
      </c>
      <c r="F51" s="6"/>
      <c r="G51" s="6"/>
      <c r="H51" s="6"/>
      <c r="I51" s="25">
        <v>-25.09</v>
      </c>
      <c r="J51" s="6"/>
      <c r="K51" s="6">
        <v>-6.49</v>
      </c>
      <c r="L51" s="6">
        <v>-16.579999999999998</v>
      </c>
      <c r="M51" s="6">
        <v>-68.400000000000006</v>
      </c>
      <c r="N51" s="6"/>
      <c r="O51" s="6">
        <v>-330.38</v>
      </c>
      <c r="Q51" s="6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2:29" x14ac:dyDescent="0.3">
      <c r="B52" t="s">
        <v>77</v>
      </c>
      <c r="C52" s="6"/>
      <c r="D52" s="6"/>
      <c r="E52" s="6"/>
      <c r="F52" s="6"/>
      <c r="G52" s="6">
        <v>-45</v>
      </c>
      <c r="H52" s="6"/>
      <c r="I52" s="25"/>
      <c r="J52" s="6"/>
      <c r="K52" s="6"/>
      <c r="L52" s="6"/>
      <c r="M52" s="6"/>
      <c r="N52" s="6"/>
      <c r="O52" s="6">
        <v>-45</v>
      </c>
      <c r="Q52" s="6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2:29" x14ac:dyDescent="0.3">
      <c r="B53" t="s">
        <v>32</v>
      </c>
      <c r="C53" s="6">
        <v>0.92999999999999883</v>
      </c>
      <c r="D53" s="6">
        <v>-17.899999999999999</v>
      </c>
      <c r="E53" s="6">
        <v>-17.5</v>
      </c>
      <c r="F53" s="6">
        <v>-166.37</v>
      </c>
      <c r="G53" s="6"/>
      <c r="H53" s="6">
        <v>-133.97999999999999</v>
      </c>
      <c r="I53" s="25"/>
      <c r="J53" s="6">
        <v>-301.79000000000002</v>
      </c>
      <c r="K53" s="6">
        <v>-499.85</v>
      </c>
      <c r="L53" s="6">
        <v>-256.36</v>
      </c>
      <c r="M53" s="6">
        <v>-354.28</v>
      </c>
      <c r="N53" s="6"/>
      <c r="O53" s="6">
        <v>-1747.1000000000001</v>
      </c>
      <c r="Q53" s="6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2:29" x14ac:dyDescent="0.3">
      <c r="B54" t="s">
        <v>68</v>
      </c>
      <c r="C54" s="6"/>
      <c r="D54" s="6"/>
      <c r="E54" s="6">
        <v>-40.799999999999997</v>
      </c>
      <c r="F54" s="6">
        <v>-49.6</v>
      </c>
      <c r="G54" s="6"/>
      <c r="H54" s="6"/>
      <c r="I54" s="25">
        <v>-92.31</v>
      </c>
      <c r="J54" s="6"/>
      <c r="K54" s="6"/>
      <c r="L54" s="6">
        <v>-24.8</v>
      </c>
      <c r="M54" s="6">
        <v>-26.9</v>
      </c>
      <c r="N54" s="6"/>
      <c r="O54" s="6">
        <v>-234.41000000000003</v>
      </c>
      <c r="Q54" s="6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2:29" x14ac:dyDescent="0.3">
      <c r="B55" t="s">
        <v>55</v>
      </c>
      <c r="C55" s="6">
        <v>-12.48</v>
      </c>
      <c r="D55" s="6"/>
      <c r="E55" s="6"/>
      <c r="F55" s="6"/>
      <c r="G55" s="6">
        <v>-24.99</v>
      </c>
      <c r="H55" s="6">
        <v>-14.68</v>
      </c>
      <c r="I55" s="25"/>
      <c r="J55" s="6"/>
      <c r="K55" s="6">
        <v>-38.56</v>
      </c>
      <c r="L55" s="6">
        <v>-6.79</v>
      </c>
      <c r="M55" s="6"/>
      <c r="N55" s="6"/>
      <c r="O55" s="6">
        <v>-97.500000000000014</v>
      </c>
      <c r="Q55" s="6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2:29" x14ac:dyDescent="0.3">
      <c r="B56" t="s">
        <v>27</v>
      </c>
      <c r="C56" s="6">
        <v>-150</v>
      </c>
      <c r="D56" s="6">
        <v>-60</v>
      </c>
      <c r="E56" s="6"/>
      <c r="F56" s="6">
        <v>-150</v>
      </c>
      <c r="G56" s="6"/>
      <c r="H56" s="6">
        <v>-150</v>
      </c>
      <c r="I56" s="25"/>
      <c r="J56" s="6"/>
      <c r="K56" s="6">
        <v>-60</v>
      </c>
      <c r="L56" s="6">
        <v>-150</v>
      </c>
      <c r="M56" s="6">
        <v>-90</v>
      </c>
      <c r="N56" s="6"/>
      <c r="O56" s="6">
        <v>-810</v>
      </c>
      <c r="Q56" s="6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2:29" x14ac:dyDescent="0.3">
      <c r="B57" t="s">
        <v>14</v>
      </c>
      <c r="C57" s="6">
        <v>-1617.73</v>
      </c>
      <c r="D57" s="6">
        <v>-2508.67</v>
      </c>
      <c r="E57" s="6">
        <v>-729.38000000000011</v>
      </c>
      <c r="F57" s="6">
        <v>-326.02999999999997</v>
      </c>
      <c r="G57" s="6">
        <v>-240.33999999999995</v>
      </c>
      <c r="H57" s="6">
        <v>-62</v>
      </c>
      <c r="I57" s="25">
        <v>-207.26999999999998</v>
      </c>
      <c r="J57" s="6">
        <v>-298.35000000000002</v>
      </c>
      <c r="K57" s="6">
        <v>-62</v>
      </c>
      <c r="L57" s="6">
        <v>-141.57</v>
      </c>
      <c r="M57" s="6">
        <v>-92.509999999999991</v>
      </c>
      <c r="N57" s="6"/>
      <c r="O57" s="6">
        <v>-6285.85</v>
      </c>
      <c r="Q57" s="6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2:29" x14ac:dyDescent="0.3">
      <c r="B58" t="s">
        <v>71</v>
      </c>
      <c r="C58" s="6"/>
      <c r="D58" s="6"/>
      <c r="E58" s="6"/>
      <c r="F58" s="6"/>
      <c r="G58" s="6"/>
      <c r="H58" s="6"/>
      <c r="I58" s="25">
        <v>-12</v>
      </c>
      <c r="J58" s="6">
        <v>-12</v>
      </c>
      <c r="K58" s="6">
        <v>-12</v>
      </c>
      <c r="L58" s="6">
        <v>-12</v>
      </c>
      <c r="M58" s="6">
        <v>-12</v>
      </c>
      <c r="N58" s="6"/>
      <c r="O58" s="6">
        <v>-60</v>
      </c>
      <c r="Q58" s="6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2:29" x14ac:dyDescent="0.3">
      <c r="B59" t="s">
        <v>60</v>
      </c>
      <c r="C59" s="6"/>
      <c r="D59" s="6"/>
      <c r="E59" s="6"/>
      <c r="F59" s="6">
        <v>-50.8</v>
      </c>
      <c r="G59" s="6">
        <v>-116.5</v>
      </c>
      <c r="H59" s="6"/>
      <c r="I59" s="25">
        <v>-17.850000000000001</v>
      </c>
      <c r="J59" s="6"/>
      <c r="K59" s="6"/>
      <c r="L59" s="6">
        <v>-17.8</v>
      </c>
      <c r="M59" s="6"/>
      <c r="N59" s="6"/>
      <c r="O59" s="6">
        <v>-202.95000000000002</v>
      </c>
      <c r="Q59" s="6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2:29" x14ac:dyDescent="0.3">
      <c r="B60" t="s">
        <v>25</v>
      </c>
      <c r="C60" s="6">
        <v>-3.3</v>
      </c>
      <c r="D60" s="6"/>
      <c r="E60" s="6">
        <v>-7</v>
      </c>
      <c r="F60" s="6">
        <v>7</v>
      </c>
      <c r="G60" s="6">
        <v>-3.3</v>
      </c>
      <c r="H60" s="6">
        <v>-65</v>
      </c>
      <c r="I60" s="25">
        <v>-12.1</v>
      </c>
      <c r="J60" s="6">
        <v>-30.4</v>
      </c>
      <c r="K60" s="6"/>
      <c r="L60" s="6"/>
      <c r="M60" s="6"/>
      <c r="N60" s="6"/>
      <c r="O60" s="6">
        <v>-114.1</v>
      </c>
      <c r="Q60" s="6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2:29" x14ac:dyDescent="0.3">
      <c r="B61" t="s">
        <v>40</v>
      </c>
      <c r="C61" s="6"/>
      <c r="D61" s="6"/>
      <c r="E61" s="6"/>
      <c r="F61" s="6">
        <v>-363.29</v>
      </c>
      <c r="G61" s="6">
        <v>-899.89</v>
      </c>
      <c r="H61" s="6">
        <v>-110.86</v>
      </c>
      <c r="I61" s="6">
        <v>-48.95</v>
      </c>
      <c r="J61" s="6"/>
      <c r="K61" s="6">
        <v>-248.67</v>
      </c>
      <c r="L61" s="6">
        <v>-150.69</v>
      </c>
      <c r="M61" s="6">
        <v>-58.69</v>
      </c>
      <c r="N61" s="6"/>
      <c r="O61" s="6">
        <v>-1881.0400000000002</v>
      </c>
      <c r="Q61" s="6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2:29" x14ac:dyDescent="0.3">
      <c r="B62" t="s">
        <v>79</v>
      </c>
      <c r="C62" s="6"/>
      <c r="D62" s="6"/>
      <c r="E62" s="6"/>
      <c r="F62" s="6">
        <v>-201.19</v>
      </c>
      <c r="G62" s="6"/>
      <c r="H62" s="6"/>
      <c r="I62" s="25"/>
      <c r="J62" s="6"/>
      <c r="K62" s="6"/>
      <c r="L62" s="6"/>
      <c r="M62" s="6"/>
      <c r="N62" s="6"/>
      <c r="O62" s="6">
        <v>-201.19</v>
      </c>
      <c r="Q62" s="6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2:29" x14ac:dyDescent="0.3">
      <c r="B63" t="s">
        <v>69</v>
      </c>
      <c r="C63" s="6">
        <v>70</v>
      </c>
      <c r="D63" s="6"/>
      <c r="E63" s="6">
        <v>-26.5</v>
      </c>
      <c r="F63" s="6">
        <v>31</v>
      </c>
      <c r="G63" s="6"/>
      <c r="H63" s="6"/>
      <c r="I63" s="25">
        <v>-25</v>
      </c>
      <c r="J63" s="6">
        <v>-82</v>
      </c>
      <c r="K63" s="6"/>
      <c r="L63" s="6">
        <v>-527.40000000000009</v>
      </c>
      <c r="M63" s="6"/>
      <c r="N63" s="6"/>
      <c r="O63" s="6">
        <v>-559.90000000000009</v>
      </c>
      <c r="Q63" s="6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2:29" x14ac:dyDescent="0.3">
      <c r="B64" t="s">
        <v>22</v>
      </c>
      <c r="C64" s="6">
        <v>-17.59</v>
      </c>
      <c r="D64" s="6"/>
      <c r="E64" s="6">
        <v>-12.5</v>
      </c>
      <c r="F64" s="6">
        <v>-38.5</v>
      </c>
      <c r="G64" s="6">
        <v>-9</v>
      </c>
      <c r="H64" s="6">
        <v>-12.35</v>
      </c>
      <c r="I64" s="25">
        <v>-6.5</v>
      </c>
      <c r="J64" s="6"/>
      <c r="K64" s="6">
        <v>-2.9</v>
      </c>
      <c r="L64" s="6">
        <v>-22.27</v>
      </c>
      <c r="M64" s="6">
        <v>-11.879999999999999</v>
      </c>
      <c r="N64" s="6"/>
      <c r="O64" s="6">
        <v>-133.49</v>
      </c>
      <c r="Q64" s="6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3">
      <c r="B65" t="s">
        <v>51</v>
      </c>
      <c r="C65" s="6"/>
      <c r="D65" s="6">
        <v>-84.7</v>
      </c>
      <c r="E65" s="6"/>
      <c r="F65" s="6"/>
      <c r="G65" s="6"/>
      <c r="H65" s="6"/>
      <c r="I65" s="25"/>
      <c r="J65" s="6"/>
      <c r="K65" s="6"/>
      <c r="L65" s="6"/>
      <c r="M65" s="6"/>
      <c r="N65" s="6"/>
      <c r="O65" s="6">
        <v>-84.7</v>
      </c>
      <c r="Q65" s="6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3">
      <c r="B66" t="s">
        <v>9</v>
      </c>
      <c r="C66" s="6">
        <v>-343.42</v>
      </c>
      <c r="D66" s="6">
        <v>-296.08</v>
      </c>
      <c r="E66" s="6">
        <v>-531.63</v>
      </c>
      <c r="F66" s="6">
        <v>-536.43999999999994</v>
      </c>
      <c r="G66" s="6">
        <v>-454.12999999999994</v>
      </c>
      <c r="H66" s="6">
        <v>-80.289999999999992</v>
      </c>
      <c r="I66" s="25">
        <v>-176.85000000000002</v>
      </c>
      <c r="J66" s="6">
        <v>-361.08</v>
      </c>
      <c r="K66" s="6">
        <v>-68.400000000000006</v>
      </c>
      <c r="L66" s="6">
        <v>-415.23</v>
      </c>
      <c r="M66" s="6">
        <v>-251.25</v>
      </c>
      <c r="N66" s="6"/>
      <c r="O66" s="6">
        <v>-3514.8</v>
      </c>
      <c r="Q66" s="6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3">
      <c r="B67" t="s">
        <v>78</v>
      </c>
      <c r="C67" s="6"/>
      <c r="D67" s="6"/>
      <c r="E67" s="6"/>
      <c r="F67" s="6"/>
      <c r="G67" s="6"/>
      <c r="H67" s="6">
        <v>-22.9</v>
      </c>
      <c r="I67" s="25"/>
      <c r="J67" s="6"/>
      <c r="K67" s="6"/>
      <c r="L67" s="6"/>
      <c r="M67" s="6"/>
      <c r="N67" s="6"/>
      <c r="O67" s="6">
        <v>-22.9</v>
      </c>
      <c r="Q67" s="6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3">
      <c r="B68" t="s">
        <v>35</v>
      </c>
      <c r="C68" s="6">
        <v>-320.26</v>
      </c>
      <c r="D68" s="6">
        <v>-49.22</v>
      </c>
      <c r="E68" s="6">
        <v>-143.57</v>
      </c>
      <c r="F68" s="6">
        <v>-168.89999999999998</v>
      </c>
      <c r="G68" s="6">
        <v>-162.84</v>
      </c>
      <c r="H68" s="6">
        <v>-47.46</v>
      </c>
      <c r="I68" s="25">
        <v>-78.489999999999995</v>
      </c>
      <c r="J68" s="6">
        <v>-380.15</v>
      </c>
      <c r="K68" s="6">
        <v>-155.85999999999999</v>
      </c>
      <c r="L68" s="6">
        <v>-10</v>
      </c>
      <c r="M68" s="6">
        <v>-15.99</v>
      </c>
      <c r="N68" s="6"/>
      <c r="O68" s="6">
        <v>-1532.7399999999998</v>
      </c>
      <c r="Q68" s="6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3">
      <c r="B69" t="s">
        <v>70</v>
      </c>
      <c r="C69" s="6"/>
      <c r="D69" s="6"/>
      <c r="E69" s="6"/>
      <c r="F69" s="6"/>
      <c r="G69" s="6"/>
      <c r="H69" s="6"/>
      <c r="I69" s="25"/>
      <c r="J69" s="6"/>
      <c r="K69" s="6">
        <v>-21.5</v>
      </c>
      <c r="L69" s="6"/>
      <c r="M69" s="6"/>
      <c r="N69" s="6"/>
      <c r="O69" s="6">
        <v>-21.5</v>
      </c>
      <c r="Q69" s="6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3">
      <c r="B70" t="s">
        <v>49</v>
      </c>
      <c r="C70" s="6">
        <v>-12.95</v>
      </c>
      <c r="D70" s="6">
        <v>-197.32999999999998</v>
      </c>
      <c r="E70" s="6"/>
      <c r="F70" s="6"/>
      <c r="G70" s="6"/>
      <c r="H70" s="6"/>
      <c r="I70" s="25"/>
      <c r="J70" s="6"/>
      <c r="K70" s="6"/>
      <c r="L70" s="6"/>
      <c r="M70" s="6"/>
      <c r="N70" s="6"/>
      <c r="O70" s="6">
        <v>-210.27999999999997</v>
      </c>
      <c r="Q70" s="6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3">
      <c r="B71" t="s">
        <v>34</v>
      </c>
      <c r="C71" s="6"/>
      <c r="D71" s="6"/>
      <c r="E71" s="6"/>
      <c r="F71" s="6"/>
      <c r="G71" s="6"/>
      <c r="H71" s="6"/>
      <c r="I71" s="25">
        <v>-85</v>
      </c>
      <c r="J71" s="6"/>
      <c r="K71" s="6"/>
      <c r="L71" s="6"/>
      <c r="M71" s="6"/>
      <c r="N71" s="6"/>
      <c r="O71" s="6">
        <v>-85</v>
      </c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3">
      <c r="B72" t="s">
        <v>21</v>
      </c>
      <c r="C72" s="6">
        <v>-192.7</v>
      </c>
      <c r="D72" s="6"/>
      <c r="E72" s="6"/>
      <c r="F72" s="6">
        <v>-317.25</v>
      </c>
      <c r="G72" s="6">
        <v>-96.5</v>
      </c>
      <c r="H72" s="6">
        <v>-192.38</v>
      </c>
      <c r="I72" s="25">
        <v>-165.9</v>
      </c>
      <c r="J72" s="6">
        <v>-100.1</v>
      </c>
      <c r="K72" s="6">
        <v>-24</v>
      </c>
      <c r="L72" s="6">
        <v>-306.64</v>
      </c>
      <c r="M72" s="6">
        <v>-18.7</v>
      </c>
      <c r="N72" s="6"/>
      <c r="O72" s="6">
        <v>-1414.1699999999998</v>
      </c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3">
      <c r="A73" t="s">
        <v>385</v>
      </c>
      <c r="C73" s="6">
        <v>-2546.1999999999998</v>
      </c>
      <c r="D73" s="6">
        <v>-3301.2899999999995</v>
      </c>
      <c r="E73" s="6">
        <v>-2123.7000000000003</v>
      </c>
      <c r="F73" s="6">
        <v>-2712.38</v>
      </c>
      <c r="G73" s="6">
        <v>-2287.54</v>
      </c>
      <c r="H73" s="6">
        <v>-1509.3199999999997</v>
      </c>
      <c r="I73" s="6">
        <v>-1130.0300000000002</v>
      </c>
      <c r="J73" s="6">
        <v>-1854.56</v>
      </c>
      <c r="K73" s="6">
        <v>-1830.57</v>
      </c>
      <c r="L73" s="6">
        <v>-2623.75</v>
      </c>
      <c r="M73" s="6">
        <v>-1386.92</v>
      </c>
      <c r="N73" s="6"/>
      <c r="O73" s="6">
        <v>-23306.260000000002</v>
      </c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3">
      <c r="A74" t="s">
        <v>4</v>
      </c>
      <c r="C74" s="6">
        <v>-880.00000000000045</v>
      </c>
      <c r="D74" s="6">
        <v>-1795.400000000001</v>
      </c>
      <c r="E74" s="6">
        <v>2710.5400000000013</v>
      </c>
      <c r="F74" s="6">
        <v>-1257.2099999999996</v>
      </c>
      <c r="G74" s="6">
        <v>1457.9600000000009</v>
      </c>
      <c r="H74" s="6">
        <v>1344.8799999999983</v>
      </c>
      <c r="I74" s="6">
        <v>-407.28000000000043</v>
      </c>
      <c r="J74" s="6">
        <v>-447.43999999999915</v>
      </c>
      <c r="K74" s="6">
        <v>586.63000000000056</v>
      </c>
      <c r="L74" s="6">
        <v>-1193.52</v>
      </c>
      <c r="M74" s="6">
        <v>483.17</v>
      </c>
      <c r="N74" s="6">
        <v>5123.7299999999996</v>
      </c>
      <c r="O74" s="6">
        <v>5726.0600000000059</v>
      </c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3">
      <c r="R75" s="16">
        <f>GETPIVOTDATA("Bedrag +/-",$A$5)/52</f>
        <v>110.11653846153857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3">
      <c r="A77" s="17" t="s">
        <v>410</v>
      </c>
      <c r="B77" s="17"/>
      <c r="C77" s="17" t="s">
        <v>229</v>
      </c>
      <c r="D77" s="17" t="s">
        <v>230</v>
      </c>
      <c r="E77" s="17" t="s">
        <v>231</v>
      </c>
      <c r="F77" s="17" t="s">
        <v>232</v>
      </c>
      <c r="G77" s="17" t="s">
        <v>233</v>
      </c>
      <c r="H77" s="17" t="s">
        <v>234</v>
      </c>
      <c r="I77" s="17" t="s">
        <v>235</v>
      </c>
      <c r="J77" s="17" t="s">
        <v>236</v>
      </c>
      <c r="K77" s="17" t="s">
        <v>237</v>
      </c>
      <c r="L77" s="17" t="s">
        <v>238</v>
      </c>
      <c r="M77" s="17" t="s">
        <v>239</v>
      </c>
      <c r="N77" s="17" t="s">
        <v>240</v>
      </c>
      <c r="O77" s="17"/>
      <c r="P77" s="17"/>
      <c r="Q77" s="1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3">
      <c r="A78" s="8"/>
      <c r="B78" s="8"/>
      <c r="C78" s="17">
        <f>GETPIVOTDATA("Bedrag +/-",$A$5,"maand","januari ","vast/variabel","Variabel")+GETPIVOTDATA("Bedrag +/-",$A$5,"maand","januari ","vast/variabel","Vast")</f>
        <v>-5760.35</v>
      </c>
      <c r="D78" s="17">
        <f>GETPIVOTDATA("Bedrag +/-",$A$5,"maand","februari ","vast/variabel","Variabel")+GETPIVOTDATA("Bedrag +/-",$A$5,"maand","februari ","vast/variabel","Vast")</f>
        <v>-6451.93</v>
      </c>
      <c r="E78" s="17">
        <f>GETPIVOTDATA("Bedrag +/-",$A$5,"maand","maart ","vast/variabel","Variabel")+GETPIVOTDATA("Bedrag +/-",$A$5,"maand","maart ","vast/variabel","Vast")</f>
        <v>-2835.4800000000005</v>
      </c>
      <c r="F78" s="17">
        <f>GETPIVOTDATA("Bedrag +/-",$A$5,"maand","april ","vast/variabel","Variabel")+GETPIVOTDATA("Bedrag +/-",$A$5,"maand","april ","vast/variabel","Vast")</f>
        <v>-6366.1400000000012</v>
      </c>
      <c r="G78" s="17">
        <f>GETPIVOTDATA("Bedrag +/-",$A$5,"maand","mei ","vast/variabel","Variabel")+GETPIVOTDATA("Bedrag +/-",$A$5,"maand","juni ","vast/variabel","Vast")</f>
        <v>-6329.9699999999993</v>
      </c>
      <c r="H78" s="17">
        <f>GETPIVOTDATA("Bedrag +/-",$A$5,"maand","juni ","vast/variabel","Variabel")+GETPIVOTDATA("Bedrag +/-",$A$5,"maand","juni ","vast/variabel","Vast")</f>
        <v>-5551.75</v>
      </c>
      <c r="I78" s="17">
        <f>GETPIVOTDATA("Bedrag +/-",$A$5,"maand","juli ","vast/variabel","Variabel")+GETPIVOTDATA("Bedrag +/-",$A$5,"maand","juli ","vast/variabel","Vast")</f>
        <v>-5447.02</v>
      </c>
      <c r="J78" s="17">
        <f>GETPIVOTDATA("Bedrag +/-",$A$5,"maand","augustus ","vast/variabel","Variabel")+GETPIVOTDATA("Bedrag +/-",$A$5,"maand","augustus ","vast/variabel","Vast")</f>
        <v>-4973.72</v>
      </c>
      <c r="K78" s="17">
        <f>GETPIVOTDATA("Bedrag +/-",$A$5,"maand","september ","vast/variabel","Variabel")+GETPIVOTDATA("Bedrag +/-",$A$5,"maand","september ","vast/variabel","Vast")</f>
        <v>-5051.45</v>
      </c>
      <c r="L78" s="17">
        <f>GETPIVOTDATA("Bedrag +/-",$A$5,"maand","oktober ","vast/variabel","Variabel")+GETPIVOTDATA("Bedrag +/-",$A$5,"maand","oktober ","vast/variabel","Vast")</f>
        <v>-6452.33</v>
      </c>
      <c r="M78" s="17">
        <f>GETPIVOTDATA("Bedrag +/-",$A$5,"maand","november ","vast/variabel","Variabel")+GETPIVOTDATA("Bedrag +/-",$A$5,"maand","november ","vast/variabel","Vast")</f>
        <v>-4637.0400000000009</v>
      </c>
      <c r="N78" s="17">
        <f>GETPIVOTDATA("Bedrag +/-",$A$5,"maand","december ","vast/variabel","Variabel")+GETPIVOTDATA("Bedrag +/-",$A$5,"maand","december ","vast/variabel","Vast")</f>
        <v>0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3">
      <c r="A79" s="8"/>
      <c r="B79" s="8"/>
      <c r="C79" s="8"/>
      <c r="D79" s="8"/>
      <c r="E79" s="8"/>
      <c r="F79" s="8"/>
      <c r="G79" s="8"/>
      <c r="H79" s="8"/>
      <c r="I79" s="1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3">
      <c r="A80" s="8"/>
      <c r="B80" s="8"/>
      <c r="C80" s="8"/>
      <c r="D80" s="8"/>
      <c r="E80" s="8"/>
      <c r="F80" s="8"/>
      <c r="G80" s="8"/>
      <c r="H80" s="8"/>
      <c r="I80" s="17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3">
      <c r="A115" s="1" t="s">
        <v>223</v>
      </c>
      <c r="B115" t="s">
        <v>368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3">
      <c r="A116" s="5" t="s">
        <v>354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3">
      <c r="A117" s="5" t="s">
        <v>355</v>
      </c>
      <c r="B117">
        <v>104.9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3">
      <c r="A118" s="5" t="s">
        <v>356</v>
      </c>
      <c r="B118">
        <v>114.895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3">
      <c r="A119" s="5" t="s">
        <v>357</v>
      </c>
      <c r="B119">
        <v>129.88499999999999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3">
      <c r="A120" s="5" t="s">
        <v>358</v>
      </c>
      <c r="B120">
        <v>149.87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3">
      <c r="A121" s="5" t="s">
        <v>359</v>
      </c>
      <c r="B121">
        <v>174.85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3">
      <c r="A122" s="5" t="s">
        <v>360</v>
      </c>
      <c r="B122">
        <v>175.82499999999999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3">
      <c r="A123" s="5" t="s">
        <v>361</v>
      </c>
      <c r="B123">
        <v>239.82400000000001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3">
      <c r="A124" s="5" t="s">
        <v>362</v>
      </c>
      <c r="B124">
        <v>279.76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3">
      <c r="A125" s="5" t="s">
        <v>363</v>
      </c>
      <c r="B125">
        <v>324.72000000000003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3">
      <c r="A126" s="5" t="s">
        <v>364</v>
      </c>
      <c r="B126">
        <v>374.67500000000001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3">
      <c r="A127" s="5" t="s">
        <v>365</v>
      </c>
      <c r="B127">
        <v>429.625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3">
      <c r="A128" s="5" t="s">
        <v>4</v>
      </c>
      <c r="B128">
        <v>2498.8290000000002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3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3">
      <c r="A235" s="8"/>
      <c r="B235" s="8"/>
      <c r="S235" s="8"/>
    </row>
  </sheetData>
  <sheetProtection selectLockedCells="1" selectUnlockedCells="1"/>
  <mergeCells count="5">
    <mergeCell ref="R5:R6"/>
    <mergeCell ref="S5:S6"/>
    <mergeCell ref="A1:O4"/>
    <mergeCell ref="R7:R8"/>
    <mergeCell ref="S7:S8"/>
  </mergeCells>
  <phoneticPr fontId="1" type="noConversion"/>
  <conditionalFormatting sqref="S5:S6">
    <cfRule type="expression" dxfId="68" priority="6">
      <formula>E9&lt;50</formula>
    </cfRule>
    <cfRule type="expression" dxfId="67" priority="7">
      <formula>AND(E9&gt;=50,E9&lt;80)</formula>
    </cfRule>
    <cfRule type="expression" dxfId="66" priority="8">
      <formula>E9&gt;=80</formula>
    </cfRule>
  </conditionalFormatting>
  <pageMargins left="0.7" right="0.7" top="0.75" bottom="0.75" header="0.3" footer="0.3"/>
  <pageSetup orientation="portrait" r:id="rId3"/>
  <customProperties>
    <customPr name="_pios_id" r:id="rId4"/>
  </customProperties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FFED-3E4C-4A1C-97C6-06BC31D4C639}">
  <dimension ref="A1:BR27"/>
  <sheetViews>
    <sheetView workbookViewId="0">
      <pane xSplit="1" topLeftCell="Q1" activePane="topRight" state="frozen"/>
      <selection pane="topRight" activeCell="X13" sqref="X13"/>
    </sheetView>
  </sheetViews>
  <sheetFormatPr defaultRowHeight="14.4" x14ac:dyDescent="0.3"/>
  <cols>
    <col min="1" max="1" width="16.88671875" bestFit="1" customWidth="1"/>
    <col min="2" max="2" width="14.109375" bestFit="1" customWidth="1"/>
    <col min="3" max="3" width="8.6640625" bestFit="1" customWidth="1"/>
    <col min="4" max="4" width="9.6640625" bestFit="1" customWidth="1"/>
    <col min="5" max="5" width="11.33203125" bestFit="1" customWidth="1"/>
    <col min="6" max="6" width="14.44140625" bestFit="1" customWidth="1"/>
    <col min="7" max="7" width="7.6640625" bestFit="1" customWidth="1"/>
    <col min="8" max="8" width="12.77734375" bestFit="1" customWidth="1"/>
    <col min="9" max="9" width="11.21875" bestFit="1" customWidth="1"/>
    <col min="10" max="10" width="7.6640625" bestFit="1" customWidth="1"/>
    <col min="11" max="11" width="8.6640625" bestFit="1" customWidth="1"/>
    <col min="12" max="12" width="9.6640625" bestFit="1" customWidth="1"/>
    <col min="13" max="13" width="12.33203125" bestFit="1" customWidth="1"/>
    <col min="14" max="14" width="7.6640625" bestFit="1" customWidth="1"/>
    <col min="15" max="15" width="14.33203125" bestFit="1" customWidth="1"/>
    <col min="16" max="16" width="13.44140625" bestFit="1" customWidth="1"/>
    <col min="17" max="17" width="8.6640625" bestFit="1" customWidth="1"/>
    <col min="18" max="18" width="7.6640625" bestFit="1" customWidth="1"/>
    <col min="19" max="19" width="8.44140625" bestFit="1" customWidth="1"/>
    <col min="20" max="20" width="10.5546875" bestFit="1" customWidth="1"/>
    <col min="21" max="21" width="9.5546875" bestFit="1" customWidth="1"/>
    <col min="22" max="22" width="8.21875" bestFit="1" customWidth="1"/>
    <col min="23" max="23" width="6.6640625" bestFit="1" customWidth="1"/>
    <col min="24" max="24" width="11" bestFit="1" customWidth="1"/>
    <col min="25" max="25" width="8.109375" bestFit="1" customWidth="1"/>
    <col min="26" max="26" width="6.6640625" bestFit="1" customWidth="1"/>
    <col min="27" max="27" width="7.6640625" bestFit="1" customWidth="1"/>
    <col min="28" max="28" width="15" bestFit="1" customWidth="1"/>
    <col min="29" max="29" width="9.77734375" bestFit="1" customWidth="1"/>
    <col min="30" max="30" width="6.6640625" bestFit="1" customWidth="1"/>
    <col min="31" max="31" width="7.6640625" bestFit="1" customWidth="1"/>
    <col min="32" max="32" width="8.6640625" bestFit="1" customWidth="1"/>
    <col min="33" max="34" width="7.6640625" bestFit="1" customWidth="1"/>
    <col min="35" max="35" width="8.21875" bestFit="1" customWidth="1"/>
    <col min="36" max="36" width="8.44140625" bestFit="1" customWidth="1"/>
    <col min="37" max="37" width="17.21875" bestFit="1" customWidth="1"/>
    <col min="38" max="38" width="9.33203125" bestFit="1" customWidth="1"/>
    <col min="39" max="39" width="6.6640625" bestFit="1" customWidth="1"/>
    <col min="40" max="40" width="10.21875" bestFit="1" customWidth="1"/>
    <col min="41" max="41" width="8.88671875" bestFit="1" customWidth="1"/>
    <col min="42" max="42" width="7.6640625" bestFit="1" customWidth="1"/>
    <col min="43" max="43" width="6.6640625" bestFit="1" customWidth="1"/>
    <col min="44" max="45" width="7.6640625" bestFit="1" customWidth="1"/>
    <col min="46" max="46" width="4.44140625" bestFit="1" customWidth="1"/>
    <col min="47" max="47" width="7.33203125" bestFit="1" customWidth="1"/>
    <col min="48" max="48" width="7.6640625" bestFit="1" customWidth="1"/>
    <col min="49" max="49" width="6.6640625" bestFit="1" customWidth="1"/>
    <col min="50" max="50" width="7.88671875" bestFit="1" customWidth="1"/>
    <col min="51" max="51" width="9.44140625" bestFit="1" customWidth="1"/>
    <col min="52" max="52" width="8.6640625" bestFit="1" customWidth="1"/>
    <col min="53" max="53" width="13.33203125" bestFit="1" customWidth="1"/>
    <col min="54" max="54" width="9.5546875" bestFit="1" customWidth="1"/>
    <col min="55" max="55" width="8.77734375" bestFit="1" customWidth="1"/>
    <col min="56" max="56" width="6.6640625" bestFit="1" customWidth="1"/>
    <col min="57" max="57" width="7.88671875" bestFit="1" customWidth="1"/>
    <col min="58" max="58" width="14.109375" bestFit="1" customWidth="1"/>
    <col min="59" max="59" width="10" bestFit="1" customWidth="1"/>
    <col min="60" max="60" width="6.77734375" bestFit="1" customWidth="1"/>
    <col min="61" max="61" width="19.44140625" bestFit="1" customWidth="1"/>
    <col min="62" max="62" width="8" bestFit="1" customWidth="1"/>
    <col min="63" max="63" width="4.88671875" bestFit="1" customWidth="1"/>
    <col min="64" max="64" width="10.21875" bestFit="1" customWidth="1"/>
    <col min="65" max="65" width="7.44140625" bestFit="1" customWidth="1"/>
    <col min="66" max="66" width="11.77734375" bestFit="1" customWidth="1"/>
    <col min="67" max="67" width="5.109375" bestFit="1" customWidth="1"/>
    <col min="68" max="68" width="9.6640625" bestFit="1" customWidth="1"/>
    <col min="69" max="69" width="14.109375" bestFit="1" customWidth="1"/>
    <col min="70" max="71" width="9.5546875" bestFit="1" customWidth="1"/>
    <col min="72" max="72" width="14.33203125" bestFit="1" customWidth="1"/>
    <col min="73" max="73" width="16.88671875" bestFit="1" customWidth="1"/>
    <col min="74" max="74" width="17.33203125" bestFit="1" customWidth="1"/>
    <col min="75" max="75" width="16.88671875" bestFit="1" customWidth="1"/>
    <col min="76" max="76" width="14.33203125" bestFit="1" customWidth="1"/>
    <col min="77" max="77" width="16.88671875" bestFit="1" customWidth="1"/>
    <col min="78" max="78" width="14.33203125" bestFit="1" customWidth="1"/>
    <col min="79" max="79" width="16.88671875" bestFit="1" customWidth="1"/>
    <col min="80" max="80" width="14.33203125" bestFit="1" customWidth="1"/>
    <col min="81" max="81" width="16.88671875" bestFit="1" customWidth="1"/>
    <col min="82" max="82" width="14.33203125" bestFit="1" customWidth="1"/>
    <col min="83" max="83" width="16.88671875" bestFit="1" customWidth="1"/>
    <col min="84" max="84" width="14.33203125" bestFit="1" customWidth="1"/>
    <col min="85" max="85" width="16.88671875" bestFit="1" customWidth="1"/>
    <col min="86" max="86" width="14.33203125" bestFit="1" customWidth="1"/>
    <col min="87" max="87" width="16.88671875" bestFit="1" customWidth="1"/>
    <col min="88" max="88" width="14.33203125" bestFit="1" customWidth="1"/>
    <col min="89" max="89" width="16.88671875" bestFit="1" customWidth="1"/>
    <col min="90" max="90" width="14.33203125" bestFit="1" customWidth="1"/>
    <col min="91" max="91" width="16.88671875" bestFit="1" customWidth="1"/>
    <col min="92" max="92" width="14.33203125" bestFit="1" customWidth="1"/>
    <col min="93" max="93" width="16.88671875" bestFit="1" customWidth="1"/>
    <col min="94" max="94" width="14.33203125" bestFit="1" customWidth="1"/>
    <col min="95" max="95" width="16.88671875" bestFit="1" customWidth="1"/>
    <col min="96" max="96" width="14.33203125" bestFit="1" customWidth="1"/>
    <col min="97" max="97" width="16.88671875" bestFit="1" customWidth="1"/>
    <col min="98" max="98" width="14.33203125" bestFit="1" customWidth="1"/>
    <col min="99" max="99" width="16.88671875" bestFit="1" customWidth="1"/>
    <col min="100" max="100" width="14.33203125" bestFit="1" customWidth="1"/>
    <col min="101" max="101" width="16.88671875" bestFit="1" customWidth="1"/>
    <col min="102" max="102" width="14.33203125" bestFit="1" customWidth="1"/>
    <col min="103" max="103" width="16.88671875" bestFit="1" customWidth="1"/>
    <col min="104" max="104" width="14.33203125" bestFit="1" customWidth="1"/>
    <col min="105" max="105" width="16.88671875" bestFit="1" customWidth="1"/>
    <col min="106" max="106" width="14.33203125" bestFit="1" customWidth="1"/>
    <col min="107" max="107" width="16.88671875" bestFit="1" customWidth="1"/>
    <col min="108" max="108" width="14.33203125" bestFit="1" customWidth="1"/>
    <col min="109" max="109" width="16.88671875" bestFit="1" customWidth="1"/>
    <col min="110" max="110" width="14.33203125" bestFit="1" customWidth="1"/>
    <col min="111" max="111" width="16.88671875" bestFit="1" customWidth="1"/>
    <col min="112" max="112" width="14.33203125" bestFit="1" customWidth="1"/>
    <col min="113" max="113" width="16.88671875" bestFit="1" customWidth="1"/>
    <col min="114" max="114" width="14.33203125" bestFit="1" customWidth="1"/>
    <col min="115" max="115" width="16.88671875" bestFit="1" customWidth="1"/>
    <col min="116" max="116" width="14.33203125" bestFit="1" customWidth="1"/>
    <col min="117" max="117" width="16.88671875" bestFit="1" customWidth="1"/>
    <col min="118" max="118" width="14.33203125" bestFit="1" customWidth="1"/>
    <col min="119" max="119" width="16.88671875" bestFit="1" customWidth="1"/>
    <col min="120" max="120" width="14.33203125" bestFit="1" customWidth="1"/>
    <col min="121" max="121" width="16.88671875" bestFit="1" customWidth="1"/>
    <col min="122" max="122" width="14.33203125" bestFit="1" customWidth="1"/>
    <col min="123" max="123" width="16.88671875" bestFit="1" customWidth="1"/>
    <col min="124" max="124" width="19.44140625" bestFit="1" customWidth="1"/>
    <col min="125" max="125" width="16.88671875" bestFit="1" customWidth="1"/>
    <col min="126" max="126" width="14.33203125" bestFit="1" customWidth="1"/>
    <col min="127" max="127" width="16.88671875" bestFit="1" customWidth="1"/>
    <col min="128" max="128" width="14.33203125" bestFit="1" customWidth="1"/>
    <col min="129" max="129" width="16.88671875" bestFit="1" customWidth="1"/>
    <col min="130" max="130" width="14.33203125" bestFit="1" customWidth="1"/>
    <col min="131" max="131" width="16.88671875" bestFit="1" customWidth="1"/>
    <col min="132" max="132" width="14.33203125" bestFit="1" customWidth="1"/>
    <col min="133" max="133" width="16.88671875" bestFit="1" customWidth="1"/>
    <col min="134" max="134" width="19.6640625" bestFit="1" customWidth="1"/>
    <col min="135" max="135" width="22.5546875" bestFit="1" customWidth="1"/>
    <col min="136" max="136" width="26.6640625" bestFit="1" customWidth="1"/>
    <col min="137" max="137" width="19.6640625" bestFit="1" customWidth="1"/>
  </cols>
  <sheetData>
    <row r="1" spans="1:70" x14ac:dyDescent="0.3">
      <c r="A1" s="1" t="s">
        <v>325</v>
      </c>
      <c r="B1" s="1" t="s">
        <v>224</v>
      </c>
    </row>
    <row r="2" spans="1:70" x14ac:dyDescent="0.3">
      <c r="A2" s="1" t="s">
        <v>223</v>
      </c>
      <c r="B2" t="s">
        <v>83</v>
      </c>
      <c r="C2" s="4" t="s">
        <v>3</v>
      </c>
      <c r="D2" s="4" t="s">
        <v>10</v>
      </c>
      <c r="E2" s="4" t="s">
        <v>73</v>
      </c>
      <c r="F2" s="4" t="s">
        <v>11</v>
      </c>
      <c r="G2" s="4" t="s">
        <v>12</v>
      </c>
      <c r="H2" s="4" t="s">
        <v>209</v>
      </c>
      <c r="I2" s="4" t="s">
        <v>35</v>
      </c>
      <c r="J2" s="4" t="s">
        <v>23</v>
      </c>
      <c r="K2" s="4" t="s">
        <v>14</v>
      </c>
      <c r="L2" s="4" t="s">
        <v>30</v>
      </c>
      <c r="M2" s="4" t="s">
        <v>31</v>
      </c>
      <c r="N2" s="4" t="s">
        <v>28</v>
      </c>
      <c r="O2" s="4" t="s">
        <v>33</v>
      </c>
      <c r="P2" s="4" t="s">
        <v>24</v>
      </c>
      <c r="Q2" s="4" t="s">
        <v>29</v>
      </c>
      <c r="R2" s="4" t="s">
        <v>75</v>
      </c>
      <c r="S2" s="4" t="s">
        <v>22</v>
      </c>
      <c r="T2" s="4" t="s">
        <v>8</v>
      </c>
      <c r="U2" s="4" t="s">
        <v>9</v>
      </c>
      <c r="V2" s="4" t="s">
        <v>46</v>
      </c>
      <c r="W2" s="4" t="s">
        <v>50</v>
      </c>
      <c r="X2" s="4" t="s">
        <v>82</v>
      </c>
      <c r="Y2" s="4" t="s">
        <v>38</v>
      </c>
      <c r="Z2" s="4" t="s">
        <v>62</v>
      </c>
      <c r="AA2" s="4" t="s">
        <v>59</v>
      </c>
      <c r="AB2" s="4" t="s">
        <v>26</v>
      </c>
      <c r="AC2" s="4" t="s">
        <v>21</v>
      </c>
      <c r="AD2" s="4" t="s">
        <v>63</v>
      </c>
      <c r="AE2" s="4" t="s">
        <v>32</v>
      </c>
      <c r="AF2" s="4" t="s">
        <v>19</v>
      </c>
      <c r="AG2" s="4" t="s">
        <v>52</v>
      </c>
      <c r="AH2" s="4" t="s">
        <v>53</v>
      </c>
      <c r="AI2" s="4" t="s">
        <v>54</v>
      </c>
      <c r="AJ2" s="4" t="s">
        <v>45</v>
      </c>
      <c r="AK2" s="4" t="s">
        <v>74</v>
      </c>
      <c r="AL2" s="4" t="s">
        <v>61</v>
      </c>
      <c r="AM2" s="4" t="s">
        <v>58</v>
      </c>
      <c r="AN2" s="4" t="s">
        <v>64</v>
      </c>
      <c r="AO2" s="4" t="s">
        <v>56</v>
      </c>
      <c r="AP2" s="4" t="s">
        <v>72</v>
      </c>
      <c r="AQ2" s="4" t="s">
        <v>76</v>
      </c>
      <c r="AR2" s="4" t="s">
        <v>48</v>
      </c>
      <c r="AS2" s="4" t="s">
        <v>47</v>
      </c>
      <c r="AT2" s="4" t="s">
        <v>77</v>
      </c>
      <c r="AU2" s="4" t="s">
        <v>43</v>
      </c>
      <c r="AV2" s="4" t="s">
        <v>68</v>
      </c>
      <c r="AW2" s="4" t="s">
        <v>39</v>
      </c>
      <c r="AX2" s="4" t="s">
        <v>55</v>
      </c>
      <c r="AY2" s="4" t="s">
        <v>13</v>
      </c>
      <c r="AZ2" s="4" t="s">
        <v>40</v>
      </c>
      <c r="BA2" s="4" t="s">
        <v>27</v>
      </c>
      <c r="BB2" s="4" t="s">
        <v>71</v>
      </c>
      <c r="BC2" s="4" t="s">
        <v>60</v>
      </c>
      <c r="BD2" s="4" t="s">
        <v>25</v>
      </c>
      <c r="BE2" s="4" t="s">
        <v>41</v>
      </c>
      <c r="BF2" s="4" t="s">
        <v>79</v>
      </c>
      <c r="BG2" s="4" t="s">
        <v>51</v>
      </c>
      <c r="BH2" s="4" t="s">
        <v>78</v>
      </c>
      <c r="BI2" s="4" t="s">
        <v>70</v>
      </c>
      <c r="BJ2" s="4" t="s">
        <v>49</v>
      </c>
      <c r="BK2" s="4" t="s">
        <v>34</v>
      </c>
      <c r="BL2" s="4" t="s">
        <v>44</v>
      </c>
      <c r="BM2" t="s">
        <v>36</v>
      </c>
      <c r="BN2" s="4" t="s">
        <v>69</v>
      </c>
      <c r="BO2">
        <v>0</v>
      </c>
      <c r="BP2" t="s">
        <v>503</v>
      </c>
      <c r="BQ2" t="s">
        <v>678</v>
      </c>
      <c r="BR2" t="s">
        <v>4</v>
      </c>
    </row>
    <row r="3" spans="1:70" x14ac:dyDescent="0.3">
      <c r="A3" s="5" t="s">
        <v>219</v>
      </c>
      <c r="B3" s="24">
        <v>4880.3500000000004</v>
      </c>
      <c r="C3" s="24">
        <v>-728.74</v>
      </c>
      <c r="D3" s="24">
        <v>-810.65</v>
      </c>
      <c r="E3" s="24">
        <v>-586.12</v>
      </c>
      <c r="F3" s="24">
        <v>-121.5</v>
      </c>
      <c r="G3" s="24"/>
      <c r="H3" s="24">
        <v>-85.259999999999991</v>
      </c>
      <c r="I3" s="24">
        <v>-320.26</v>
      </c>
      <c r="J3" s="24">
        <v>-66.23</v>
      </c>
      <c r="K3" s="24">
        <v>-1617.73</v>
      </c>
      <c r="L3" s="24">
        <v>-120.94</v>
      </c>
      <c r="M3" s="24"/>
      <c r="N3" s="24">
        <v>-165.8</v>
      </c>
      <c r="O3" s="24">
        <v>-166.66</v>
      </c>
      <c r="P3" s="24"/>
      <c r="Q3" s="24"/>
      <c r="R3" s="24">
        <v>-29.1</v>
      </c>
      <c r="S3" s="24">
        <v>-17.59</v>
      </c>
      <c r="T3" s="24"/>
      <c r="U3" s="24">
        <v>-343.42</v>
      </c>
      <c r="V3" s="24">
        <v>-12.01</v>
      </c>
      <c r="W3" s="24">
        <v>-33.549999999999997</v>
      </c>
      <c r="X3" s="24">
        <v>-45.509999999999991</v>
      </c>
      <c r="Y3" s="24">
        <v>-20.71</v>
      </c>
      <c r="Z3" s="24"/>
      <c r="AA3" s="24"/>
      <c r="AB3" s="24">
        <v>-27.9</v>
      </c>
      <c r="AC3" s="24">
        <v>-192.7</v>
      </c>
      <c r="AD3" s="24"/>
      <c r="AE3" s="24">
        <v>0.92999999999999883</v>
      </c>
      <c r="AF3" s="24"/>
      <c r="AG3" s="24">
        <v>-45.89</v>
      </c>
      <c r="AH3" s="24">
        <v>-13.08</v>
      </c>
      <c r="AI3" s="24">
        <v>-13</v>
      </c>
      <c r="AJ3" s="24">
        <v>-60.95</v>
      </c>
      <c r="AK3" s="24">
        <v>-25</v>
      </c>
      <c r="AL3" s="24"/>
      <c r="AM3" s="24"/>
      <c r="AN3" s="24"/>
      <c r="AO3" s="24">
        <v>-29.15</v>
      </c>
      <c r="AP3" s="24"/>
      <c r="AQ3" s="24"/>
      <c r="AR3" s="24">
        <v>390.33</v>
      </c>
      <c r="AS3" s="24">
        <v>-92.96</v>
      </c>
      <c r="AT3" s="24"/>
      <c r="AU3" s="24">
        <v>-25</v>
      </c>
      <c r="AV3" s="24"/>
      <c r="AW3" s="24">
        <v>-11.95</v>
      </c>
      <c r="AX3" s="24">
        <v>-12.48</v>
      </c>
      <c r="AY3" s="24">
        <v>-213.52000000000004</v>
      </c>
      <c r="AZ3" s="24"/>
      <c r="BA3" s="24">
        <v>-150</v>
      </c>
      <c r="BB3" s="24"/>
      <c r="BC3" s="24"/>
      <c r="BD3" s="24">
        <v>-3.3</v>
      </c>
      <c r="BE3" s="24"/>
      <c r="BF3" s="24"/>
      <c r="BG3" s="24"/>
      <c r="BH3" s="24"/>
      <c r="BI3" s="24"/>
      <c r="BJ3" s="24">
        <v>-12.95</v>
      </c>
      <c r="BK3" s="24"/>
      <c r="BL3" s="24"/>
      <c r="BM3" s="24"/>
      <c r="BN3" s="24">
        <v>70</v>
      </c>
      <c r="BO3" s="24"/>
      <c r="BP3" s="24"/>
      <c r="BQ3" s="24"/>
      <c r="BR3" s="24">
        <v>-879.99999999999955</v>
      </c>
    </row>
    <row r="4" spans="1:70" x14ac:dyDescent="0.3">
      <c r="A4" s="5" t="s">
        <v>218</v>
      </c>
      <c r="B4" s="24">
        <v>4656.53</v>
      </c>
      <c r="C4" s="24">
        <v>-679.88000000000034</v>
      </c>
      <c r="D4" s="24">
        <v>-810.65</v>
      </c>
      <c r="E4" s="24">
        <v>-586.12</v>
      </c>
      <c r="F4" s="24">
        <v>-127.5</v>
      </c>
      <c r="G4" s="24">
        <v>-95.86</v>
      </c>
      <c r="H4" s="24">
        <v>-85.259999999999991</v>
      </c>
      <c r="I4" s="24">
        <v>-49.22</v>
      </c>
      <c r="J4" s="24"/>
      <c r="K4" s="24">
        <v>-2508.67</v>
      </c>
      <c r="L4" s="24">
        <v>-126.92</v>
      </c>
      <c r="M4" s="24"/>
      <c r="N4" s="24">
        <v>-165.8</v>
      </c>
      <c r="O4" s="24">
        <v>-166.66</v>
      </c>
      <c r="P4" s="24"/>
      <c r="Q4" s="24"/>
      <c r="R4" s="24">
        <v>117.20999999999998</v>
      </c>
      <c r="S4" s="24"/>
      <c r="T4" s="24"/>
      <c r="U4" s="24">
        <v>-296.08</v>
      </c>
      <c r="V4" s="24">
        <v>-12.01</v>
      </c>
      <c r="W4" s="24">
        <v>-33.549999999999997</v>
      </c>
      <c r="X4" s="24">
        <v>-175.74</v>
      </c>
      <c r="Y4" s="24">
        <v>122.28999999999999</v>
      </c>
      <c r="Z4" s="24"/>
      <c r="AA4" s="24"/>
      <c r="AB4" s="24">
        <v>-56.899999999999991</v>
      </c>
      <c r="AC4" s="24"/>
      <c r="AD4" s="24"/>
      <c r="AE4" s="24">
        <v>-17.899999999999999</v>
      </c>
      <c r="AF4" s="24">
        <v>-1.5</v>
      </c>
      <c r="AG4" s="24">
        <v>-22.89</v>
      </c>
      <c r="AH4" s="24"/>
      <c r="AI4" s="24"/>
      <c r="AJ4" s="24">
        <v>-13.99</v>
      </c>
      <c r="AK4" s="24"/>
      <c r="AL4" s="24"/>
      <c r="AM4" s="24"/>
      <c r="AN4" s="24"/>
      <c r="AO4" s="24">
        <v>-28.7</v>
      </c>
      <c r="AP4" s="24"/>
      <c r="AQ4" s="24"/>
      <c r="AR4" s="24"/>
      <c r="AS4" s="24">
        <v>-82.12</v>
      </c>
      <c r="AT4" s="24"/>
      <c r="AU4" s="24">
        <v>-25</v>
      </c>
      <c r="AV4" s="24"/>
      <c r="AW4" s="24">
        <v>-11.95</v>
      </c>
      <c r="AX4" s="24"/>
      <c r="AY4" s="24">
        <v>-168.53</v>
      </c>
      <c r="AZ4" s="24"/>
      <c r="BA4" s="24">
        <v>-60</v>
      </c>
      <c r="BB4" s="24"/>
      <c r="BC4" s="24"/>
      <c r="BD4" s="24"/>
      <c r="BE4" s="24"/>
      <c r="BF4" s="24"/>
      <c r="BG4" s="24">
        <v>-84.7</v>
      </c>
      <c r="BH4" s="24"/>
      <c r="BI4" s="24"/>
      <c r="BJ4" s="24">
        <v>-197.32999999999998</v>
      </c>
      <c r="BK4" s="24"/>
      <c r="BL4" s="24"/>
      <c r="BM4" s="24"/>
      <c r="BN4" s="24"/>
      <c r="BO4" s="24"/>
      <c r="BP4" s="24"/>
      <c r="BQ4" s="24"/>
      <c r="BR4" s="24">
        <v>-1795.4000000000008</v>
      </c>
    </row>
    <row r="5" spans="1:70" x14ac:dyDescent="0.3">
      <c r="A5" s="5" t="s">
        <v>217</v>
      </c>
      <c r="B5" s="24">
        <v>5546.02</v>
      </c>
      <c r="C5" s="24">
        <v>-1235.3700000000001</v>
      </c>
      <c r="D5" s="24">
        <v>-810.65</v>
      </c>
      <c r="E5" s="24">
        <v>-586.12</v>
      </c>
      <c r="F5" s="24">
        <v>-265.71000000000004</v>
      </c>
      <c r="G5" s="24"/>
      <c r="H5" s="24">
        <v>-85.259999999999991</v>
      </c>
      <c r="I5" s="24">
        <v>-143.57</v>
      </c>
      <c r="J5" s="24">
        <v>-136.26999999999998</v>
      </c>
      <c r="K5" s="24">
        <v>-729.38000000000011</v>
      </c>
      <c r="L5" s="24">
        <v>-75.959999999999994</v>
      </c>
      <c r="M5" s="24"/>
      <c r="N5" s="24">
        <v>-166.78</v>
      </c>
      <c r="O5" s="24">
        <v>-166.66</v>
      </c>
      <c r="P5" s="24"/>
      <c r="Q5" s="24">
        <v>3234.04</v>
      </c>
      <c r="R5" s="24">
        <v>-189.31</v>
      </c>
      <c r="S5" s="24">
        <v>-12.5</v>
      </c>
      <c r="T5" s="24">
        <v>-33.549999999999997</v>
      </c>
      <c r="U5" s="24">
        <v>-531.63</v>
      </c>
      <c r="V5" s="24">
        <v>-12.01</v>
      </c>
      <c r="W5" s="24"/>
      <c r="X5" s="24">
        <v>-161.15</v>
      </c>
      <c r="Y5" s="24">
        <v>-20.71</v>
      </c>
      <c r="Z5" s="24"/>
      <c r="AA5" s="24"/>
      <c r="AB5" s="24">
        <v>-41.300000000000004</v>
      </c>
      <c r="AC5" s="24"/>
      <c r="AD5" s="24"/>
      <c r="AE5" s="24">
        <v>-17.5</v>
      </c>
      <c r="AF5" s="24">
        <v>-1.5</v>
      </c>
      <c r="AG5" s="24"/>
      <c r="AH5" s="24">
        <v>-11.99</v>
      </c>
      <c r="AI5" s="24"/>
      <c r="AJ5" s="24">
        <v>-90.99</v>
      </c>
      <c r="AK5" s="24"/>
      <c r="AL5" s="24"/>
      <c r="AM5" s="24"/>
      <c r="AN5" s="24"/>
      <c r="AO5" s="24">
        <v>-5.95</v>
      </c>
      <c r="AP5" s="24"/>
      <c r="AQ5" s="24">
        <v>-5.09</v>
      </c>
      <c r="AR5" s="24">
        <v>-196.95000000000002</v>
      </c>
      <c r="AS5" s="24">
        <v>-38.739999999999995</v>
      </c>
      <c r="AT5" s="24"/>
      <c r="AU5" s="24">
        <v>-50</v>
      </c>
      <c r="AV5" s="24">
        <v>-40.799999999999997</v>
      </c>
      <c r="AW5" s="24">
        <v>-5.6199999999999992</v>
      </c>
      <c r="AX5" s="24"/>
      <c r="AY5" s="24">
        <v>-132.5</v>
      </c>
      <c r="AZ5" s="24"/>
      <c r="BA5" s="24"/>
      <c r="BB5" s="24"/>
      <c r="BC5" s="24"/>
      <c r="BD5" s="24">
        <v>-7</v>
      </c>
      <c r="BE5" s="24"/>
      <c r="BF5" s="24"/>
      <c r="BG5" s="24"/>
      <c r="BH5" s="24"/>
      <c r="BI5" s="24"/>
      <c r="BJ5" s="24"/>
      <c r="BK5" s="24"/>
      <c r="BL5" s="24">
        <v>-34.5</v>
      </c>
      <c r="BM5" s="24"/>
      <c r="BN5" s="24">
        <v>-26.5</v>
      </c>
      <c r="BO5" s="24"/>
      <c r="BP5" s="24"/>
      <c r="BQ5" s="24"/>
      <c r="BR5" s="24">
        <v>2710.5399999999995</v>
      </c>
    </row>
    <row r="6" spans="1:70" x14ac:dyDescent="0.3">
      <c r="A6" s="5" t="s">
        <v>216</v>
      </c>
      <c r="B6" s="24">
        <v>5108.93</v>
      </c>
      <c r="C6" s="24">
        <v>-924.1099999999999</v>
      </c>
      <c r="D6" s="24">
        <v>-810.65</v>
      </c>
      <c r="E6" s="24">
        <v>-586.12</v>
      </c>
      <c r="F6" s="24">
        <v>-142</v>
      </c>
      <c r="G6" s="24">
        <v>-159.85</v>
      </c>
      <c r="H6" s="24">
        <v>-85.259999999999991</v>
      </c>
      <c r="I6" s="24">
        <v>-168.89999999999998</v>
      </c>
      <c r="J6" s="24">
        <v>-66.03</v>
      </c>
      <c r="K6" s="24">
        <v>-326.02999999999997</v>
      </c>
      <c r="L6" s="24">
        <v>-44.98</v>
      </c>
      <c r="M6" s="24">
        <v>-5</v>
      </c>
      <c r="N6" s="24">
        <v>-166.78</v>
      </c>
      <c r="O6" s="24">
        <v>-166.66</v>
      </c>
      <c r="P6" s="24"/>
      <c r="Q6" s="24"/>
      <c r="R6" s="24">
        <v>-130.26999999999998</v>
      </c>
      <c r="S6" s="24">
        <v>-38.5</v>
      </c>
      <c r="T6" s="24"/>
      <c r="U6" s="24">
        <v>-536.43999999999994</v>
      </c>
      <c r="V6" s="24">
        <v>-12.01</v>
      </c>
      <c r="W6" s="24">
        <v>-33.549999999999997</v>
      </c>
      <c r="X6" s="24">
        <v>-232.26</v>
      </c>
      <c r="Y6" s="24">
        <v>-20.71</v>
      </c>
      <c r="Z6" s="24"/>
      <c r="AA6" s="24"/>
      <c r="AB6" s="24">
        <v>-36.4</v>
      </c>
      <c r="AC6" s="24">
        <v>-317.25</v>
      </c>
      <c r="AD6" s="24">
        <v>-10.28</v>
      </c>
      <c r="AE6" s="24">
        <v>-166.37</v>
      </c>
      <c r="AF6" s="24">
        <v>-11.49</v>
      </c>
      <c r="AG6" s="24">
        <v>-5.5</v>
      </c>
      <c r="AH6" s="24"/>
      <c r="AI6" s="24">
        <v>-34</v>
      </c>
      <c r="AJ6" s="24">
        <v>-44.98</v>
      </c>
      <c r="AK6" s="24"/>
      <c r="AL6" s="24">
        <v>-7</v>
      </c>
      <c r="AM6" s="24"/>
      <c r="AN6" s="24">
        <v>-81.8</v>
      </c>
      <c r="AO6" s="24"/>
      <c r="AP6" s="24"/>
      <c r="AQ6" s="24"/>
      <c r="AR6" s="24">
        <v>-21.78</v>
      </c>
      <c r="AS6" s="24"/>
      <c r="AT6" s="24"/>
      <c r="AU6" s="24">
        <v>-25</v>
      </c>
      <c r="AV6" s="24">
        <v>-49.6</v>
      </c>
      <c r="AW6" s="24">
        <v>-12</v>
      </c>
      <c r="AX6" s="24"/>
      <c r="AY6" s="24">
        <v>-149.30000000000001</v>
      </c>
      <c r="AZ6" s="24">
        <v>-363.29</v>
      </c>
      <c r="BA6" s="24">
        <v>-150</v>
      </c>
      <c r="BB6" s="24"/>
      <c r="BC6" s="24">
        <v>-50.8</v>
      </c>
      <c r="BD6" s="24">
        <v>7</v>
      </c>
      <c r="BE6" s="24"/>
      <c r="BF6" s="24">
        <v>-201.19</v>
      </c>
      <c r="BG6" s="24"/>
      <c r="BH6" s="24"/>
      <c r="BI6" s="24"/>
      <c r="BJ6" s="24"/>
      <c r="BK6" s="24"/>
      <c r="BL6" s="24">
        <v>-10</v>
      </c>
      <c r="BM6" s="24"/>
      <c r="BN6" s="24">
        <v>31</v>
      </c>
      <c r="BO6" s="24"/>
      <c r="BP6" s="24"/>
      <c r="BQ6" s="24"/>
      <c r="BR6" s="24">
        <v>-1257.2099999999996</v>
      </c>
    </row>
    <row r="7" spans="1:70" x14ac:dyDescent="0.3">
      <c r="A7" s="5" t="s">
        <v>215</v>
      </c>
      <c r="B7" s="24">
        <v>7249.02</v>
      </c>
      <c r="C7" s="24">
        <v>-1037.9500000000003</v>
      </c>
      <c r="D7" s="24">
        <v>-810.65</v>
      </c>
      <c r="E7" s="24">
        <v>-586.12</v>
      </c>
      <c r="F7" s="24">
        <v>51.33</v>
      </c>
      <c r="G7" s="24"/>
      <c r="H7" s="24">
        <v>-45.25</v>
      </c>
      <c r="I7" s="24">
        <v>-162.84</v>
      </c>
      <c r="J7" s="24">
        <v>-69.650000000000006</v>
      </c>
      <c r="K7" s="24">
        <v>-240.33999999999995</v>
      </c>
      <c r="L7" s="24">
        <v>-24.1</v>
      </c>
      <c r="M7" s="24">
        <v>-5</v>
      </c>
      <c r="N7" s="24">
        <v>-166.78</v>
      </c>
      <c r="O7" s="24">
        <v>-166.66</v>
      </c>
      <c r="P7" s="24">
        <v>-120</v>
      </c>
      <c r="Q7" s="24"/>
      <c r="R7" s="24">
        <v>154.4</v>
      </c>
      <c r="S7" s="24">
        <v>-9</v>
      </c>
      <c r="T7" s="24"/>
      <c r="U7" s="24">
        <v>-454.12999999999994</v>
      </c>
      <c r="V7" s="24">
        <v>-12.01</v>
      </c>
      <c r="W7" s="24">
        <v>-33.549999999999997</v>
      </c>
      <c r="X7" s="24">
        <v>-313.74</v>
      </c>
      <c r="Y7" s="24">
        <v>-20.71</v>
      </c>
      <c r="Z7" s="24">
        <v>-0.99</v>
      </c>
      <c r="AA7" s="24">
        <v>-89.17</v>
      </c>
      <c r="AB7" s="24">
        <v>-22.5</v>
      </c>
      <c r="AC7" s="24">
        <v>-96.5</v>
      </c>
      <c r="AD7" s="24"/>
      <c r="AE7" s="24"/>
      <c r="AF7" s="24">
        <v>-1.5</v>
      </c>
      <c r="AG7" s="24">
        <v>-14.99</v>
      </c>
      <c r="AH7" s="24"/>
      <c r="AI7" s="24">
        <v>-35</v>
      </c>
      <c r="AJ7" s="24">
        <v>-120.99</v>
      </c>
      <c r="AK7" s="24"/>
      <c r="AL7" s="24">
        <v>-20.5</v>
      </c>
      <c r="AM7" s="24">
        <v>-59.41</v>
      </c>
      <c r="AN7" s="24"/>
      <c r="AO7" s="24">
        <v>-25.9</v>
      </c>
      <c r="AP7" s="24"/>
      <c r="AQ7" s="24"/>
      <c r="AR7" s="24"/>
      <c r="AS7" s="24"/>
      <c r="AT7" s="24">
        <v>-45</v>
      </c>
      <c r="AU7" s="24">
        <v>-25</v>
      </c>
      <c r="AV7" s="24"/>
      <c r="AW7" s="24">
        <v>-12</v>
      </c>
      <c r="AX7" s="24">
        <v>-24.99</v>
      </c>
      <c r="AY7" s="24">
        <v>-104.18</v>
      </c>
      <c r="AZ7" s="24">
        <v>-899.89</v>
      </c>
      <c r="BA7" s="24"/>
      <c r="BB7" s="24"/>
      <c r="BC7" s="24">
        <v>-116.5</v>
      </c>
      <c r="BD7" s="24">
        <v>-3.3</v>
      </c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>
        <v>1457.9600000000007</v>
      </c>
    </row>
    <row r="8" spans="1:70" x14ac:dyDescent="0.3">
      <c r="A8" s="5" t="s">
        <v>214</v>
      </c>
      <c r="B8" s="24">
        <v>6896.6299999999992</v>
      </c>
      <c r="C8" s="24">
        <v>-952.25000000000057</v>
      </c>
      <c r="D8" s="24">
        <v>-810.65</v>
      </c>
      <c r="E8" s="24">
        <v>-586.12</v>
      </c>
      <c r="F8" s="24">
        <v>-108.31</v>
      </c>
      <c r="G8" s="24"/>
      <c r="H8" s="24">
        <v>-134.53</v>
      </c>
      <c r="I8" s="24">
        <v>-47.46</v>
      </c>
      <c r="J8" s="24">
        <v>-74.430000000000007</v>
      </c>
      <c r="K8" s="24">
        <v>-62</v>
      </c>
      <c r="L8" s="24">
        <v>-53.22</v>
      </c>
      <c r="M8" s="24">
        <v>-7.58</v>
      </c>
      <c r="N8" s="24">
        <v>-53.29</v>
      </c>
      <c r="O8" s="24">
        <v>-166.66</v>
      </c>
      <c r="P8" s="24">
        <v>-125.81</v>
      </c>
      <c r="Q8" s="24">
        <v>-310.06</v>
      </c>
      <c r="R8" s="24">
        <v>-11.979999999999993</v>
      </c>
      <c r="S8" s="24">
        <v>-12.35</v>
      </c>
      <c r="T8" s="24">
        <v>-45.559999999999995</v>
      </c>
      <c r="U8" s="24">
        <v>-80.289999999999992</v>
      </c>
      <c r="V8" s="24"/>
      <c r="W8" s="24"/>
      <c r="X8" s="24">
        <v>-375.81</v>
      </c>
      <c r="Y8" s="24">
        <v>-20.71</v>
      </c>
      <c r="Z8" s="24">
        <v>-43.96</v>
      </c>
      <c r="AA8" s="24">
        <v>-52.05</v>
      </c>
      <c r="AB8" s="24">
        <v>-15.200000000000001</v>
      </c>
      <c r="AC8" s="24">
        <v>-192.38</v>
      </c>
      <c r="AD8" s="24">
        <v>-3.1</v>
      </c>
      <c r="AE8" s="24">
        <v>-133.97999999999999</v>
      </c>
      <c r="AF8" s="24">
        <v>-1.5</v>
      </c>
      <c r="AG8" s="24">
        <v>-44.95</v>
      </c>
      <c r="AH8" s="24">
        <v>-16.579999999999998</v>
      </c>
      <c r="AI8" s="24"/>
      <c r="AJ8" s="24">
        <v>-241.97000000000003</v>
      </c>
      <c r="AK8" s="24"/>
      <c r="AL8" s="24"/>
      <c r="AM8" s="24"/>
      <c r="AN8" s="24"/>
      <c r="AO8" s="24">
        <v>-71</v>
      </c>
      <c r="AP8" s="24">
        <v>-46.65</v>
      </c>
      <c r="AQ8" s="24"/>
      <c r="AR8" s="24">
        <v>-69.98</v>
      </c>
      <c r="AS8" s="24"/>
      <c r="AT8" s="24"/>
      <c r="AU8" s="24"/>
      <c r="AV8" s="24"/>
      <c r="AW8" s="24">
        <v>-12</v>
      </c>
      <c r="AX8" s="24">
        <v>-14.68</v>
      </c>
      <c r="AY8" s="24">
        <v>-90.449999999999989</v>
      </c>
      <c r="AZ8" s="24">
        <v>-110.86</v>
      </c>
      <c r="BA8" s="24">
        <v>-150</v>
      </c>
      <c r="BB8" s="24"/>
      <c r="BC8" s="24"/>
      <c r="BD8" s="24">
        <v>-65</v>
      </c>
      <c r="BE8" s="24">
        <v>-113.49</v>
      </c>
      <c r="BF8" s="24"/>
      <c r="BG8" s="24"/>
      <c r="BH8" s="24">
        <v>-22.9</v>
      </c>
      <c r="BI8" s="24"/>
      <c r="BJ8" s="24"/>
      <c r="BK8" s="24"/>
      <c r="BL8" s="24"/>
      <c r="BM8" s="24"/>
      <c r="BN8" s="24"/>
      <c r="BO8" s="24"/>
      <c r="BP8" s="24"/>
      <c r="BQ8" s="24"/>
      <c r="BR8" s="24">
        <v>1344.8799999999992</v>
      </c>
    </row>
    <row r="9" spans="1:70" x14ac:dyDescent="0.3">
      <c r="A9" s="27" t="s">
        <v>212</v>
      </c>
      <c r="B9" s="26">
        <v>5039.74</v>
      </c>
      <c r="C9" s="26">
        <v>-1002.9500000000002</v>
      </c>
      <c r="D9" s="26">
        <v>-810.65</v>
      </c>
      <c r="E9" s="26">
        <v>-586.12</v>
      </c>
      <c r="F9" s="26">
        <v>-228.76</v>
      </c>
      <c r="G9" s="26"/>
      <c r="H9" s="26">
        <v>-95.85</v>
      </c>
      <c r="I9" s="26">
        <v>-78.489999999999995</v>
      </c>
      <c r="J9" s="26">
        <v>-76.83</v>
      </c>
      <c r="K9" s="26">
        <v>-207.26999999999998</v>
      </c>
      <c r="L9" s="26">
        <v>-14.010000000000002</v>
      </c>
      <c r="M9" s="26">
        <v>-5</v>
      </c>
      <c r="N9" s="26">
        <v>-166.78</v>
      </c>
      <c r="O9" s="26">
        <v>-171.66</v>
      </c>
      <c r="P9" s="26">
        <v>-125.81</v>
      </c>
      <c r="Q9" s="26"/>
      <c r="R9" s="26">
        <v>-22.579999999999991</v>
      </c>
      <c r="S9" s="26">
        <v>-6.5</v>
      </c>
      <c r="T9" s="26"/>
      <c r="U9" s="26">
        <v>-176.85000000000002</v>
      </c>
      <c r="V9" s="26">
        <v>-12.01</v>
      </c>
      <c r="W9" s="26">
        <v>-33.549999999999997</v>
      </c>
      <c r="X9" s="26">
        <v>-817.75</v>
      </c>
      <c r="Y9" s="26">
        <v>-20.71</v>
      </c>
      <c r="Z9" s="26">
        <v>-25.090000000000003</v>
      </c>
      <c r="AA9" s="26">
        <v>-49.99</v>
      </c>
      <c r="AB9" s="26">
        <v>-11.9</v>
      </c>
      <c r="AC9" s="26">
        <v>-165.9</v>
      </c>
      <c r="AD9" s="26"/>
      <c r="AE9" s="26"/>
      <c r="AF9" s="26">
        <v>-1.5</v>
      </c>
      <c r="AG9" s="26">
        <v>0</v>
      </c>
      <c r="AH9" s="26">
        <v>-15.48</v>
      </c>
      <c r="AI9" s="26">
        <v>-19</v>
      </c>
      <c r="AJ9" s="26">
        <v>-43.99</v>
      </c>
      <c r="AK9" s="26"/>
      <c r="AL9" s="26">
        <v>-8</v>
      </c>
      <c r="AM9" s="26"/>
      <c r="AN9" s="26"/>
      <c r="AO9" s="26">
        <v>-35.200000000000003</v>
      </c>
      <c r="AP9" s="26"/>
      <c r="AQ9" s="26">
        <v>-4.59</v>
      </c>
      <c r="AR9" s="26">
        <v>59.099999999999994</v>
      </c>
      <c r="AS9" s="26">
        <v>-25.09</v>
      </c>
      <c r="AT9" s="26"/>
      <c r="AU9" s="26">
        <v>-25</v>
      </c>
      <c r="AV9" s="26">
        <v>-92.31</v>
      </c>
      <c r="AW9" s="26"/>
      <c r="AX9" s="26"/>
      <c r="AY9" s="26">
        <v>-122.05000000000003</v>
      </c>
      <c r="AZ9" s="26">
        <v>-48.95</v>
      </c>
      <c r="BA9" s="26"/>
      <c r="BB9" s="26">
        <v>-12</v>
      </c>
      <c r="BC9" s="26">
        <v>-17.850000000000001</v>
      </c>
      <c r="BD9" s="26">
        <v>-12.1</v>
      </c>
      <c r="BE9" s="26"/>
      <c r="BF9" s="26"/>
      <c r="BG9" s="26"/>
      <c r="BH9" s="26"/>
      <c r="BI9" s="26"/>
      <c r="BJ9" s="26"/>
      <c r="BK9" s="26">
        <v>-85</v>
      </c>
      <c r="BL9" s="26"/>
      <c r="BM9" s="26">
        <v>-24</v>
      </c>
      <c r="BN9" s="26">
        <v>-25</v>
      </c>
      <c r="BO9" s="26"/>
      <c r="BP9" s="26"/>
      <c r="BQ9" s="26"/>
      <c r="BR9" s="26">
        <v>-431.28000000000031</v>
      </c>
    </row>
    <row r="10" spans="1:70" x14ac:dyDescent="0.3">
      <c r="A10" s="18" t="s">
        <v>213</v>
      </c>
      <c r="B10" s="28">
        <v>4526.2800000000007</v>
      </c>
      <c r="C10" s="28">
        <v>-469.15000000000009</v>
      </c>
      <c r="D10" s="28">
        <v>-810.65</v>
      </c>
      <c r="E10" s="28">
        <v>-586.12</v>
      </c>
      <c r="F10" s="28">
        <v>-84.37</v>
      </c>
      <c r="G10" s="28"/>
      <c r="H10" s="28">
        <v>-45.25</v>
      </c>
      <c r="I10" s="28">
        <v>-380.15</v>
      </c>
      <c r="J10" s="28"/>
      <c r="K10" s="28">
        <v>-298.35000000000002</v>
      </c>
      <c r="L10" s="28">
        <v>-10</v>
      </c>
      <c r="M10" s="28">
        <v>-5</v>
      </c>
      <c r="N10" s="28">
        <v>-166.78</v>
      </c>
      <c r="O10" s="28">
        <v>-171.66</v>
      </c>
      <c r="P10" s="28">
        <v>-125.81</v>
      </c>
      <c r="Q10" s="28"/>
      <c r="R10" s="28">
        <v>-99.59</v>
      </c>
      <c r="S10" s="28"/>
      <c r="T10" s="28"/>
      <c r="U10" s="28">
        <v>-361.08</v>
      </c>
      <c r="V10" s="28">
        <v>-12.01</v>
      </c>
      <c r="W10" s="28">
        <v>-33.549999999999997</v>
      </c>
      <c r="X10" s="28">
        <v>-411.27000000000004</v>
      </c>
      <c r="Y10" s="28">
        <v>-20.71</v>
      </c>
      <c r="Z10" s="28">
        <v>-17.79</v>
      </c>
      <c r="AA10" s="28"/>
      <c r="AB10" s="28">
        <v>-19.600000000000001</v>
      </c>
      <c r="AC10" s="28">
        <v>-100.1</v>
      </c>
      <c r="AD10" s="28"/>
      <c r="AE10" s="28">
        <v>-301.79000000000002</v>
      </c>
      <c r="AF10" s="28">
        <v>-1.5</v>
      </c>
      <c r="AG10" s="28"/>
      <c r="AH10" s="28">
        <v>-28.4</v>
      </c>
      <c r="AI10" s="28"/>
      <c r="AJ10" s="28">
        <v>-23.98</v>
      </c>
      <c r="AK10" s="28"/>
      <c r="AL10" s="28">
        <v>-2</v>
      </c>
      <c r="AM10" s="28"/>
      <c r="AN10" s="28"/>
      <c r="AO10" s="28">
        <v>-20.95</v>
      </c>
      <c r="AP10" s="28"/>
      <c r="AQ10" s="28">
        <v>-6.93</v>
      </c>
      <c r="AR10" s="28">
        <v>-42.95</v>
      </c>
      <c r="AS10" s="28"/>
      <c r="AT10" s="28"/>
      <c r="AU10" s="28">
        <v>-50</v>
      </c>
      <c r="AV10" s="28"/>
      <c r="AW10" s="28"/>
      <c r="AX10" s="28"/>
      <c r="AY10" s="28">
        <v>-115.33</v>
      </c>
      <c r="AZ10" s="28"/>
      <c r="BA10" s="28"/>
      <c r="BB10" s="28">
        <v>-12</v>
      </c>
      <c r="BC10" s="28"/>
      <c r="BD10" s="28">
        <v>-30.4</v>
      </c>
      <c r="BE10" s="28"/>
      <c r="BF10" s="28"/>
      <c r="BG10" s="28"/>
      <c r="BH10" s="28"/>
      <c r="BI10" s="28"/>
      <c r="BJ10" s="28"/>
      <c r="BK10" s="28"/>
      <c r="BL10" s="28">
        <v>-26.5</v>
      </c>
      <c r="BM10" s="28">
        <v>-24</v>
      </c>
      <c r="BN10" s="28">
        <v>-82</v>
      </c>
      <c r="BO10" s="28"/>
      <c r="BP10" s="28">
        <v>-267</v>
      </c>
      <c r="BQ10" s="28"/>
      <c r="BR10" s="28">
        <v>-738.43999999999915</v>
      </c>
    </row>
    <row r="11" spans="1:70" x14ac:dyDescent="0.3">
      <c r="A11" s="5" t="s">
        <v>586</v>
      </c>
      <c r="B11" s="24">
        <v>5638.08</v>
      </c>
      <c r="C11" s="24">
        <v>-570.37999999999988</v>
      </c>
      <c r="D11" s="24">
        <v>-810.65</v>
      </c>
      <c r="E11" s="24">
        <v>-377.41</v>
      </c>
      <c r="F11" s="24">
        <v>60</v>
      </c>
      <c r="G11" s="24"/>
      <c r="H11" s="24">
        <v>-184.35</v>
      </c>
      <c r="I11" s="24">
        <v>-155.85999999999999</v>
      </c>
      <c r="J11" s="24">
        <v>-111.08</v>
      </c>
      <c r="K11" s="24">
        <v>-62</v>
      </c>
      <c r="L11" s="24">
        <v>-23</v>
      </c>
      <c r="M11" s="24">
        <v>-5</v>
      </c>
      <c r="N11" s="24">
        <v>-174.27</v>
      </c>
      <c r="O11" s="24">
        <v>-171.66</v>
      </c>
      <c r="P11" s="24">
        <v>-125.81</v>
      </c>
      <c r="Q11" s="24">
        <v>-49</v>
      </c>
      <c r="R11" s="24">
        <v>-132.64999999999998</v>
      </c>
      <c r="S11" s="24">
        <v>-2.9</v>
      </c>
      <c r="T11" s="24"/>
      <c r="U11" s="24">
        <v>-68.400000000000006</v>
      </c>
      <c r="V11" s="24">
        <v>-12.01</v>
      </c>
      <c r="W11" s="24">
        <v>-33.549999999999997</v>
      </c>
      <c r="X11" s="24">
        <v>-411.43999999999994</v>
      </c>
      <c r="Y11" s="24">
        <v>-20.71</v>
      </c>
      <c r="Z11" s="24">
        <v>-20.059999999999999</v>
      </c>
      <c r="AA11" s="24"/>
      <c r="AB11" s="24">
        <v>-41.2</v>
      </c>
      <c r="AC11" s="24">
        <v>-24</v>
      </c>
      <c r="AD11" s="24">
        <v>-2.99</v>
      </c>
      <c r="AE11" s="24">
        <v>-499.85</v>
      </c>
      <c r="AF11" s="24"/>
      <c r="AG11" s="24">
        <v>-82</v>
      </c>
      <c r="AH11" s="24"/>
      <c r="AI11" s="24"/>
      <c r="AJ11" s="24">
        <v>-29.99</v>
      </c>
      <c r="AK11" s="24"/>
      <c r="AL11" s="24">
        <v>-6</v>
      </c>
      <c r="AM11" s="24"/>
      <c r="AN11" s="24"/>
      <c r="AO11" s="24">
        <v>-35.25</v>
      </c>
      <c r="AP11" s="24"/>
      <c r="AQ11" s="24"/>
      <c r="AR11" s="24">
        <v>-130.19999999999999</v>
      </c>
      <c r="AS11" s="24">
        <v>-6.49</v>
      </c>
      <c r="AT11" s="24"/>
      <c r="AU11" s="24">
        <v>-25</v>
      </c>
      <c r="AV11" s="24"/>
      <c r="AW11" s="24"/>
      <c r="AX11" s="24">
        <v>-38.56</v>
      </c>
      <c r="AY11" s="24">
        <v>-175.56</v>
      </c>
      <c r="AZ11" s="24">
        <v>-248.67</v>
      </c>
      <c r="BA11" s="24">
        <v>-60</v>
      </c>
      <c r="BB11" s="24">
        <v>-12</v>
      </c>
      <c r="BC11" s="24"/>
      <c r="BD11" s="24"/>
      <c r="BE11" s="24"/>
      <c r="BF11" s="24"/>
      <c r="BG11" s="24"/>
      <c r="BH11" s="24"/>
      <c r="BI11" s="24">
        <v>-21.5</v>
      </c>
      <c r="BJ11" s="24"/>
      <c r="BK11" s="24"/>
      <c r="BL11" s="24">
        <v>-150</v>
      </c>
      <c r="BM11" s="24"/>
      <c r="BN11" s="24"/>
      <c r="BO11" s="24" t="e">
        <v>#N/A</v>
      </c>
      <c r="BP11" s="24"/>
      <c r="BQ11" s="24">
        <v>-131.71</v>
      </c>
      <c r="BR11" s="24" t="e">
        <v>#N/A</v>
      </c>
    </row>
    <row r="12" spans="1:70" x14ac:dyDescent="0.3">
      <c r="A12" s="5" t="s">
        <v>222</v>
      </c>
      <c r="B12" s="24">
        <v>5258.8099999999995</v>
      </c>
      <c r="C12" s="24">
        <v>-785.24999999999989</v>
      </c>
      <c r="D12" s="24">
        <v>-810.65</v>
      </c>
      <c r="E12" s="24">
        <v>-586.12</v>
      </c>
      <c r="F12" s="24">
        <v>-108</v>
      </c>
      <c r="G12" s="24"/>
      <c r="H12" s="24">
        <v>-50.6</v>
      </c>
      <c r="I12" s="24">
        <v>-10</v>
      </c>
      <c r="J12" s="24">
        <v>-61.83</v>
      </c>
      <c r="K12" s="24">
        <v>-141.57</v>
      </c>
      <c r="L12" s="24">
        <v>-23</v>
      </c>
      <c r="M12" s="24">
        <v>-5</v>
      </c>
      <c r="N12" s="24">
        <v>-174.27</v>
      </c>
      <c r="O12" s="24">
        <v>-171.66</v>
      </c>
      <c r="P12" s="24">
        <v>-125.81</v>
      </c>
      <c r="Q12" s="24"/>
      <c r="R12" s="24">
        <v>-117.04</v>
      </c>
      <c r="S12" s="24">
        <v>-22.27</v>
      </c>
      <c r="T12" s="24"/>
      <c r="U12" s="24">
        <v>-415.23</v>
      </c>
      <c r="V12" s="24">
        <v>-12.01</v>
      </c>
      <c r="W12" s="24">
        <v>-33.549999999999997</v>
      </c>
      <c r="X12" s="24">
        <v>-672.45</v>
      </c>
      <c r="Y12" s="24">
        <v>-20.71</v>
      </c>
      <c r="Z12" s="24">
        <v>-16.149999999999999</v>
      </c>
      <c r="AA12" s="24"/>
      <c r="AB12" s="24">
        <v>-36.5</v>
      </c>
      <c r="AC12" s="24">
        <v>-306.64</v>
      </c>
      <c r="AD12" s="24"/>
      <c r="AE12" s="24">
        <v>-256.36</v>
      </c>
      <c r="AF12" s="24">
        <v>-5.25</v>
      </c>
      <c r="AG12" s="24">
        <v>-39.979999999999997</v>
      </c>
      <c r="AH12" s="24"/>
      <c r="AI12" s="24"/>
      <c r="AJ12" s="24">
        <v>-85</v>
      </c>
      <c r="AK12" s="24"/>
      <c r="AL12" s="24"/>
      <c r="AM12" s="24"/>
      <c r="AN12" s="24"/>
      <c r="AO12" s="24">
        <v>-2.5</v>
      </c>
      <c r="AP12" s="24"/>
      <c r="AQ12" s="24">
        <v>-20.93</v>
      </c>
      <c r="AR12" s="24">
        <v>-166.82</v>
      </c>
      <c r="AS12" s="24">
        <v>-16.579999999999998</v>
      </c>
      <c r="AT12" s="24"/>
      <c r="AU12" s="24">
        <v>-25</v>
      </c>
      <c r="AV12" s="24">
        <v>-24.8</v>
      </c>
      <c r="AW12" s="24"/>
      <c r="AX12" s="24">
        <v>-6.79</v>
      </c>
      <c r="AY12" s="24">
        <v>-157.41999999999999</v>
      </c>
      <c r="AZ12" s="24">
        <v>-150.69</v>
      </c>
      <c r="BA12" s="24">
        <v>-150</v>
      </c>
      <c r="BB12" s="24">
        <v>-12</v>
      </c>
      <c r="BC12" s="24">
        <v>-17.8</v>
      </c>
      <c r="BD12" s="24"/>
      <c r="BE12" s="24"/>
      <c r="BF12" s="24"/>
      <c r="BG12" s="24"/>
      <c r="BH12" s="24"/>
      <c r="BI12" s="24"/>
      <c r="BJ12" s="24"/>
      <c r="BK12" s="24"/>
      <c r="BL12" s="24">
        <v>-80.7</v>
      </c>
      <c r="BM12" s="24">
        <v>-52</v>
      </c>
      <c r="BN12" s="24">
        <v>-527.40000000000009</v>
      </c>
      <c r="BO12" s="24"/>
      <c r="BP12" s="24"/>
      <c r="BQ12" s="24"/>
      <c r="BR12" s="24">
        <v>-1245.5200000000004</v>
      </c>
    </row>
    <row r="13" spans="1:70" x14ac:dyDescent="0.3">
      <c r="A13" s="5" t="s">
        <v>221</v>
      </c>
      <c r="B13" s="24">
        <v>5120.21</v>
      </c>
      <c r="C13" s="24">
        <v>-605.95000000000005</v>
      </c>
      <c r="D13" s="24">
        <v>-810.65</v>
      </c>
      <c r="E13" s="24">
        <v>-586.12</v>
      </c>
      <c r="F13" s="24">
        <v>-54</v>
      </c>
      <c r="G13" s="24"/>
      <c r="H13" s="24">
        <v>-64.2</v>
      </c>
      <c r="I13" s="24">
        <v>-15.99</v>
      </c>
      <c r="J13" s="24"/>
      <c r="K13" s="24">
        <v>-92.509999999999991</v>
      </c>
      <c r="L13" s="24">
        <v>-6</v>
      </c>
      <c r="M13" s="24">
        <v>-6.21</v>
      </c>
      <c r="N13" s="24">
        <v>-174.27</v>
      </c>
      <c r="O13" s="24">
        <v>-171.66</v>
      </c>
      <c r="P13" s="24">
        <v>-125.81</v>
      </c>
      <c r="Q13" s="24"/>
      <c r="R13" s="24">
        <v>18.21</v>
      </c>
      <c r="S13" s="24">
        <v>-11.879999999999999</v>
      </c>
      <c r="T13" s="24"/>
      <c r="U13" s="24">
        <v>-251.25</v>
      </c>
      <c r="V13" s="24">
        <v>-12.01</v>
      </c>
      <c r="W13" s="24"/>
      <c r="X13" s="24">
        <v>-379.09000000000003</v>
      </c>
      <c r="Y13" s="24">
        <v>-20.71</v>
      </c>
      <c r="Z13" s="24">
        <v>-9.36</v>
      </c>
      <c r="AA13" s="24"/>
      <c r="AB13" s="24">
        <v>-33.800000000000004</v>
      </c>
      <c r="AC13" s="24">
        <v>-18.7</v>
      </c>
      <c r="AD13" s="24"/>
      <c r="AE13" s="24">
        <v>-354.28</v>
      </c>
      <c r="AF13" s="24">
        <v>-5.25</v>
      </c>
      <c r="AG13" s="24">
        <v>-104.42999999999999</v>
      </c>
      <c r="AH13" s="24">
        <v>-18.39</v>
      </c>
      <c r="AI13" s="24">
        <v>-13</v>
      </c>
      <c r="AJ13" s="24">
        <v>-135.99</v>
      </c>
      <c r="AK13" s="24"/>
      <c r="AL13" s="24">
        <v>-25</v>
      </c>
      <c r="AM13" s="24"/>
      <c r="AN13" s="24"/>
      <c r="AO13" s="24">
        <v>-14</v>
      </c>
      <c r="AP13" s="24"/>
      <c r="AQ13" s="24"/>
      <c r="AR13" s="24">
        <v>-50.56</v>
      </c>
      <c r="AS13" s="24">
        <v>-68.400000000000006</v>
      </c>
      <c r="AT13" s="24"/>
      <c r="AU13" s="24">
        <v>-25</v>
      </c>
      <c r="AV13" s="24">
        <v>-26.9</v>
      </c>
      <c r="AW13" s="24"/>
      <c r="AX13" s="24"/>
      <c r="AY13" s="24">
        <v>-203.19</v>
      </c>
      <c r="AZ13" s="24">
        <v>-58.69</v>
      </c>
      <c r="BA13" s="24">
        <v>-90</v>
      </c>
      <c r="BB13" s="24">
        <v>-12</v>
      </c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>
        <v>483.17000000000053</v>
      </c>
    </row>
    <row r="14" spans="1:70" x14ac:dyDescent="0.3">
      <c r="A14" s="5" t="s">
        <v>220</v>
      </c>
      <c r="B14" s="24">
        <v>5123.7299999999996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>
        <v>5123.7299999999996</v>
      </c>
    </row>
    <row r="15" spans="1:70" x14ac:dyDescent="0.3">
      <c r="A15" s="5" t="s">
        <v>4</v>
      </c>
      <c r="B15" s="24">
        <v>65044.33</v>
      </c>
      <c r="C15" s="24">
        <v>-8991.9800000000014</v>
      </c>
      <c r="D15" s="24">
        <v>-8917.1499999999978</v>
      </c>
      <c r="E15" s="24">
        <v>-6238.61</v>
      </c>
      <c r="F15" s="24">
        <v>-1128.8200000000002</v>
      </c>
      <c r="G15" s="24">
        <v>-255.70999999999998</v>
      </c>
      <c r="H15" s="24">
        <v>-961.07</v>
      </c>
      <c r="I15" s="24">
        <v>-1532.7399999999998</v>
      </c>
      <c r="J15" s="24">
        <v>-662.35</v>
      </c>
      <c r="K15" s="24">
        <v>-6285.85</v>
      </c>
      <c r="L15" s="24">
        <v>-522.13</v>
      </c>
      <c r="M15" s="24">
        <v>-43.79</v>
      </c>
      <c r="N15" s="24">
        <v>-1741.6</v>
      </c>
      <c r="O15" s="24">
        <v>-1858.2600000000002</v>
      </c>
      <c r="P15" s="24">
        <v>-874.8599999999999</v>
      </c>
      <c r="Q15" s="24">
        <v>2874.98</v>
      </c>
      <c r="R15" s="24">
        <v>-442.7</v>
      </c>
      <c r="S15" s="24">
        <v>-133.49</v>
      </c>
      <c r="T15" s="24">
        <v>-79.109999999999985</v>
      </c>
      <c r="U15" s="24">
        <v>-3514.8</v>
      </c>
      <c r="V15" s="24">
        <v>-120.10000000000002</v>
      </c>
      <c r="W15" s="24">
        <v>-268.40000000000003</v>
      </c>
      <c r="X15" s="24">
        <v>-3996.21</v>
      </c>
      <c r="Y15" s="24">
        <v>-84.810000000000031</v>
      </c>
      <c r="Z15" s="24">
        <v>-133.40000000000003</v>
      </c>
      <c r="AA15" s="24">
        <v>-191.21</v>
      </c>
      <c r="AB15" s="24">
        <v>-343.2</v>
      </c>
      <c r="AC15" s="24">
        <v>-1414.1699999999998</v>
      </c>
      <c r="AD15" s="24">
        <v>-16.369999999999997</v>
      </c>
      <c r="AE15" s="24">
        <v>-1747.1000000000001</v>
      </c>
      <c r="AF15" s="24">
        <v>-30.990000000000002</v>
      </c>
      <c r="AG15" s="24">
        <v>-360.63</v>
      </c>
      <c r="AH15" s="24">
        <v>-103.92</v>
      </c>
      <c r="AI15" s="24">
        <v>-114</v>
      </c>
      <c r="AJ15" s="24">
        <v>-892.82</v>
      </c>
      <c r="AK15" s="24">
        <v>-25</v>
      </c>
      <c r="AL15" s="24">
        <v>-68.5</v>
      </c>
      <c r="AM15" s="24">
        <v>-59.41</v>
      </c>
      <c r="AN15" s="24">
        <v>-81.8</v>
      </c>
      <c r="AO15" s="24">
        <v>-268.59999999999997</v>
      </c>
      <c r="AP15" s="24">
        <v>-46.65</v>
      </c>
      <c r="AQ15" s="24">
        <v>-37.54</v>
      </c>
      <c r="AR15" s="24">
        <v>-229.81</v>
      </c>
      <c r="AS15" s="24">
        <v>-330.38</v>
      </c>
      <c r="AT15" s="24">
        <v>-45</v>
      </c>
      <c r="AU15" s="24">
        <v>-300</v>
      </c>
      <c r="AV15" s="24">
        <v>-234.41000000000003</v>
      </c>
      <c r="AW15" s="24">
        <v>-65.52</v>
      </c>
      <c r="AX15" s="24">
        <v>-97.500000000000014</v>
      </c>
      <c r="AY15" s="24">
        <v>-1632.0300000000004</v>
      </c>
      <c r="AZ15" s="24">
        <v>-1881.0400000000002</v>
      </c>
      <c r="BA15" s="24">
        <v>-810</v>
      </c>
      <c r="BB15" s="24">
        <v>-60</v>
      </c>
      <c r="BC15" s="24">
        <v>-202.95000000000002</v>
      </c>
      <c r="BD15" s="24">
        <v>-114.1</v>
      </c>
      <c r="BE15" s="24">
        <v>-113.49</v>
      </c>
      <c r="BF15" s="24">
        <v>-201.19</v>
      </c>
      <c r="BG15" s="24">
        <v>-84.7</v>
      </c>
      <c r="BH15" s="24">
        <v>-22.9</v>
      </c>
      <c r="BI15" s="24">
        <v>-21.5</v>
      </c>
      <c r="BJ15" s="24">
        <v>-210.27999999999997</v>
      </c>
      <c r="BK15" s="24">
        <v>-85</v>
      </c>
      <c r="BL15" s="24">
        <v>-301.7</v>
      </c>
      <c r="BM15" s="24">
        <v>-100</v>
      </c>
      <c r="BN15" s="24">
        <v>-559.90000000000009</v>
      </c>
      <c r="BO15" s="24" t="e">
        <v>#N/A</v>
      </c>
      <c r="BP15" s="24">
        <v>-267</v>
      </c>
      <c r="BQ15" s="24">
        <v>-131.71</v>
      </c>
      <c r="BR15" s="24" t="e">
        <v>#N/A</v>
      </c>
    </row>
    <row r="17" spans="1:67" hidden="1" x14ac:dyDescent="0.3">
      <c r="A17" s="5" t="s">
        <v>229</v>
      </c>
      <c r="B17" t="s">
        <v>230</v>
      </c>
      <c r="C17" t="s">
        <v>231</v>
      </c>
      <c r="D17" t="s">
        <v>232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241</v>
      </c>
      <c r="N17" t="s">
        <v>242</v>
      </c>
      <c r="O17" t="s">
        <v>243</v>
      </c>
      <c r="P17" t="s">
        <v>244</v>
      </c>
      <c r="Q17" t="s">
        <v>245</v>
      </c>
      <c r="R17" t="s">
        <v>246</v>
      </c>
      <c r="S17" t="s">
        <v>247</v>
      </c>
      <c r="T17" t="s">
        <v>248</v>
      </c>
      <c r="U17" t="s">
        <v>249</v>
      </c>
      <c r="V17" t="s">
        <v>250</v>
      </c>
      <c r="W17" t="s">
        <v>251</v>
      </c>
      <c r="X17" t="s">
        <v>252</v>
      </c>
      <c r="Y17" t="s">
        <v>253</v>
      </c>
      <c r="Z17" t="s">
        <v>254</v>
      </c>
      <c r="AA17" t="s">
        <v>255</v>
      </c>
      <c r="AB17" t="s">
        <v>256</v>
      </c>
      <c r="AC17" t="s">
        <v>257</v>
      </c>
      <c r="AD17" t="s">
        <v>258</v>
      </c>
      <c r="AE17" t="s">
        <v>259</v>
      </c>
      <c r="AF17" t="s">
        <v>260</v>
      </c>
      <c r="AG17" t="s">
        <v>261</v>
      </c>
      <c r="AH17" t="s">
        <v>262</v>
      </c>
      <c r="AI17" t="s">
        <v>263</v>
      </c>
      <c r="AJ17" t="s">
        <v>264</v>
      </c>
      <c r="AK17" t="s">
        <v>265</v>
      </c>
      <c r="AL17" t="s">
        <v>266</v>
      </c>
      <c r="AM17" t="s">
        <v>267</v>
      </c>
      <c r="AN17" t="s">
        <v>268</v>
      </c>
      <c r="AO17" t="s">
        <v>269</v>
      </c>
      <c r="AP17" t="s">
        <v>270</v>
      </c>
      <c r="AQ17" t="s">
        <v>271</v>
      </c>
      <c r="AR17" t="s">
        <v>272</v>
      </c>
      <c r="AS17" t="s">
        <v>273</v>
      </c>
      <c r="AT17" t="s">
        <v>274</v>
      </c>
      <c r="AU17" t="s">
        <v>275</v>
      </c>
      <c r="AV17" t="s">
        <v>276</v>
      </c>
      <c r="AW17" t="s">
        <v>277</v>
      </c>
      <c r="AX17" t="s">
        <v>278</v>
      </c>
      <c r="AY17" t="s">
        <v>279</v>
      </c>
      <c r="AZ17" t="s">
        <v>280</v>
      </c>
      <c r="BA17" t="s">
        <v>281</v>
      </c>
      <c r="BB17" t="s">
        <v>282</v>
      </c>
      <c r="BC17" t="s">
        <v>283</v>
      </c>
      <c r="BD17" t="s">
        <v>284</v>
      </c>
      <c r="BE17" t="s">
        <v>285</v>
      </c>
      <c r="BF17" t="s">
        <v>286</v>
      </c>
      <c r="BG17" t="s">
        <v>287</v>
      </c>
      <c r="BH17" t="s">
        <v>288</v>
      </c>
      <c r="BI17" t="s">
        <v>289</v>
      </c>
      <c r="BJ17" t="s">
        <v>290</v>
      </c>
      <c r="BK17" t="s">
        <v>291</v>
      </c>
      <c r="BL17" t="s">
        <v>292</v>
      </c>
      <c r="BM17" t="s">
        <v>293</v>
      </c>
      <c r="BN17" t="s">
        <v>294</v>
      </c>
      <c r="BO17" s="8" t="s">
        <v>295</v>
      </c>
    </row>
    <row r="18" spans="1:67" x14ac:dyDescent="0.3">
      <c r="A18" s="5" t="s">
        <v>225</v>
      </c>
      <c r="B18" s="6">
        <f t="shared" ref="B18:AG18" si="0">AVERAGE(B3:B14)</f>
        <v>5420.3608333333332</v>
      </c>
      <c r="C18" s="6">
        <f t="shared" si="0"/>
        <v>-817.45272727272743</v>
      </c>
      <c r="D18" s="6">
        <f t="shared" si="0"/>
        <v>-810.64999999999975</v>
      </c>
      <c r="E18" s="6">
        <f t="shared" si="0"/>
        <v>-567.14636363636362</v>
      </c>
      <c r="F18" s="6">
        <f t="shared" si="0"/>
        <v>-102.62000000000002</v>
      </c>
      <c r="G18" s="6">
        <f t="shared" si="0"/>
        <v>-127.85499999999999</v>
      </c>
      <c r="H18" s="6">
        <f t="shared" si="0"/>
        <v>-87.37</v>
      </c>
      <c r="I18" s="6">
        <f t="shared" si="0"/>
        <v>-139.33999999999997</v>
      </c>
      <c r="J18" s="6">
        <f t="shared" si="0"/>
        <v>-82.793750000000003</v>
      </c>
      <c r="K18" s="6">
        <f t="shared" si="0"/>
        <v>-571.44090909090914</v>
      </c>
      <c r="L18" s="6">
        <f t="shared" si="0"/>
        <v>-47.466363636363639</v>
      </c>
      <c r="M18" s="6">
        <f t="shared" si="0"/>
        <v>-5.4737499999999999</v>
      </c>
      <c r="N18" s="6">
        <f t="shared" si="0"/>
        <v>-158.32727272727271</v>
      </c>
      <c r="O18" s="6">
        <f t="shared" si="0"/>
        <v>-168.93272727272731</v>
      </c>
      <c r="P18" s="6">
        <f t="shared" si="0"/>
        <v>-124.97999999999999</v>
      </c>
      <c r="Q18" s="6">
        <f t="shared" si="0"/>
        <v>958.32666666666671</v>
      </c>
      <c r="R18" s="6">
        <f t="shared" si="0"/>
        <v>-40.245454545454542</v>
      </c>
      <c r="S18" s="6">
        <f t="shared" si="0"/>
        <v>-14.832222222222223</v>
      </c>
      <c r="T18" s="6">
        <f t="shared" si="0"/>
        <v>-39.554999999999993</v>
      </c>
      <c r="U18" s="6">
        <f t="shared" si="0"/>
        <v>-319.52727272727276</v>
      </c>
      <c r="V18" s="6">
        <f t="shared" si="0"/>
        <v>-12.010000000000002</v>
      </c>
      <c r="W18" s="6">
        <f t="shared" si="0"/>
        <v>-33.550000000000004</v>
      </c>
      <c r="X18" s="6">
        <f t="shared" si="0"/>
        <v>-363.2918181818182</v>
      </c>
      <c r="Y18" s="6">
        <f t="shared" si="0"/>
        <v>-7.7100000000000026</v>
      </c>
      <c r="Z18" s="6">
        <f t="shared" si="0"/>
        <v>-19.05714285714286</v>
      </c>
      <c r="AA18" s="6">
        <f t="shared" si="0"/>
        <v>-63.736666666666672</v>
      </c>
      <c r="AB18" s="6">
        <f t="shared" si="0"/>
        <v>-31.2</v>
      </c>
      <c r="AC18" s="6">
        <f t="shared" si="0"/>
        <v>-157.13</v>
      </c>
      <c r="AD18" s="6">
        <f t="shared" si="0"/>
        <v>-5.4566666666666661</v>
      </c>
      <c r="AE18" s="6">
        <f t="shared" si="0"/>
        <v>-194.12222222222223</v>
      </c>
      <c r="AF18" s="6">
        <f t="shared" si="0"/>
        <v>-3.4433333333333334</v>
      </c>
      <c r="AG18" s="6">
        <f t="shared" si="0"/>
        <v>-40.07</v>
      </c>
      <c r="AH18" s="6">
        <f t="shared" ref="AH18:BD18" si="1">AVERAGE(AH3:AH14)</f>
        <v>-17.32</v>
      </c>
      <c r="AI18" s="6">
        <f t="shared" si="1"/>
        <v>-22.8</v>
      </c>
      <c r="AJ18" s="6">
        <f t="shared" si="1"/>
        <v>-81.165454545454551</v>
      </c>
      <c r="AK18" s="6">
        <f t="shared" si="1"/>
        <v>-25</v>
      </c>
      <c r="AL18" s="6">
        <f t="shared" si="1"/>
        <v>-11.416666666666666</v>
      </c>
      <c r="AM18" s="6">
        <f t="shared" si="1"/>
        <v>-59.41</v>
      </c>
      <c r="AN18" s="6">
        <f t="shared" si="1"/>
        <v>-81.8</v>
      </c>
      <c r="AO18" s="6">
        <f t="shared" si="1"/>
        <v>-26.859999999999996</v>
      </c>
      <c r="AP18" s="6">
        <f t="shared" si="1"/>
        <v>-46.65</v>
      </c>
      <c r="AQ18" s="6">
        <f t="shared" si="1"/>
        <v>-9.3849999999999998</v>
      </c>
      <c r="AR18" s="6">
        <f t="shared" si="1"/>
        <v>-25.534444444444446</v>
      </c>
      <c r="AS18" s="6">
        <f t="shared" si="1"/>
        <v>-47.197142857142858</v>
      </c>
      <c r="AT18" s="6">
        <f t="shared" si="1"/>
        <v>-45</v>
      </c>
      <c r="AU18" s="6">
        <f t="shared" si="1"/>
        <v>-30</v>
      </c>
      <c r="AV18" s="6">
        <f t="shared" si="1"/>
        <v>-46.882000000000005</v>
      </c>
      <c r="AW18" s="6">
        <f t="shared" si="1"/>
        <v>-10.92</v>
      </c>
      <c r="AX18" s="6">
        <f t="shared" si="1"/>
        <v>-19.500000000000004</v>
      </c>
      <c r="AY18" s="6">
        <f t="shared" si="1"/>
        <v>-148.36636363636367</v>
      </c>
      <c r="AZ18" s="6">
        <f t="shared" si="1"/>
        <v>-268.72000000000003</v>
      </c>
      <c r="BA18" s="6">
        <f t="shared" si="1"/>
        <v>-115.71428571428571</v>
      </c>
      <c r="BB18" s="6">
        <f t="shared" si="1"/>
        <v>-12</v>
      </c>
      <c r="BC18" s="6">
        <f t="shared" si="1"/>
        <v>-50.737500000000004</v>
      </c>
      <c r="BD18" s="6">
        <f t="shared" si="1"/>
        <v>-16.3</v>
      </c>
      <c r="BE18" s="6">
        <f t="shared" ref="BE18:BN18" si="2">AVERAGE(BE3:BE14)</f>
        <v>-113.49</v>
      </c>
      <c r="BF18" s="6">
        <f t="shared" si="2"/>
        <v>-201.19</v>
      </c>
      <c r="BG18" s="6">
        <f t="shared" si="2"/>
        <v>-84.7</v>
      </c>
      <c r="BH18" s="6">
        <f t="shared" si="2"/>
        <v>-22.9</v>
      </c>
      <c r="BI18" s="6">
        <f t="shared" si="2"/>
        <v>-21.5</v>
      </c>
      <c r="BJ18" s="6">
        <f t="shared" si="2"/>
        <v>-105.13999999999999</v>
      </c>
      <c r="BK18" s="6">
        <f t="shared" si="2"/>
        <v>-85</v>
      </c>
      <c r="BL18" s="6">
        <f>AVERAGE(BL3:BL14)</f>
        <v>-60.339999999999996</v>
      </c>
      <c r="BM18" s="6">
        <f t="shared" si="2"/>
        <v>-33.333333333333336</v>
      </c>
      <c r="BN18" s="9">
        <f t="shared" si="2"/>
        <v>-93.316666666666677</v>
      </c>
      <c r="BO18" s="9"/>
    </row>
    <row r="19" spans="1:67" x14ac:dyDescent="0.3">
      <c r="A19" s="5" t="s">
        <v>225</v>
      </c>
      <c r="B19" s="6">
        <f>ABS(B18)</f>
        <v>5420.3608333333332</v>
      </c>
      <c r="C19" s="6">
        <f t="shared" ref="C19:X19" si="3">ABS(C18)</f>
        <v>817.45272727272743</v>
      </c>
      <c r="D19" s="6">
        <f t="shared" si="3"/>
        <v>810.64999999999975</v>
      </c>
      <c r="E19" s="6">
        <f t="shared" si="3"/>
        <v>567.14636363636362</v>
      </c>
      <c r="F19" s="6">
        <f t="shared" si="3"/>
        <v>102.62000000000002</v>
      </c>
      <c r="G19" s="6">
        <f t="shared" si="3"/>
        <v>127.85499999999999</v>
      </c>
      <c r="H19" s="6">
        <f t="shared" si="3"/>
        <v>87.37</v>
      </c>
      <c r="I19" s="6">
        <f t="shared" si="3"/>
        <v>139.33999999999997</v>
      </c>
      <c r="J19" s="6">
        <f t="shared" si="3"/>
        <v>82.793750000000003</v>
      </c>
      <c r="K19" s="6">
        <f t="shared" si="3"/>
        <v>571.44090909090914</v>
      </c>
      <c r="L19" s="6">
        <f t="shared" si="3"/>
        <v>47.466363636363639</v>
      </c>
      <c r="M19" s="6">
        <f t="shared" si="3"/>
        <v>5.4737499999999999</v>
      </c>
      <c r="N19" s="6">
        <f t="shared" si="3"/>
        <v>158.32727272727271</v>
      </c>
      <c r="O19" s="6">
        <f t="shared" si="3"/>
        <v>168.93272727272731</v>
      </c>
      <c r="P19" s="6">
        <f t="shared" si="3"/>
        <v>124.97999999999999</v>
      </c>
      <c r="Q19" s="6">
        <f t="shared" si="3"/>
        <v>958.32666666666671</v>
      </c>
      <c r="R19" s="6">
        <f t="shared" si="3"/>
        <v>40.245454545454542</v>
      </c>
      <c r="S19" s="6">
        <f t="shared" si="3"/>
        <v>14.832222222222223</v>
      </c>
      <c r="T19" s="6">
        <f t="shared" si="3"/>
        <v>39.554999999999993</v>
      </c>
      <c r="U19" s="6">
        <f t="shared" si="3"/>
        <v>319.52727272727276</v>
      </c>
      <c r="V19" s="6">
        <f t="shared" si="3"/>
        <v>12.010000000000002</v>
      </c>
      <c r="W19" s="6">
        <f t="shared" si="3"/>
        <v>33.550000000000004</v>
      </c>
      <c r="X19" s="6">
        <f t="shared" si="3"/>
        <v>363.2918181818182</v>
      </c>
      <c r="Y19" s="6">
        <f t="shared" ref="Y19" si="4">ABS(Y18)</f>
        <v>7.7100000000000026</v>
      </c>
      <c r="Z19" s="6">
        <f t="shared" ref="Z19" si="5">ABS(Z18)</f>
        <v>19.05714285714286</v>
      </c>
      <c r="AA19" s="6">
        <f t="shared" ref="AA19" si="6">ABS(AA18)</f>
        <v>63.736666666666672</v>
      </c>
      <c r="AB19" s="6">
        <f t="shared" ref="AB19" si="7">ABS(AB18)</f>
        <v>31.2</v>
      </c>
      <c r="AC19" s="6">
        <f t="shared" ref="AC19" si="8">ABS(AC18)</f>
        <v>157.13</v>
      </c>
      <c r="AD19" s="6">
        <f t="shared" ref="AD19" si="9">ABS(AD18)</f>
        <v>5.4566666666666661</v>
      </c>
      <c r="AE19" s="6">
        <f t="shared" ref="AE19" si="10">ABS(AE18)</f>
        <v>194.12222222222223</v>
      </c>
      <c r="AF19" s="6">
        <f t="shared" ref="AF19" si="11">ABS(AF18)</f>
        <v>3.4433333333333334</v>
      </c>
      <c r="AG19" s="6">
        <f t="shared" ref="AG19" si="12">ABS(AG18)</f>
        <v>40.07</v>
      </c>
      <c r="AH19" s="6">
        <f t="shared" ref="AH19" si="13">ABS(AH18)</f>
        <v>17.32</v>
      </c>
      <c r="AI19" s="6">
        <f t="shared" ref="AI19" si="14">ABS(AI18)</f>
        <v>22.8</v>
      </c>
      <c r="AJ19" s="6">
        <f t="shared" ref="AJ19" si="15">ABS(AJ18)</f>
        <v>81.165454545454551</v>
      </c>
      <c r="AK19" s="6">
        <f t="shared" ref="AK19" si="16">ABS(AK18)</f>
        <v>25</v>
      </c>
      <c r="AL19" s="6">
        <f t="shared" ref="AL19" si="17">ABS(AL18)</f>
        <v>11.416666666666666</v>
      </c>
      <c r="AM19" s="6">
        <f t="shared" ref="AM19" si="18">ABS(AM18)</f>
        <v>59.41</v>
      </c>
      <c r="AN19" s="6">
        <f t="shared" ref="AN19" si="19">ABS(AN18)</f>
        <v>81.8</v>
      </c>
      <c r="AO19" s="6">
        <f t="shared" ref="AO19" si="20">ABS(AO18)</f>
        <v>26.859999999999996</v>
      </c>
      <c r="AP19" s="6">
        <f t="shared" ref="AP19" si="21">ABS(AP18)</f>
        <v>46.65</v>
      </c>
      <c r="AQ19" s="6">
        <f t="shared" ref="AQ19" si="22">ABS(AQ18)</f>
        <v>9.3849999999999998</v>
      </c>
      <c r="AR19" s="6">
        <f t="shared" ref="AR19" si="23">ABS(AR18)</f>
        <v>25.534444444444446</v>
      </c>
      <c r="AS19" s="6">
        <f t="shared" ref="AS19" si="24">ABS(AS18)</f>
        <v>47.197142857142858</v>
      </c>
      <c r="AT19" s="6">
        <f t="shared" ref="AT19" si="25">ABS(AT18)</f>
        <v>45</v>
      </c>
      <c r="AU19" s="6">
        <f t="shared" ref="AU19" si="26">ABS(AU18)</f>
        <v>30</v>
      </c>
      <c r="AV19" s="6">
        <f t="shared" ref="AV19" si="27">ABS(AV18)</f>
        <v>46.882000000000005</v>
      </c>
      <c r="AW19" s="6">
        <f t="shared" ref="AW19" si="28">ABS(AW18)</f>
        <v>10.92</v>
      </c>
      <c r="AX19" s="6">
        <f t="shared" ref="AX19" si="29">ABS(AX18)</f>
        <v>19.500000000000004</v>
      </c>
      <c r="AY19" s="6">
        <f t="shared" ref="AY19" si="30">ABS(AY18)</f>
        <v>148.36636363636367</v>
      </c>
      <c r="AZ19" s="6">
        <f t="shared" ref="AZ19" si="31">ABS(AZ18)</f>
        <v>268.72000000000003</v>
      </c>
      <c r="BA19" s="6">
        <f t="shared" ref="BA19" si="32">ABS(BA18)</f>
        <v>115.71428571428571</v>
      </c>
      <c r="BB19" s="6">
        <f t="shared" ref="BB19" si="33">ABS(BB18)</f>
        <v>12</v>
      </c>
      <c r="BC19" s="6">
        <f t="shared" ref="BC19" si="34">ABS(BC18)</f>
        <v>50.737500000000004</v>
      </c>
      <c r="BD19" s="6">
        <f t="shared" ref="BD19" si="35">ABS(BD18)</f>
        <v>16.3</v>
      </c>
      <c r="BE19" s="6">
        <f t="shared" ref="BE19" si="36">ABS(BE18)</f>
        <v>113.49</v>
      </c>
      <c r="BF19" s="6">
        <f t="shared" ref="BF19" si="37">ABS(BF18)</f>
        <v>201.19</v>
      </c>
      <c r="BG19" s="6">
        <f t="shared" ref="BG19" si="38">ABS(BG18)</f>
        <v>84.7</v>
      </c>
      <c r="BH19" s="6">
        <f t="shared" ref="BH19" si="39">ABS(BH18)</f>
        <v>22.9</v>
      </c>
      <c r="BI19" s="6">
        <f t="shared" ref="BI19" si="40">ABS(BI18)</f>
        <v>21.5</v>
      </c>
      <c r="BJ19" s="6">
        <f t="shared" ref="BJ19" si="41">ABS(BJ18)</f>
        <v>105.13999999999999</v>
      </c>
      <c r="BK19" s="6">
        <f t="shared" ref="BK19:BL19" si="42">ABS(BK18)</f>
        <v>85</v>
      </c>
      <c r="BL19" s="6">
        <f t="shared" si="42"/>
        <v>60.339999999999996</v>
      </c>
      <c r="BM19" s="6">
        <f t="shared" ref="BM19" si="43">ABS(BM18)</f>
        <v>33.333333333333336</v>
      </c>
      <c r="BN19" s="9">
        <f t="shared" ref="BN19" si="44">ABS(BN18)</f>
        <v>93.316666666666677</v>
      </c>
      <c r="BO19" s="9"/>
    </row>
    <row r="20" spans="1:67" x14ac:dyDescent="0.3">
      <c r="A20" s="5" t="s">
        <v>435</v>
      </c>
      <c r="B20" s="7" t="e">
        <f>B21/GETPIVOTDATA("Bedrag +/-",$A$1,"maand","augustus ","categorie","Inkomsten Loon")</f>
        <v>#REF!</v>
      </c>
      <c r="C20" s="7">
        <f>C21/GETPIVOTDATA("Bedrag +/-",$A$1,"maand","augustus ","categorie","Inkomsten Loon")</f>
        <v>5.9569889622383049E-2</v>
      </c>
      <c r="D20" s="7">
        <f t="shared" ref="D20:BN20" si="45">D21/GETPIVOTDATA("Bedrag +/-",$A$1,"maand","augustus ","categorie","Inkomsten Loon")</f>
        <v>0.17909850915100256</v>
      </c>
      <c r="E20" s="7">
        <f t="shared" si="45"/>
        <v>0</v>
      </c>
      <c r="F20" s="7">
        <f t="shared" si="45"/>
        <v>1.6348966480200074E-2</v>
      </c>
      <c r="G20" s="7">
        <f t="shared" si="45"/>
        <v>0</v>
      </c>
      <c r="H20" s="7">
        <f t="shared" si="45"/>
        <v>9.9971720706628821E-3</v>
      </c>
      <c r="I20" s="7">
        <f t="shared" si="45"/>
        <v>1.2405330646800461E-2</v>
      </c>
      <c r="J20" s="7">
        <f t="shared" si="45"/>
        <v>0</v>
      </c>
      <c r="K20" s="7">
        <f t="shared" si="45"/>
        <v>4.6804439849059264E-2</v>
      </c>
      <c r="L20" s="7">
        <f t="shared" si="45"/>
        <v>0</v>
      </c>
      <c r="M20" s="7">
        <f t="shared" si="45"/>
        <v>1.1046598973108157E-3</v>
      </c>
      <c r="N20" s="7">
        <f t="shared" si="45"/>
        <v>0</v>
      </c>
      <c r="O20" s="7">
        <f t="shared" si="45"/>
        <v>0</v>
      </c>
      <c r="P20" s="7">
        <f t="shared" si="45"/>
        <v>2.7795452336134747E-2</v>
      </c>
      <c r="Q20" s="7">
        <f t="shared" si="45"/>
        <v>0</v>
      </c>
      <c r="R20" s="7">
        <f t="shared" si="45"/>
        <v>7.8850623470046021E-3</v>
      </c>
      <c r="S20" s="7">
        <f t="shared" si="45"/>
        <v>0</v>
      </c>
      <c r="T20" s="7">
        <f t="shared" si="45"/>
        <v>0</v>
      </c>
      <c r="U20" s="7">
        <f t="shared" si="45"/>
        <v>1.2018699682741675E-2</v>
      </c>
      <c r="V20" s="7">
        <f t="shared" si="45"/>
        <v>2.6533930733405797E-3</v>
      </c>
      <c r="W20" s="7">
        <f t="shared" si="45"/>
        <v>0</v>
      </c>
      <c r="X20" s="7">
        <f t="shared" si="45"/>
        <v>9.1560840248504277E-2</v>
      </c>
      <c r="Y20" s="7">
        <f t="shared" si="45"/>
        <v>4.5755012946613995E-3</v>
      </c>
      <c r="Z20" s="7">
        <f t="shared" si="45"/>
        <v>2.6379278347782279E-3</v>
      </c>
      <c r="AA20" s="7">
        <f t="shared" si="45"/>
        <v>0</v>
      </c>
      <c r="AB20" s="7">
        <f t="shared" si="45"/>
        <v>2.7616497432770394E-3</v>
      </c>
      <c r="AC20" s="7">
        <f t="shared" si="45"/>
        <v>2.2115291144162531E-2</v>
      </c>
      <c r="AD20" s="7">
        <f t="shared" si="45"/>
        <v>0</v>
      </c>
      <c r="AE20" s="7">
        <f t="shared" si="45"/>
        <v>2.5144268582588791E-2</v>
      </c>
      <c r="AF20" s="7">
        <f t="shared" si="45"/>
        <v>0</v>
      </c>
      <c r="AG20" s="7">
        <f t="shared" si="45"/>
        <v>1.2800798890037733E-2</v>
      </c>
      <c r="AH20" s="7">
        <f t="shared" si="45"/>
        <v>4.2860804015659648E-3</v>
      </c>
      <c r="AI20" s="7">
        <f t="shared" si="45"/>
        <v>0</v>
      </c>
      <c r="AJ20" s="7">
        <f t="shared" si="45"/>
        <v>3.0908383926756627E-3</v>
      </c>
      <c r="AK20" s="7">
        <f t="shared" si="45"/>
        <v>0</v>
      </c>
      <c r="AL20" s="7">
        <f t="shared" si="45"/>
        <v>4.418639589243263E-4</v>
      </c>
      <c r="AM20" s="7">
        <f t="shared" si="45"/>
        <v>0</v>
      </c>
      <c r="AN20" s="7">
        <f t="shared" si="45"/>
        <v>0</v>
      </c>
      <c r="AO20" s="7">
        <f t="shared" si="45"/>
        <v>0</v>
      </c>
      <c r="AP20" s="7">
        <f t="shared" si="45"/>
        <v>0</v>
      </c>
      <c r="AQ20" s="7">
        <f t="shared" si="45"/>
        <v>1.5310586176727906E-3</v>
      </c>
      <c r="AR20" s="7">
        <f t="shared" si="45"/>
        <v>3.6710057707433026E-2</v>
      </c>
      <c r="AS20" s="7">
        <f t="shared" si="45"/>
        <v>0</v>
      </c>
      <c r="AT20" s="7">
        <f t="shared" si="45"/>
        <v>0</v>
      </c>
      <c r="AU20" s="7">
        <f t="shared" si="45"/>
        <v>5.5232994865540789E-3</v>
      </c>
      <c r="AV20" s="7">
        <f t="shared" si="45"/>
        <v>0</v>
      </c>
      <c r="AW20" s="7">
        <f t="shared" si="45"/>
        <v>0</v>
      </c>
      <c r="AX20" s="7">
        <f t="shared" si="45"/>
        <v>0</v>
      </c>
      <c r="AY20" s="7">
        <f t="shared" si="45"/>
        <v>2.0301439592778171E-2</v>
      </c>
      <c r="AZ20" s="7">
        <f t="shared" si="45"/>
        <v>0</v>
      </c>
      <c r="BA20" s="7">
        <f t="shared" si="45"/>
        <v>0</v>
      </c>
      <c r="BB20" s="7">
        <f t="shared" si="45"/>
        <v>2.6511837535459579E-3</v>
      </c>
      <c r="BC20" s="7">
        <f t="shared" si="45"/>
        <v>0</v>
      </c>
      <c r="BD20" s="7">
        <f t="shared" si="45"/>
        <v>0</v>
      </c>
      <c r="BE20" s="7">
        <f t="shared" si="45"/>
        <v>0</v>
      </c>
      <c r="BF20" s="7">
        <f t="shared" si="45"/>
        <v>0</v>
      </c>
      <c r="BG20" s="7">
        <f t="shared" si="45"/>
        <v>0</v>
      </c>
      <c r="BH20" s="7">
        <f t="shared" si="45"/>
        <v>0</v>
      </c>
      <c r="BI20" s="7">
        <f t="shared" si="45"/>
        <v>0</v>
      </c>
      <c r="BJ20" s="7">
        <f t="shared" si="45"/>
        <v>0</v>
      </c>
      <c r="BK20" s="7">
        <f t="shared" si="45"/>
        <v>0</v>
      </c>
      <c r="BL20" s="7">
        <f t="shared" si="45"/>
        <v>0</v>
      </c>
      <c r="BM20" s="7">
        <f t="shared" si="45"/>
        <v>0</v>
      </c>
      <c r="BN20" s="11">
        <f t="shared" si="45"/>
        <v>0</v>
      </c>
      <c r="BO20" s="9"/>
    </row>
    <row r="21" spans="1:67" x14ac:dyDescent="0.3">
      <c r="A21" s="5" t="s">
        <v>226</v>
      </c>
      <c r="B21" s="12" t="e">
        <f>SUM(#REF!)</f>
        <v>#REF!</v>
      </c>
      <c r="C21" s="12">
        <v>269.63</v>
      </c>
      <c r="D21" s="12">
        <v>810.65</v>
      </c>
      <c r="E21" s="12"/>
      <c r="F21" s="12">
        <v>74</v>
      </c>
      <c r="G21" s="12"/>
      <c r="H21" s="12">
        <v>45.25</v>
      </c>
      <c r="I21" s="12">
        <v>56.15</v>
      </c>
      <c r="J21" s="12"/>
      <c r="K21" s="12">
        <v>211.85</v>
      </c>
      <c r="L21" s="12"/>
      <c r="M21" s="12">
        <v>5</v>
      </c>
      <c r="N21" s="12"/>
      <c r="O21" s="12"/>
      <c r="P21" s="12">
        <v>125.81</v>
      </c>
      <c r="Q21" s="12"/>
      <c r="R21" s="12">
        <v>35.69</v>
      </c>
      <c r="S21" s="12"/>
      <c r="T21" s="12"/>
      <c r="U21" s="12">
        <v>54.4</v>
      </c>
      <c r="V21" s="12">
        <v>12.01</v>
      </c>
      <c r="W21" s="12"/>
      <c r="X21" s="12">
        <v>414.43</v>
      </c>
      <c r="Y21" s="12">
        <v>20.71</v>
      </c>
      <c r="Z21" s="12">
        <v>11.94</v>
      </c>
      <c r="AA21" s="12"/>
      <c r="AB21" s="12">
        <v>12.5</v>
      </c>
      <c r="AC21" s="12">
        <v>100.1</v>
      </c>
      <c r="AD21" s="12"/>
      <c r="AE21" s="12">
        <v>113.81</v>
      </c>
      <c r="AF21" s="12"/>
      <c r="AG21" s="12">
        <v>57.94</v>
      </c>
      <c r="AH21" s="12">
        <v>19.399999999999999</v>
      </c>
      <c r="AI21" s="12">
        <v>0</v>
      </c>
      <c r="AJ21" s="12">
        <v>13.99</v>
      </c>
      <c r="AK21" s="12"/>
      <c r="AL21" s="12">
        <v>2</v>
      </c>
      <c r="AM21" s="12"/>
      <c r="AN21" s="12"/>
      <c r="AO21" s="12"/>
      <c r="AP21" s="12"/>
      <c r="AQ21" s="12">
        <v>6.93</v>
      </c>
      <c r="AR21" s="12">
        <v>166.16</v>
      </c>
      <c r="AS21" s="12"/>
      <c r="AT21" s="12"/>
      <c r="AU21" s="12">
        <v>25</v>
      </c>
      <c r="AV21" s="12"/>
      <c r="AW21" s="12"/>
      <c r="AX21" s="12"/>
      <c r="AY21" s="12">
        <v>91.89</v>
      </c>
      <c r="AZ21" s="12"/>
      <c r="BA21" s="12"/>
      <c r="BB21" s="12">
        <v>12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9"/>
      <c r="BO21" s="10"/>
    </row>
    <row r="22" spans="1:67" x14ac:dyDescent="0.3">
      <c r="A22" s="5" t="s">
        <v>227</v>
      </c>
      <c r="B22" s="6"/>
      <c r="C22" s="6">
        <f>C19-C21</f>
        <v>547.82272727272743</v>
      </c>
      <c r="D22" s="6">
        <f t="shared" ref="D22:S22" si="46">D19-D21</f>
        <v>0</v>
      </c>
      <c r="E22" s="6">
        <f>E19-E21</f>
        <v>567.14636363636362</v>
      </c>
      <c r="F22" s="6">
        <f t="shared" si="46"/>
        <v>28.620000000000019</v>
      </c>
      <c r="G22" s="6">
        <f t="shared" si="46"/>
        <v>127.85499999999999</v>
      </c>
      <c r="H22" s="6">
        <f t="shared" si="46"/>
        <v>42.120000000000005</v>
      </c>
      <c r="I22" s="6">
        <f t="shared" si="46"/>
        <v>83.189999999999969</v>
      </c>
      <c r="J22" s="6">
        <f t="shared" si="46"/>
        <v>82.793750000000003</v>
      </c>
      <c r="K22" s="6">
        <f t="shared" si="46"/>
        <v>359.59090909090912</v>
      </c>
      <c r="L22" s="6">
        <f t="shared" si="46"/>
        <v>47.466363636363639</v>
      </c>
      <c r="M22" s="6">
        <f t="shared" si="46"/>
        <v>0.47374999999999989</v>
      </c>
      <c r="N22" s="6">
        <f t="shared" si="46"/>
        <v>158.32727272727271</v>
      </c>
      <c r="O22" s="6">
        <f t="shared" si="46"/>
        <v>168.93272727272731</v>
      </c>
      <c r="P22" s="6">
        <f t="shared" si="46"/>
        <v>-0.83000000000001251</v>
      </c>
      <c r="Q22" s="6">
        <f t="shared" si="46"/>
        <v>958.32666666666671</v>
      </c>
      <c r="R22" s="6">
        <f t="shared" si="46"/>
        <v>4.5554545454545448</v>
      </c>
      <c r="S22" s="6">
        <f t="shared" si="46"/>
        <v>14.832222222222223</v>
      </c>
      <c r="T22" s="6">
        <f t="shared" ref="T22" si="47">T19-T21</f>
        <v>39.554999999999993</v>
      </c>
      <c r="U22" s="6">
        <f t="shared" ref="U22" si="48">U19-U21</f>
        <v>265.12727272727278</v>
      </c>
      <c r="V22" s="6">
        <f t="shared" ref="V22" si="49">V19-V21</f>
        <v>0</v>
      </c>
      <c r="W22" s="6">
        <f t="shared" ref="W22" si="50">W19-W21</f>
        <v>33.550000000000004</v>
      </c>
      <c r="X22" s="6">
        <f t="shared" ref="X22" si="51">X19-X21</f>
        <v>-51.138181818181806</v>
      </c>
      <c r="Y22" s="6">
        <f t="shared" ref="Y22" si="52">Y19-Y21</f>
        <v>-12.999999999999998</v>
      </c>
      <c r="Z22" s="6">
        <f t="shared" ref="Z22" si="53">Z19-Z21</f>
        <v>7.117142857142861</v>
      </c>
      <c r="AA22" s="6">
        <f t="shared" ref="AA22" si="54">AA19-AA21</f>
        <v>63.736666666666672</v>
      </c>
      <c r="AB22" s="6">
        <f t="shared" ref="AB22" si="55">AB19-AB21</f>
        <v>18.7</v>
      </c>
      <c r="AC22" s="6">
        <f t="shared" ref="AC22" si="56">AC19-AC21</f>
        <v>57.03</v>
      </c>
      <c r="AD22" s="6">
        <f t="shared" ref="AD22" si="57">AD19-AD21</f>
        <v>5.4566666666666661</v>
      </c>
      <c r="AE22" s="6">
        <f t="shared" ref="AE22" si="58">AE19-AE21</f>
        <v>80.312222222222232</v>
      </c>
      <c r="AF22" s="6">
        <f t="shared" ref="AF22" si="59">AF19-AF21</f>
        <v>3.4433333333333334</v>
      </c>
      <c r="AG22" s="6">
        <f t="shared" ref="AG22" si="60">AG19-AG21</f>
        <v>-17.869999999999997</v>
      </c>
      <c r="AH22" s="6">
        <f t="shared" ref="AH22" si="61">AH19-AH21</f>
        <v>-2.0799999999999983</v>
      </c>
      <c r="AI22" s="6">
        <f>AI19-AI21</f>
        <v>22.8</v>
      </c>
      <c r="AJ22" s="6">
        <f t="shared" ref="AJ22" si="62">AJ19-AJ21</f>
        <v>67.175454545454556</v>
      </c>
      <c r="AK22" s="6">
        <f t="shared" ref="AK22" si="63">AK19-AK21</f>
        <v>25</v>
      </c>
      <c r="AL22" s="6">
        <f t="shared" ref="AL22" si="64">AL19-AL21</f>
        <v>9.4166666666666661</v>
      </c>
      <c r="AM22" s="6">
        <f t="shared" ref="AM22" si="65">AM19-AM21</f>
        <v>59.41</v>
      </c>
      <c r="AN22" s="6">
        <f t="shared" ref="AN22" si="66">AN19-AN21</f>
        <v>81.8</v>
      </c>
      <c r="AO22" s="6">
        <f t="shared" ref="AO22" si="67">AO19-AO21</f>
        <v>26.859999999999996</v>
      </c>
      <c r="AP22" s="6">
        <f t="shared" ref="AP22" si="68">AP19-AP21</f>
        <v>46.65</v>
      </c>
      <c r="AQ22" s="6">
        <f t="shared" ref="AQ22" si="69">AQ19-AQ21</f>
        <v>2.4550000000000001</v>
      </c>
      <c r="AR22" s="6">
        <f t="shared" ref="AR22" si="70">AR19-AR21</f>
        <v>-140.62555555555554</v>
      </c>
      <c r="AS22" s="6">
        <f t="shared" ref="AS22" si="71">AS19-AS21</f>
        <v>47.197142857142858</v>
      </c>
      <c r="AT22" s="6">
        <f t="shared" ref="AT22" si="72">AT19-AT21</f>
        <v>45</v>
      </c>
      <c r="AU22" s="6">
        <f t="shared" ref="AU22" si="73">AU19-AU21</f>
        <v>5</v>
      </c>
      <c r="AV22" s="6">
        <f t="shared" ref="AV22" si="74">AV19-AV21</f>
        <v>46.882000000000005</v>
      </c>
      <c r="AW22" s="6">
        <f t="shared" ref="AW22" si="75">AW19-AW21</f>
        <v>10.92</v>
      </c>
      <c r="AX22" s="6">
        <f t="shared" ref="AX22" si="76">AX19-AX21</f>
        <v>19.500000000000004</v>
      </c>
      <c r="AY22" s="6">
        <f t="shared" ref="AY22" si="77">AY19-AY21</f>
        <v>56.476363636363672</v>
      </c>
      <c r="AZ22" s="6">
        <f t="shared" ref="AZ22" si="78">AZ19-AZ21</f>
        <v>268.72000000000003</v>
      </c>
      <c r="BA22" s="6">
        <f t="shared" ref="BA22" si="79">BA19-BA21</f>
        <v>115.71428571428571</v>
      </c>
      <c r="BB22" s="6">
        <f t="shared" ref="BB22" si="80">BB19-BB21</f>
        <v>0</v>
      </c>
      <c r="BC22" s="6">
        <f t="shared" ref="BC22" si="81">BC19-BC21</f>
        <v>50.737500000000004</v>
      </c>
      <c r="BD22" s="6">
        <f t="shared" ref="BD22" si="82">BD19-BD21</f>
        <v>16.3</v>
      </c>
      <c r="BE22" s="6">
        <f t="shared" ref="BE22" si="83">BE19-BE21</f>
        <v>113.49</v>
      </c>
      <c r="BF22" s="6">
        <f t="shared" ref="BF22" si="84">BF19-BF21</f>
        <v>201.19</v>
      </c>
      <c r="BG22" s="6">
        <f t="shared" ref="BG22" si="85">BG19-BG21</f>
        <v>84.7</v>
      </c>
      <c r="BH22" s="6">
        <f t="shared" ref="BH22" si="86">BH19-BH21</f>
        <v>22.9</v>
      </c>
      <c r="BI22" s="6">
        <f t="shared" ref="BI22" si="87">BI19-BI21</f>
        <v>21.5</v>
      </c>
      <c r="BJ22" s="6">
        <f t="shared" ref="BJ22" si="88">BJ19-BJ21</f>
        <v>105.13999999999999</v>
      </c>
      <c r="BK22" s="6">
        <f t="shared" ref="BK22:BL22" si="89">BK19-BK21</f>
        <v>85</v>
      </c>
      <c r="BL22" s="6">
        <f t="shared" si="89"/>
        <v>60.339999999999996</v>
      </c>
      <c r="BM22" s="6">
        <f t="shared" ref="BM22" si="90">BM19-BM21</f>
        <v>33.333333333333336</v>
      </c>
      <c r="BN22" s="9">
        <f t="shared" ref="BN22" si="91">BN19-BN21</f>
        <v>93.316666666666677</v>
      </c>
      <c r="BO22" s="9"/>
    </row>
    <row r="23" spans="1:67" x14ac:dyDescent="0.3">
      <c r="A23" s="5" t="s">
        <v>228</v>
      </c>
      <c r="B23" s="7" t="e">
        <f t="shared" ref="B23:BM23" si="92">B21/B19</f>
        <v>#REF!</v>
      </c>
      <c r="C23" s="7">
        <f t="shared" si="92"/>
        <v>0.32984170338457153</v>
      </c>
      <c r="D23" s="7">
        <f>D21/D19</f>
        <v>1.0000000000000002</v>
      </c>
      <c r="E23" s="7">
        <f t="shared" si="92"/>
        <v>0</v>
      </c>
      <c r="F23" s="7">
        <f t="shared" si="92"/>
        <v>0.72110699668680556</v>
      </c>
      <c r="G23" s="7">
        <f t="shared" si="92"/>
        <v>0</v>
      </c>
      <c r="H23" s="7">
        <f t="shared" si="92"/>
        <v>0.51791232688565869</v>
      </c>
      <c r="I23" s="7">
        <f t="shared" si="92"/>
        <v>0.40297114970575576</v>
      </c>
      <c r="J23" s="7">
        <f t="shared" si="92"/>
        <v>0</v>
      </c>
      <c r="K23" s="7">
        <f t="shared" si="92"/>
        <v>0.37072949561316287</v>
      </c>
      <c r="L23" s="7">
        <f t="shared" si="92"/>
        <v>0</v>
      </c>
      <c r="M23" s="7">
        <f t="shared" si="92"/>
        <v>0.91345055948846765</v>
      </c>
      <c r="N23" s="7">
        <f t="shared" si="92"/>
        <v>0</v>
      </c>
      <c r="O23" s="7">
        <f t="shared" si="92"/>
        <v>0</v>
      </c>
      <c r="P23" s="7">
        <f t="shared" si="92"/>
        <v>1.0066410625700113</v>
      </c>
      <c r="Q23" s="7">
        <f t="shared" si="92"/>
        <v>0</v>
      </c>
      <c r="R23" s="7">
        <f t="shared" si="92"/>
        <v>0.88680822227241929</v>
      </c>
      <c r="S23" s="7">
        <f t="shared" si="92"/>
        <v>0</v>
      </c>
      <c r="T23" s="7">
        <f t="shared" si="92"/>
        <v>0</v>
      </c>
      <c r="U23" s="7">
        <f t="shared" si="92"/>
        <v>0.1702515079094116</v>
      </c>
      <c r="V23" s="7">
        <f t="shared" si="92"/>
        <v>0.99999999999999989</v>
      </c>
      <c r="W23" s="7">
        <f t="shared" si="92"/>
        <v>0</v>
      </c>
      <c r="X23" s="7">
        <f t="shared" si="92"/>
        <v>1.1407633732961981</v>
      </c>
      <c r="Y23" s="7">
        <f t="shared" si="92"/>
        <v>2.6861219195849539</v>
      </c>
      <c r="Z23" s="7">
        <f t="shared" si="92"/>
        <v>0.62653673163418278</v>
      </c>
      <c r="AA23" s="7">
        <f t="shared" si="92"/>
        <v>0</v>
      </c>
      <c r="AB23" s="7">
        <f t="shared" si="92"/>
        <v>0.40064102564102566</v>
      </c>
      <c r="AC23" s="7">
        <f t="shared" si="92"/>
        <v>0.63705212244638199</v>
      </c>
      <c r="AD23" s="7">
        <f t="shared" si="92"/>
        <v>0</v>
      </c>
      <c r="AE23" s="7">
        <f t="shared" si="92"/>
        <v>0.58628012134394136</v>
      </c>
      <c r="AF23" s="7">
        <f t="shared" si="92"/>
        <v>0</v>
      </c>
      <c r="AG23" s="7">
        <f t="shared" si="92"/>
        <v>1.4459695532817569</v>
      </c>
      <c r="AH23" s="7">
        <f t="shared" si="92"/>
        <v>1.1200923787528867</v>
      </c>
      <c r="AI23" s="7">
        <f>AI21/AI19</f>
        <v>0</v>
      </c>
      <c r="AJ23" s="7">
        <f t="shared" si="92"/>
        <v>0.17236397034116618</v>
      </c>
      <c r="AK23" s="7">
        <f t="shared" si="92"/>
        <v>0</v>
      </c>
      <c r="AL23" s="7">
        <f t="shared" si="92"/>
        <v>0.17518248175182483</v>
      </c>
      <c r="AM23" s="7">
        <f t="shared" si="92"/>
        <v>0</v>
      </c>
      <c r="AN23" s="7">
        <f t="shared" si="92"/>
        <v>0</v>
      </c>
      <c r="AO23" s="7">
        <f t="shared" si="92"/>
        <v>0</v>
      </c>
      <c r="AP23" s="7">
        <f t="shared" si="92"/>
        <v>0</v>
      </c>
      <c r="AQ23" s="7">
        <f t="shared" si="92"/>
        <v>0.73841236014917422</v>
      </c>
      <c r="AR23" s="7">
        <f t="shared" si="92"/>
        <v>6.5072886297376087</v>
      </c>
      <c r="AS23" s="7">
        <f t="shared" si="92"/>
        <v>0</v>
      </c>
      <c r="AT23" s="7">
        <f t="shared" si="92"/>
        <v>0</v>
      </c>
      <c r="AU23" s="7">
        <f t="shared" si="92"/>
        <v>0.83333333333333337</v>
      </c>
      <c r="AV23" s="7">
        <f t="shared" si="92"/>
        <v>0</v>
      </c>
      <c r="AW23" s="7">
        <f t="shared" si="92"/>
        <v>0</v>
      </c>
      <c r="AX23" s="7">
        <f t="shared" si="92"/>
        <v>0</v>
      </c>
      <c r="AY23" s="7">
        <f t="shared" si="92"/>
        <v>0.61934523262440011</v>
      </c>
      <c r="AZ23" s="7">
        <f t="shared" si="92"/>
        <v>0</v>
      </c>
      <c r="BA23" s="7">
        <f t="shared" si="92"/>
        <v>0</v>
      </c>
      <c r="BB23" s="7">
        <f t="shared" si="92"/>
        <v>1</v>
      </c>
      <c r="BC23" s="7">
        <f t="shared" si="92"/>
        <v>0</v>
      </c>
      <c r="BD23" s="7">
        <f t="shared" si="92"/>
        <v>0</v>
      </c>
      <c r="BE23" s="7">
        <f t="shared" si="92"/>
        <v>0</v>
      </c>
      <c r="BF23" s="7">
        <f t="shared" si="92"/>
        <v>0</v>
      </c>
      <c r="BG23" s="7">
        <f t="shared" si="92"/>
        <v>0</v>
      </c>
      <c r="BH23" s="7">
        <f t="shared" si="92"/>
        <v>0</v>
      </c>
      <c r="BI23" s="7">
        <f t="shared" si="92"/>
        <v>0</v>
      </c>
      <c r="BJ23" s="7">
        <f t="shared" si="92"/>
        <v>0</v>
      </c>
      <c r="BK23" s="7">
        <f t="shared" si="92"/>
        <v>0</v>
      </c>
      <c r="BL23" s="7">
        <f t="shared" si="92"/>
        <v>0</v>
      </c>
      <c r="BM23" s="7">
        <f t="shared" si="92"/>
        <v>0</v>
      </c>
      <c r="BN23" s="7">
        <f t="shared" ref="BN23" si="93">BN21/BN19</f>
        <v>0</v>
      </c>
      <c r="BO23" s="11"/>
    </row>
    <row r="26" spans="1:67" x14ac:dyDescent="0.3">
      <c r="BB26" t="s">
        <v>342</v>
      </c>
    </row>
    <row r="27" spans="1:67" x14ac:dyDescent="0.3">
      <c r="BD27" t="s">
        <v>343</v>
      </c>
    </row>
  </sheetData>
  <sheetProtection selectLockedCells="1"/>
  <conditionalFormatting sqref="B23:BO23">
    <cfRule type="cellIs" dxfId="65" priority="1" operator="lessThanOrEqual">
      <formula>99%</formula>
    </cfRule>
    <cfRule type="cellIs" dxfId="64" priority="3" operator="greaterThanOrEqual">
      <formula>101%</formula>
    </cfRule>
    <cfRule type="cellIs" dxfId="63" priority="4" operator="equal">
      <formula>100%</formula>
    </cfRule>
  </conditionalFormatting>
  <conditionalFormatting pivot="1" sqref="BR15">
    <cfRule type="cellIs" dxfId="62" priority="2" operator="lessThan">
      <formula>0</formula>
    </cfRule>
  </conditionalFormatting>
  <pageMargins left="0.7" right="0.7" top="0.75" bottom="0.75" header="0.3" footer="0.3"/>
  <customProperties>
    <customPr name="_pios_id" r:id="rId2"/>
  </customProperties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CBEB-1D59-4C9E-A698-B1528346A24A}">
  <dimension ref="A1:E8"/>
  <sheetViews>
    <sheetView workbookViewId="0">
      <selection activeCell="C5" sqref="C5"/>
    </sheetView>
  </sheetViews>
  <sheetFormatPr defaultRowHeight="14.4" x14ac:dyDescent="0.3"/>
  <cols>
    <col min="1" max="1" width="22.109375" bestFit="1" customWidth="1"/>
    <col min="2" max="2" width="8.88671875" style="6"/>
    <col min="3" max="3" width="9.33203125" bestFit="1" customWidth="1"/>
    <col min="4" max="4" width="27.88671875" bestFit="1" customWidth="1"/>
    <col min="5" max="5" width="12.5546875" bestFit="1" customWidth="1"/>
  </cols>
  <sheetData>
    <row r="1" spans="1:5" x14ac:dyDescent="0.3">
      <c r="A1" t="s">
        <v>327</v>
      </c>
      <c r="B1" s="6">
        <f>AVERAGE(Dashboard!C8:N8)</f>
        <v>5420.3608333333332</v>
      </c>
      <c r="D1" t="s">
        <v>333</v>
      </c>
      <c r="E1">
        <f>IF(B3/B1&gt;=0.1,20,10)</f>
        <v>10</v>
      </c>
    </row>
    <row r="2" spans="1:5" x14ac:dyDescent="0.3">
      <c r="A2" t="s">
        <v>328</v>
      </c>
      <c r="B2" s="6">
        <f>ABS(C2)</f>
        <v>4943.1891666666661</v>
      </c>
      <c r="C2">
        <f>(GETPIVOTDATA("Bedrag +/-",Dashboard!$A$5,"vast/variabel","Vast")+GETPIVOTDATA("Bedrag +/-",Dashboard!$A$5,"vast/variabel","Variabel"))/12</f>
        <v>-4943.1891666666661</v>
      </c>
      <c r="D2" t="s">
        <v>334</v>
      </c>
      <c r="E2">
        <f>IF(B4/B1&lt;=0.5,20,IF(B4/B1&lt;=0.7,10,0))</f>
        <v>20</v>
      </c>
    </row>
    <row r="3" spans="1:5" x14ac:dyDescent="0.3">
      <c r="A3" t="s">
        <v>329</v>
      </c>
      <c r="B3" s="6">
        <v>75</v>
      </c>
      <c r="D3" t="s">
        <v>335</v>
      </c>
      <c r="E3">
        <f>IF(B1&gt;B2,20,0)</f>
        <v>20</v>
      </c>
    </row>
    <row r="4" spans="1:5" x14ac:dyDescent="0.3">
      <c r="A4" t="s">
        <v>330</v>
      </c>
      <c r="B4" s="6">
        <f>ABS(C4)</f>
        <v>40.245454545454542</v>
      </c>
      <c r="C4" s="6">
        <f>AVERAGE(Dashboard!C33:N33)</f>
        <v>-40.245454545454542</v>
      </c>
      <c r="D4" t="s">
        <v>336</v>
      </c>
      <c r="E4">
        <f>IF(B5/B2&gt;=3,20,IF(B5/B2&gt;=1,10,0))</f>
        <v>0</v>
      </c>
    </row>
    <row r="5" spans="1:5" x14ac:dyDescent="0.3">
      <c r="A5" t="s">
        <v>331</v>
      </c>
      <c r="B5" s="6">
        <f>3114.57+675.31</f>
        <v>3789.88</v>
      </c>
      <c r="D5" t="s">
        <v>337</v>
      </c>
      <c r="E5">
        <f>IF(B6=0,20,IF(B6/B1&lt;0.3,10,0))</f>
        <v>20</v>
      </c>
    </row>
    <row r="6" spans="1:5" x14ac:dyDescent="0.3">
      <c r="A6" t="s">
        <v>332</v>
      </c>
      <c r="B6" s="6">
        <v>0</v>
      </c>
    </row>
    <row r="7" spans="1:5" x14ac:dyDescent="0.3">
      <c r="D7" t="s">
        <v>338</v>
      </c>
      <c r="E7">
        <f>E1+E2+E3+E4+E5</f>
        <v>70</v>
      </c>
    </row>
    <row r="8" spans="1:5" x14ac:dyDescent="0.3">
      <c r="D8" t="s">
        <v>339</v>
      </c>
      <c r="E8" t="str">
        <f>IF(E7&gt;=80,"Topvorm 💪",IF(E7&gt;=50,"Goed bezig 👍","Let op je geld 🚨"))</f>
        <v>Goed bezig 👍</v>
      </c>
    </row>
  </sheetData>
  <conditionalFormatting sqref="E7">
    <cfRule type="expression" dxfId="61" priority="1">
      <formula>E7&lt;50</formula>
    </cfRule>
    <cfRule type="expression" dxfId="60" priority="2">
      <formula>AND(E7&gt;=50,E7&lt;80)</formula>
    </cfRule>
    <cfRule type="expression" dxfId="59" priority="3">
      <formula>E7&gt;=80</formula>
    </cfRule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8C16-8AAD-43AE-85C8-E58F3FE31EDF}">
  <dimension ref="A1:C9"/>
  <sheetViews>
    <sheetView workbookViewId="0">
      <selection activeCell="C6" sqref="C6"/>
    </sheetView>
  </sheetViews>
  <sheetFormatPr defaultRowHeight="14.4" x14ac:dyDescent="0.3"/>
  <cols>
    <col min="1" max="1" width="32.109375" bestFit="1" customWidth="1"/>
    <col min="2" max="2" width="16.109375" style="6" bestFit="1" customWidth="1"/>
    <col min="3" max="3" width="16.109375" bestFit="1" customWidth="1"/>
  </cols>
  <sheetData>
    <row r="1" spans="1:3" x14ac:dyDescent="0.3">
      <c r="A1" t="s">
        <v>344</v>
      </c>
      <c r="B1" s="6">
        <f>AVERAGE(Dashboard!C8:N8)</f>
        <v>5420.3608333333332</v>
      </c>
    </row>
    <row r="2" spans="1:3" x14ac:dyDescent="0.3">
      <c r="A2" t="s">
        <v>345</v>
      </c>
      <c r="B2" s="6">
        <f>ABS(C2)</f>
        <v>40.245454545454542</v>
      </c>
      <c r="C2" s="6">
        <f>AVERAGE(Dashboard!C33:N33)</f>
        <v>-40.245454545454542</v>
      </c>
    </row>
    <row r="3" spans="1:3" x14ac:dyDescent="0.3">
      <c r="A3" t="s">
        <v>346</v>
      </c>
      <c r="B3" s="6">
        <v>0</v>
      </c>
    </row>
    <row r="4" spans="1:3" x14ac:dyDescent="0.3">
      <c r="A4" t="s">
        <v>347</v>
      </c>
      <c r="B4" s="6">
        <f>Score!B5</f>
        <v>3789.88</v>
      </c>
    </row>
    <row r="5" spans="1:3" x14ac:dyDescent="0.3">
      <c r="A5" t="s">
        <v>348</v>
      </c>
      <c r="B5" s="6">
        <f>ABS(C5)</f>
        <v>477.17166666666668</v>
      </c>
      <c r="C5" s="6">
        <f>AVERAGE(Dashboard!C74:N74)</f>
        <v>477.17166666666668</v>
      </c>
    </row>
    <row r="6" spans="1:3" x14ac:dyDescent="0.3">
      <c r="A6" t="s">
        <v>349</v>
      </c>
      <c r="B6" s="6" t="s">
        <v>351</v>
      </c>
    </row>
    <row r="8" spans="1:3" x14ac:dyDescent="0.3">
      <c r="B8" s="6">
        <f>IF(B2/B1&lt;=0.5,20,IF(B2/B1&lt;=0.7,10,0)) +
IF(B6="Nee",20,0) +
IF(B3/(B1*12)&lt;=0.3,20,IF(B3/(B1*12)&lt;=0.5,10,0)) +
IF(B5&gt;0,20,0) +
IF(B4/B1&gt;=3,20,IF(B4/B1&gt;=1,10,0))</f>
        <v>80</v>
      </c>
    </row>
    <row r="9" spans="1:3" x14ac:dyDescent="0.3">
      <c r="B9" s="6" t="str">
        <f>IF(B8&gt;=80,"✅ Kredietwaardig",IF(B8&gt;=50,"⚠️ Redelijk","❌ Risico"))</f>
        <v>✅ Kredietwaardig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E8DF-BC59-4586-81AC-4FF4D505459C}">
  <dimension ref="A1:D13"/>
  <sheetViews>
    <sheetView workbookViewId="0">
      <selection activeCell="B10" sqref="B10"/>
    </sheetView>
  </sheetViews>
  <sheetFormatPr defaultRowHeight="14.4" x14ac:dyDescent="0.3"/>
  <cols>
    <col min="1" max="1" width="9.6640625" bestFit="1" customWidth="1"/>
    <col min="2" max="2" width="11.5546875" customWidth="1"/>
    <col min="3" max="3" width="17" customWidth="1"/>
    <col min="4" max="4" width="40.88671875" bestFit="1" customWidth="1"/>
  </cols>
  <sheetData>
    <row r="1" spans="1:4" x14ac:dyDescent="0.3">
      <c r="A1" t="s">
        <v>5</v>
      </c>
      <c r="B1" t="s">
        <v>353</v>
      </c>
      <c r="C1" t="s">
        <v>366</v>
      </c>
      <c r="D1" t="s">
        <v>352</v>
      </c>
    </row>
    <row r="2" spans="1:4" x14ac:dyDescent="0.3">
      <c r="A2" t="s">
        <v>354</v>
      </c>
      <c r="B2">
        <v>100</v>
      </c>
      <c r="D2" t="s">
        <v>367</v>
      </c>
    </row>
    <row r="3" spans="1:4" x14ac:dyDescent="0.3">
      <c r="A3" t="s">
        <v>355</v>
      </c>
      <c r="B3">
        <v>105</v>
      </c>
      <c r="C3">
        <f>Tabel3[[#This Row],[water (m³)]]-B2/1000</f>
        <v>104.9</v>
      </c>
    </row>
    <row r="4" spans="1:4" x14ac:dyDescent="0.3">
      <c r="A4" t="s">
        <v>356</v>
      </c>
      <c r="B4">
        <v>115</v>
      </c>
      <c r="C4">
        <f>Tabel3[[#This Row],[water (m³)]]-B3/1000</f>
        <v>114.895</v>
      </c>
    </row>
    <row r="5" spans="1:4" x14ac:dyDescent="0.3">
      <c r="A5" t="s">
        <v>357</v>
      </c>
      <c r="B5">
        <v>130</v>
      </c>
      <c r="C5">
        <f>Tabel3[[#This Row],[water (m³)]]-B4/1000</f>
        <v>129.88499999999999</v>
      </c>
    </row>
    <row r="6" spans="1:4" x14ac:dyDescent="0.3">
      <c r="A6" t="s">
        <v>358</v>
      </c>
      <c r="B6">
        <v>150</v>
      </c>
      <c r="C6">
        <f>Tabel3[[#This Row],[water (m³)]]-B5/1000</f>
        <v>149.87</v>
      </c>
    </row>
    <row r="7" spans="1:4" x14ac:dyDescent="0.3">
      <c r="A7" t="s">
        <v>359</v>
      </c>
      <c r="B7">
        <v>175</v>
      </c>
      <c r="C7">
        <f>Tabel3[[#This Row],[water (m³)]]-B6/1000</f>
        <v>174.85</v>
      </c>
    </row>
    <row r="8" spans="1:4" x14ac:dyDescent="0.3">
      <c r="A8" t="s">
        <v>360</v>
      </c>
      <c r="B8">
        <v>176</v>
      </c>
      <c r="C8">
        <f>Tabel3[[#This Row],[water (m³)]]-B7/1000</f>
        <v>175.82499999999999</v>
      </c>
    </row>
    <row r="9" spans="1:4" x14ac:dyDescent="0.3">
      <c r="A9" t="s">
        <v>361</v>
      </c>
      <c r="B9">
        <v>722</v>
      </c>
      <c r="C9">
        <f>Tabel3[[#This Row],[water (m³)]]-B8/1000</f>
        <v>721.82399999999996</v>
      </c>
    </row>
    <row r="10" spans="1:4" x14ac:dyDescent="0.3">
      <c r="A10" t="s">
        <v>362</v>
      </c>
      <c r="B10">
        <v>280</v>
      </c>
      <c r="C10">
        <f>Tabel3[[#This Row],[water (m³)]]-B9/1000</f>
        <v>279.27800000000002</v>
      </c>
    </row>
    <row r="11" spans="1:4" x14ac:dyDescent="0.3">
      <c r="A11" t="s">
        <v>363</v>
      </c>
      <c r="B11">
        <v>325</v>
      </c>
      <c r="C11">
        <f>Tabel3[[#This Row],[water (m³)]]-B10/1000</f>
        <v>324.72000000000003</v>
      </c>
    </row>
    <row r="12" spans="1:4" x14ac:dyDescent="0.3">
      <c r="A12" t="s">
        <v>364</v>
      </c>
      <c r="B12">
        <v>375</v>
      </c>
      <c r="C12">
        <f>Tabel3[[#This Row],[water (m³)]]-B11/1000</f>
        <v>374.67500000000001</v>
      </c>
    </row>
    <row r="13" spans="1:4" x14ac:dyDescent="0.3">
      <c r="A13" t="s">
        <v>365</v>
      </c>
      <c r="B13">
        <v>430</v>
      </c>
      <c r="C13">
        <f>Tabel3[[#This Row],[water (m³)]]-B12/1000</f>
        <v>429.625</v>
      </c>
    </row>
  </sheetData>
  <phoneticPr fontId="1" type="noConversion"/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B579-3B2B-44EA-8B64-D58DFFF1F0A8}">
  <dimension ref="A1:C69"/>
  <sheetViews>
    <sheetView topLeftCell="A39" workbookViewId="0">
      <selection activeCell="D69" sqref="D69"/>
    </sheetView>
  </sheetViews>
  <sheetFormatPr defaultRowHeight="14.4" x14ac:dyDescent="0.3"/>
  <cols>
    <col min="1" max="1" width="24.88671875" bestFit="1" customWidth="1"/>
  </cols>
  <sheetData>
    <row r="1" spans="1:3" x14ac:dyDescent="0.3">
      <c r="A1" t="s">
        <v>210</v>
      </c>
      <c r="B1" t="s">
        <v>136</v>
      </c>
      <c r="C1" s="3" t="s">
        <v>137</v>
      </c>
    </row>
    <row r="2" spans="1:3" x14ac:dyDescent="0.3">
      <c r="A2" t="s">
        <v>62</v>
      </c>
      <c r="B2" t="s">
        <v>2</v>
      </c>
      <c r="C2" t="s">
        <v>18</v>
      </c>
    </row>
    <row r="3" spans="1:3" x14ac:dyDescent="0.3">
      <c r="A3" t="s">
        <v>24</v>
      </c>
      <c r="B3" t="s">
        <v>1</v>
      </c>
      <c r="C3" t="s">
        <v>18</v>
      </c>
    </row>
    <row r="4" spans="1:3" x14ac:dyDescent="0.3">
      <c r="A4" t="s">
        <v>75</v>
      </c>
      <c r="B4" t="s">
        <v>2</v>
      </c>
      <c r="C4" t="s">
        <v>42</v>
      </c>
    </row>
    <row r="5" spans="1:3" x14ac:dyDescent="0.3">
      <c r="A5" t="s">
        <v>59</v>
      </c>
      <c r="B5" t="s">
        <v>2</v>
      </c>
      <c r="C5" t="s">
        <v>18</v>
      </c>
    </row>
    <row r="6" spans="1:3" x14ac:dyDescent="0.3">
      <c r="A6" t="s">
        <v>26</v>
      </c>
      <c r="B6" t="s">
        <v>2</v>
      </c>
      <c r="C6" t="s">
        <v>18</v>
      </c>
    </row>
    <row r="7" spans="1:3" x14ac:dyDescent="0.3">
      <c r="A7" t="s">
        <v>63</v>
      </c>
      <c r="B7" t="s">
        <v>2</v>
      </c>
      <c r="C7" t="s">
        <v>18</v>
      </c>
    </row>
    <row r="8" spans="1:3" x14ac:dyDescent="0.3">
      <c r="A8" t="s">
        <v>28</v>
      </c>
      <c r="B8" t="s">
        <v>1</v>
      </c>
      <c r="C8" t="s">
        <v>18</v>
      </c>
    </row>
    <row r="9" spans="1:3" x14ac:dyDescent="0.3">
      <c r="A9" t="s">
        <v>19</v>
      </c>
      <c r="B9" t="s">
        <v>1</v>
      </c>
      <c r="C9" t="s">
        <v>18</v>
      </c>
    </row>
    <row r="10" spans="1:3" x14ac:dyDescent="0.3">
      <c r="A10" t="s">
        <v>29</v>
      </c>
      <c r="B10" t="s">
        <v>1</v>
      </c>
      <c r="C10" t="s">
        <v>18</v>
      </c>
    </row>
    <row r="11" spans="1:3" x14ac:dyDescent="0.3">
      <c r="A11" t="s">
        <v>52</v>
      </c>
      <c r="B11" t="s">
        <v>2</v>
      </c>
      <c r="C11" t="s">
        <v>18</v>
      </c>
    </row>
    <row r="12" spans="1:3" x14ac:dyDescent="0.3">
      <c r="A12" t="s">
        <v>53</v>
      </c>
      <c r="B12" t="s">
        <v>2</v>
      </c>
      <c r="C12" t="s">
        <v>18</v>
      </c>
    </row>
    <row r="13" spans="1:3" x14ac:dyDescent="0.3">
      <c r="A13" t="s">
        <v>44</v>
      </c>
      <c r="B13" t="s">
        <v>2</v>
      </c>
      <c r="C13" t="s">
        <v>18</v>
      </c>
    </row>
    <row r="14" spans="1:3" x14ac:dyDescent="0.3">
      <c r="A14" t="s">
        <v>54</v>
      </c>
      <c r="B14" t="s">
        <v>2</v>
      </c>
      <c r="C14" t="s">
        <v>18</v>
      </c>
    </row>
    <row r="15" spans="1:3" x14ac:dyDescent="0.3">
      <c r="A15" t="s">
        <v>50</v>
      </c>
      <c r="B15" t="s">
        <v>1</v>
      </c>
      <c r="C15" t="s">
        <v>18</v>
      </c>
    </row>
    <row r="16" spans="1:3" x14ac:dyDescent="0.3">
      <c r="A16" t="s">
        <v>209</v>
      </c>
      <c r="B16" t="s">
        <v>1</v>
      </c>
      <c r="C16" t="s">
        <v>18</v>
      </c>
    </row>
    <row r="17" spans="1:3" x14ac:dyDescent="0.3">
      <c r="A17" t="s">
        <v>45</v>
      </c>
      <c r="B17" t="s">
        <v>2</v>
      </c>
      <c r="C17" t="s">
        <v>18</v>
      </c>
    </row>
    <row r="18" spans="1:3" x14ac:dyDescent="0.3">
      <c r="A18" t="s">
        <v>74</v>
      </c>
      <c r="B18" t="s">
        <v>2</v>
      </c>
      <c r="C18" t="s">
        <v>18</v>
      </c>
    </row>
    <row r="19" spans="1:3" x14ac:dyDescent="0.3">
      <c r="A19" t="s">
        <v>61</v>
      </c>
      <c r="B19" t="s">
        <v>2</v>
      </c>
      <c r="C19" t="s">
        <v>18</v>
      </c>
    </row>
    <row r="20" spans="1:3" x14ac:dyDescent="0.3">
      <c r="A20" t="s">
        <v>36</v>
      </c>
      <c r="B20" t="s">
        <v>2</v>
      </c>
      <c r="C20" t="s">
        <v>18</v>
      </c>
    </row>
    <row r="21" spans="1:3" x14ac:dyDescent="0.3">
      <c r="A21" t="s">
        <v>58</v>
      </c>
      <c r="B21" t="s">
        <v>2</v>
      </c>
      <c r="C21" t="s">
        <v>18</v>
      </c>
    </row>
    <row r="22" spans="1:3" x14ac:dyDescent="0.3">
      <c r="A22" t="s">
        <v>64</v>
      </c>
      <c r="B22" t="s">
        <v>2</v>
      </c>
      <c r="C22" t="s">
        <v>18</v>
      </c>
    </row>
    <row r="23" spans="1:3" x14ac:dyDescent="0.3">
      <c r="A23" t="s">
        <v>46</v>
      </c>
      <c r="B23" t="s">
        <v>1</v>
      </c>
      <c r="C23" t="s">
        <v>18</v>
      </c>
    </row>
    <row r="24" spans="1:3" x14ac:dyDescent="0.3">
      <c r="A24" t="s">
        <v>56</v>
      </c>
      <c r="B24" t="s">
        <v>2</v>
      </c>
      <c r="C24" t="s">
        <v>18</v>
      </c>
    </row>
    <row r="25" spans="1:3" x14ac:dyDescent="0.3">
      <c r="A25" t="s">
        <v>72</v>
      </c>
      <c r="B25" t="s">
        <v>2</v>
      </c>
      <c r="C25" t="s">
        <v>18</v>
      </c>
    </row>
    <row r="26" spans="1:3" x14ac:dyDescent="0.3">
      <c r="A26" t="s">
        <v>11</v>
      </c>
      <c r="B26" t="s">
        <v>1</v>
      </c>
      <c r="C26" t="s">
        <v>42</v>
      </c>
    </row>
    <row r="27" spans="1:3" x14ac:dyDescent="0.3">
      <c r="A27" t="s">
        <v>82</v>
      </c>
      <c r="B27" t="s">
        <v>1</v>
      </c>
      <c r="C27" t="s">
        <v>42</v>
      </c>
    </row>
    <row r="28" spans="1:3" x14ac:dyDescent="0.3">
      <c r="A28" t="s">
        <v>30</v>
      </c>
      <c r="B28" t="s">
        <v>1</v>
      </c>
      <c r="C28" t="s">
        <v>18</v>
      </c>
    </row>
    <row r="29" spans="1:3" x14ac:dyDescent="0.3">
      <c r="A29" t="s">
        <v>31</v>
      </c>
      <c r="B29" t="s">
        <v>1</v>
      </c>
      <c r="C29" t="s">
        <v>18</v>
      </c>
    </row>
    <row r="30" spans="1:3" x14ac:dyDescent="0.3">
      <c r="A30" t="s">
        <v>76</v>
      </c>
      <c r="B30" t="s">
        <v>2</v>
      </c>
      <c r="C30" t="s">
        <v>18</v>
      </c>
    </row>
    <row r="31" spans="1:3" x14ac:dyDescent="0.3">
      <c r="A31" t="s">
        <v>10</v>
      </c>
      <c r="B31" t="s">
        <v>1</v>
      </c>
      <c r="C31" t="s">
        <v>18</v>
      </c>
    </row>
    <row r="32" spans="1:3" x14ac:dyDescent="0.3">
      <c r="A32" t="s">
        <v>48</v>
      </c>
      <c r="B32" t="s">
        <v>2</v>
      </c>
      <c r="C32" t="s">
        <v>42</v>
      </c>
    </row>
    <row r="33" spans="1:3" x14ac:dyDescent="0.3">
      <c r="A33" t="s">
        <v>47</v>
      </c>
      <c r="B33" t="s">
        <v>2</v>
      </c>
      <c r="C33" t="s">
        <v>18</v>
      </c>
    </row>
    <row r="34" spans="1:3" x14ac:dyDescent="0.3">
      <c r="A34" t="s">
        <v>83</v>
      </c>
      <c r="B34" t="s">
        <v>211</v>
      </c>
      <c r="C34" t="s">
        <v>17</v>
      </c>
    </row>
    <row r="35" spans="1:3" x14ac:dyDescent="0.3">
      <c r="A35" t="s">
        <v>77</v>
      </c>
      <c r="B35" t="s">
        <v>2</v>
      </c>
      <c r="C35" t="s">
        <v>18</v>
      </c>
    </row>
    <row r="36" spans="1:3" x14ac:dyDescent="0.3">
      <c r="A36" t="s">
        <v>43</v>
      </c>
      <c r="B36" t="s">
        <v>1</v>
      </c>
      <c r="C36" t="s">
        <v>18</v>
      </c>
    </row>
    <row r="37" spans="1:3" x14ac:dyDescent="0.3">
      <c r="A37" t="s">
        <v>67</v>
      </c>
      <c r="B37" t="s">
        <v>2</v>
      </c>
      <c r="C37" t="s">
        <v>18</v>
      </c>
    </row>
    <row r="38" spans="1:3" x14ac:dyDescent="0.3">
      <c r="A38" t="s">
        <v>32</v>
      </c>
      <c r="B38" t="s">
        <v>2</v>
      </c>
      <c r="C38" t="s">
        <v>18</v>
      </c>
    </row>
    <row r="39" spans="1:3" x14ac:dyDescent="0.3">
      <c r="A39" t="s">
        <v>68</v>
      </c>
      <c r="B39" t="s">
        <v>2</v>
      </c>
      <c r="C39" t="s">
        <v>18</v>
      </c>
    </row>
    <row r="40" spans="1:3" x14ac:dyDescent="0.3">
      <c r="A40" t="s">
        <v>39</v>
      </c>
      <c r="B40" t="s">
        <v>1</v>
      </c>
      <c r="C40" t="s">
        <v>18</v>
      </c>
    </row>
    <row r="41" spans="1:3" x14ac:dyDescent="0.3">
      <c r="A41" t="s">
        <v>55</v>
      </c>
      <c r="B41" t="s">
        <v>2</v>
      </c>
      <c r="C41" t="s">
        <v>18</v>
      </c>
    </row>
    <row r="42" spans="1:3" x14ac:dyDescent="0.3">
      <c r="A42" t="s">
        <v>13</v>
      </c>
      <c r="B42" t="s">
        <v>1</v>
      </c>
      <c r="C42" t="s">
        <v>18</v>
      </c>
    </row>
    <row r="43" spans="1:3" x14ac:dyDescent="0.3">
      <c r="A43" t="s">
        <v>27</v>
      </c>
      <c r="B43" t="s">
        <v>2</v>
      </c>
      <c r="C43" t="s">
        <v>18</v>
      </c>
    </row>
    <row r="44" spans="1:3" x14ac:dyDescent="0.3">
      <c r="A44" t="s">
        <v>73</v>
      </c>
      <c r="B44" t="s">
        <v>1</v>
      </c>
      <c r="C44" t="s">
        <v>18</v>
      </c>
    </row>
    <row r="45" spans="1:3" x14ac:dyDescent="0.3">
      <c r="A45" t="s">
        <v>14</v>
      </c>
      <c r="B45" t="s">
        <v>2</v>
      </c>
      <c r="C45" t="s">
        <v>18</v>
      </c>
    </row>
    <row r="46" spans="1:3" x14ac:dyDescent="0.3">
      <c r="A46" t="s">
        <v>71</v>
      </c>
      <c r="B46" t="s">
        <v>2</v>
      </c>
      <c r="C46" t="s">
        <v>18</v>
      </c>
    </row>
    <row r="47" spans="1:3" x14ac:dyDescent="0.3">
      <c r="A47" t="s">
        <v>60</v>
      </c>
      <c r="B47" t="s">
        <v>2</v>
      </c>
      <c r="C47" t="s">
        <v>18</v>
      </c>
    </row>
    <row r="48" spans="1:3" x14ac:dyDescent="0.3">
      <c r="A48" t="s">
        <v>25</v>
      </c>
      <c r="B48" t="s">
        <v>2</v>
      </c>
      <c r="C48" t="s">
        <v>18</v>
      </c>
    </row>
    <row r="49" spans="1:3" x14ac:dyDescent="0.3">
      <c r="A49" t="s">
        <v>41</v>
      </c>
      <c r="B49" t="s">
        <v>1</v>
      </c>
      <c r="C49" t="s">
        <v>18</v>
      </c>
    </row>
    <row r="50" spans="1:3" x14ac:dyDescent="0.3">
      <c r="A50" t="s">
        <v>79</v>
      </c>
      <c r="B50" t="s">
        <v>2</v>
      </c>
      <c r="C50" t="s">
        <v>18</v>
      </c>
    </row>
    <row r="51" spans="1:3" x14ac:dyDescent="0.3">
      <c r="A51" t="s">
        <v>69</v>
      </c>
      <c r="B51" t="s">
        <v>2</v>
      </c>
      <c r="C51" t="s">
        <v>42</v>
      </c>
    </row>
    <row r="52" spans="1:3" x14ac:dyDescent="0.3">
      <c r="A52" t="s">
        <v>22</v>
      </c>
      <c r="B52" t="s">
        <v>2</v>
      </c>
      <c r="C52" t="s">
        <v>18</v>
      </c>
    </row>
    <row r="53" spans="1:3" x14ac:dyDescent="0.3">
      <c r="A53" t="s">
        <v>33</v>
      </c>
      <c r="B53" t="s">
        <v>1</v>
      </c>
      <c r="C53" t="s">
        <v>18</v>
      </c>
    </row>
    <row r="54" spans="1:3" x14ac:dyDescent="0.3">
      <c r="A54" t="s">
        <v>51</v>
      </c>
      <c r="B54" t="s">
        <v>2</v>
      </c>
      <c r="C54" t="s">
        <v>18</v>
      </c>
    </row>
    <row r="55" spans="1:3" x14ac:dyDescent="0.3">
      <c r="A55" t="s">
        <v>9</v>
      </c>
      <c r="B55" t="s">
        <v>2</v>
      </c>
      <c r="C55" t="s">
        <v>42</v>
      </c>
    </row>
    <row r="56" spans="1:3" x14ac:dyDescent="0.3">
      <c r="A56" t="s">
        <v>78</v>
      </c>
      <c r="B56" t="s">
        <v>2</v>
      </c>
      <c r="C56" t="s">
        <v>18</v>
      </c>
    </row>
    <row r="57" spans="1:3" x14ac:dyDescent="0.3">
      <c r="A57" t="s">
        <v>35</v>
      </c>
      <c r="B57" t="s">
        <v>2</v>
      </c>
      <c r="C57" t="s">
        <v>18</v>
      </c>
    </row>
    <row r="58" spans="1:3" x14ac:dyDescent="0.3">
      <c r="A58" t="s">
        <v>70</v>
      </c>
      <c r="B58" t="s">
        <v>2</v>
      </c>
      <c r="C58" t="s">
        <v>18</v>
      </c>
    </row>
    <row r="59" spans="1:3" x14ac:dyDescent="0.3">
      <c r="A59" t="s">
        <v>49</v>
      </c>
      <c r="B59" t="s">
        <v>2</v>
      </c>
      <c r="C59" t="s">
        <v>18</v>
      </c>
    </row>
    <row r="60" spans="1:3" x14ac:dyDescent="0.3">
      <c r="A60" t="s">
        <v>23</v>
      </c>
      <c r="B60" t="s">
        <v>1</v>
      </c>
      <c r="C60" t="s">
        <v>18</v>
      </c>
    </row>
    <row r="61" spans="1:3" x14ac:dyDescent="0.3">
      <c r="A61" t="s">
        <v>34</v>
      </c>
      <c r="B61" t="s">
        <v>2</v>
      </c>
      <c r="C61" t="s">
        <v>18</v>
      </c>
    </row>
    <row r="62" spans="1:3" x14ac:dyDescent="0.3">
      <c r="A62" t="s">
        <v>21</v>
      </c>
      <c r="B62" t="s">
        <v>2</v>
      </c>
      <c r="C62" t="s">
        <v>18</v>
      </c>
    </row>
    <row r="63" spans="1:3" x14ac:dyDescent="0.3">
      <c r="A63" t="s">
        <v>38</v>
      </c>
      <c r="B63" t="s">
        <v>1</v>
      </c>
      <c r="C63" t="s">
        <v>42</v>
      </c>
    </row>
    <row r="64" spans="1:3" x14ac:dyDescent="0.3">
      <c r="A64" t="s">
        <v>8</v>
      </c>
      <c r="B64" t="s">
        <v>1</v>
      </c>
      <c r="C64" t="s">
        <v>18</v>
      </c>
    </row>
    <row r="65" spans="1:3" x14ac:dyDescent="0.3">
      <c r="A65" t="s">
        <v>40</v>
      </c>
      <c r="B65" t="s">
        <v>2</v>
      </c>
      <c r="C65" t="s">
        <v>18</v>
      </c>
    </row>
    <row r="66" spans="1:3" x14ac:dyDescent="0.3">
      <c r="A66" t="s">
        <v>3</v>
      </c>
      <c r="B66" t="s">
        <v>1</v>
      </c>
      <c r="C66" t="s">
        <v>18</v>
      </c>
    </row>
    <row r="67" spans="1:3" x14ac:dyDescent="0.3">
      <c r="A67" t="s">
        <v>12</v>
      </c>
      <c r="B67" t="s">
        <v>1</v>
      </c>
      <c r="C67" t="s">
        <v>18</v>
      </c>
    </row>
    <row r="68" spans="1:3" x14ac:dyDescent="0.3">
      <c r="A68" t="s">
        <v>503</v>
      </c>
      <c r="B68" t="s">
        <v>2</v>
      </c>
      <c r="C68" t="s">
        <v>18</v>
      </c>
    </row>
    <row r="69" spans="1:3" x14ac:dyDescent="0.3">
      <c r="A69" t="s">
        <v>678</v>
      </c>
      <c r="B69" t="s">
        <v>2</v>
      </c>
      <c r="C69" t="s">
        <v>18</v>
      </c>
    </row>
  </sheetData>
  <autoFilter ref="A1:C1" xr:uid="{5556B579-3B2B-44EA-8B64-D58DFFF1F0A8}">
    <sortState xmlns:xlrd2="http://schemas.microsoft.com/office/spreadsheetml/2017/richdata2" ref="A2:C75">
      <sortCondition ref="A1"/>
    </sortState>
  </autoFilter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5E64-A365-4676-AB1D-6D57F226E9C3}">
  <dimension ref="A1:B92"/>
  <sheetViews>
    <sheetView topLeftCell="A60" workbookViewId="0">
      <selection activeCell="C92" sqref="C92"/>
    </sheetView>
  </sheetViews>
  <sheetFormatPr defaultRowHeight="14.4" x14ac:dyDescent="0.3"/>
  <cols>
    <col min="1" max="1" width="22.109375" bestFit="1" customWidth="1"/>
  </cols>
  <sheetData>
    <row r="1" spans="1:2" x14ac:dyDescent="0.3">
      <c r="A1" t="s">
        <v>123</v>
      </c>
      <c r="B1" t="s">
        <v>0</v>
      </c>
    </row>
    <row r="2" spans="1:2" x14ac:dyDescent="0.3">
      <c r="A2" t="s">
        <v>124</v>
      </c>
      <c r="B2" t="s">
        <v>3</v>
      </c>
    </row>
    <row r="3" spans="1:2" x14ac:dyDescent="0.3">
      <c r="A3" t="s">
        <v>125</v>
      </c>
      <c r="B3" t="s">
        <v>3</v>
      </c>
    </row>
    <row r="4" spans="1:2" x14ac:dyDescent="0.3">
      <c r="A4" t="s">
        <v>126</v>
      </c>
      <c r="B4" t="str">
        <f>Lijst!A57</f>
        <v>school Bram</v>
      </c>
    </row>
    <row r="5" spans="1:2" x14ac:dyDescent="0.3">
      <c r="A5" t="s">
        <v>127</v>
      </c>
      <c r="B5" t="s">
        <v>62</v>
      </c>
    </row>
    <row r="6" spans="1:2" x14ac:dyDescent="0.3">
      <c r="A6" t="s">
        <v>128</v>
      </c>
      <c r="B6" t="s">
        <v>61</v>
      </c>
    </row>
    <row r="7" spans="1:2" x14ac:dyDescent="0.3">
      <c r="A7" t="s">
        <v>129</v>
      </c>
      <c r="B7" t="str">
        <f>Lijst!A45</f>
        <v>Louis/Vis</v>
      </c>
    </row>
    <row r="8" spans="1:2" x14ac:dyDescent="0.3">
      <c r="A8" t="s">
        <v>130</v>
      </c>
      <c r="B8" t="str">
        <f>Lijst!A47</f>
        <v>molecule</v>
      </c>
    </row>
    <row r="9" spans="1:2" x14ac:dyDescent="0.3">
      <c r="A9" t="s">
        <v>131</v>
      </c>
      <c r="B9" t="str">
        <f>Lijst!A42</f>
        <v>Laadbeurt</v>
      </c>
    </row>
    <row r="10" spans="1:2" x14ac:dyDescent="0.3">
      <c r="A10" t="s">
        <v>135</v>
      </c>
      <c r="B10" t="str">
        <f>Lijst!A34</f>
        <v>Inkomsten Loon</v>
      </c>
    </row>
    <row r="11" spans="1:2" x14ac:dyDescent="0.3">
      <c r="A11" t="s">
        <v>138</v>
      </c>
      <c r="B11" t="str">
        <f>Lijst!A42</f>
        <v>Laadbeurt</v>
      </c>
    </row>
    <row r="12" spans="1:2" x14ac:dyDescent="0.3">
      <c r="A12" t="s">
        <v>150</v>
      </c>
      <c r="B12" t="s">
        <v>209</v>
      </c>
    </row>
    <row r="13" spans="1:2" x14ac:dyDescent="0.3">
      <c r="A13" t="s">
        <v>139</v>
      </c>
      <c r="B13" t="str">
        <f>Lijst!A34</f>
        <v>Inkomsten Loon</v>
      </c>
    </row>
    <row r="14" spans="1:2" x14ac:dyDescent="0.3">
      <c r="A14" t="s">
        <v>140</v>
      </c>
      <c r="B14" t="str">
        <f>B2</f>
        <v>voeding</v>
      </c>
    </row>
    <row r="15" spans="1:2" x14ac:dyDescent="0.3">
      <c r="A15" t="s">
        <v>141</v>
      </c>
      <c r="B15" t="str">
        <f>Lijst!A38</f>
        <v>kledij</v>
      </c>
    </row>
    <row r="16" spans="1:2" x14ac:dyDescent="0.3">
      <c r="A16" t="s">
        <v>142</v>
      </c>
      <c r="B16" t="str">
        <f>Lijst!A55</f>
        <v>restaurant</v>
      </c>
    </row>
    <row r="17" spans="1:2" x14ac:dyDescent="0.3">
      <c r="A17" t="s">
        <v>143</v>
      </c>
      <c r="B17" t="str">
        <f>Lijst!A60</f>
        <v>Telenet</v>
      </c>
    </row>
    <row r="18" spans="1:2" x14ac:dyDescent="0.3">
      <c r="A18" t="s">
        <v>144</v>
      </c>
      <c r="B18" t="str">
        <f>Lijst!A44</f>
        <v>Leasing Auto</v>
      </c>
    </row>
    <row r="19" spans="1:2" x14ac:dyDescent="0.3">
      <c r="A19" t="s">
        <v>145</v>
      </c>
      <c r="B19" t="str">
        <f>Lijst!A24</f>
        <v>EuroShop</v>
      </c>
    </row>
    <row r="20" spans="1:2" x14ac:dyDescent="0.3">
      <c r="A20" t="s">
        <v>146</v>
      </c>
      <c r="B20" t="str">
        <f>B7</f>
        <v>Louis/Vis</v>
      </c>
    </row>
    <row r="21" spans="1:2" x14ac:dyDescent="0.3">
      <c r="A21" t="s">
        <v>147</v>
      </c>
      <c r="B21" t="str">
        <f>B15</f>
        <v>kledij</v>
      </c>
    </row>
    <row r="22" spans="1:2" x14ac:dyDescent="0.3">
      <c r="A22" t="s">
        <v>148</v>
      </c>
      <c r="B22" t="str">
        <f>B21</f>
        <v>kledij</v>
      </c>
    </row>
    <row r="23" spans="1:2" x14ac:dyDescent="0.3">
      <c r="A23" t="s">
        <v>149</v>
      </c>
      <c r="B23" t="str">
        <f>Trefwoorden!B21</f>
        <v>kledij</v>
      </c>
    </row>
    <row r="24" spans="1:2" x14ac:dyDescent="0.3">
      <c r="A24" t="s">
        <v>151</v>
      </c>
      <c r="B24" t="s">
        <v>52</v>
      </c>
    </row>
    <row r="25" spans="1:2" x14ac:dyDescent="0.3">
      <c r="A25" t="s">
        <v>152</v>
      </c>
      <c r="B25" t="str">
        <f>Lijst!A51</f>
        <v>Ouders Bram</v>
      </c>
    </row>
    <row r="26" spans="1:2" x14ac:dyDescent="0.3">
      <c r="A26" t="s">
        <v>153</v>
      </c>
      <c r="B26" t="str">
        <f>Lijst!A58</f>
        <v>standaardboekhandel</v>
      </c>
    </row>
    <row r="27" spans="1:2" x14ac:dyDescent="0.3">
      <c r="A27" t="s">
        <v>154</v>
      </c>
      <c r="B27" t="str">
        <f>Lijst!A4</f>
        <v>Allerlei</v>
      </c>
    </row>
    <row r="28" spans="1:2" x14ac:dyDescent="0.3">
      <c r="A28" t="s">
        <v>155</v>
      </c>
      <c r="B28" t="str">
        <f>Lijst!A41</f>
        <v>kruidvat</v>
      </c>
    </row>
    <row r="29" spans="1:2" x14ac:dyDescent="0.3">
      <c r="A29" t="s">
        <v>156</v>
      </c>
      <c r="B29" t="s">
        <v>3</v>
      </c>
    </row>
    <row r="30" spans="1:2" x14ac:dyDescent="0.3">
      <c r="A30" t="s">
        <v>157</v>
      </c>
      <c r="B30" t="str">
        <f>B27</f>
        <v>Allerlei</v>
      </c>
    </row>
    <row r="31" spans="1:2" x14ac:dyDescent="0.3">
      <c r="A31" t="s">
        <v>158</v>
      </c>
      <c r="B31" t="str">
        <f>B7</f>
        <v>Louis/Vis</v>
      </c>
    </row>
    <row r="32" spans="1:2" x14ac:dyDescent="0.3">
      <c r="A32" t="s">
        <v>159</v>
      </c>
      <c r="B32" t="str">
        <f>B16</f>
        <v>restaurant</v>
      </c>
    </row>
    <row r="33" spans="1:2" x14ac:dyDescent="0.3">
      <c r="A33" t="s">
        <v>28</v>
      </c>
      <c r="B33" t="s">
        <v>28</v>
      </c>
    </row>
    <row r="34" spans="1:2" x14ac:dyDescent="0.3">
      <c r="A34">
        <v>4411</v>
      </c>
      <c r="B34" t="str">
        <f>Lijst!A52</f>
        <v>Parkeren</v>
      </c>
    </row>
    <row r="35" spans="1:2" x14ac:dyDescent="0.3">
      <c r="A35" t="s">
        <v>160</v>
      </c>
      <c r="B35" t="str">
        <f>Lijst!A27</f>
        <v>Gezondheid</v>
      </c>
    </row>
    <row r="36" spans="1:2" x14ac:dyDescent="0.3">
      <c r="A36" t="s">
        <v>161</v>
      </c>
      <c r="B36" t="str">
        <f>Lijst!A6</f>
        <v>automaat De Lijn</v>
      </c>
    </row>
    <row r="37" spans="1:2" x14ac:dyDescent="0.3">
      <c r="A37" t="s">
        <v>162</v>
      </c>
      <c r="B37" t="str">
        <f>B29</f>
        <v>voeding</v>
      </c>
    </row>
    <row r="38" spans="1:2" x14ac:dyDescent="0.3">
      <c r="A38" t="s">
        <v>163</v>
      </c>
      <c r="B38" t="str">
        <f>B37</f>
        <v>voeding</v>
      </c>
    </row>
    <row r="39" spans="1:2" x14ac:dyDescent="0.3">
      <c r="A39" t="s">
        <v>164</v>
      </c>
      <c r="B39" t="str">
        <f>Lijst!A28</f>
        <v>GSM Bram</v>
      </c>
    </row>
    <row r="40" spans="1:2" x14ac:dyDescent="0.3">
      <c r="A40" t="s">
        <v>165</v>
      </c>
      <c r="B40" t="str">
        <f>B31</f>
        <v>Louis/Vis</v>
      </c>
    </row>
    <row r="41" spans="1:2" x14ac:dyDescent="0.3">
      <c r="A41" t="s">
        <v>166</v>
      </c>
      <c r="B41" t="str">
        <f>Lijst!A17</f>
        <v>Coolblue</v>
      </c>
    </row>
    <row r="42" spans="1:2" x14ac:dyDescent="0.3">
      <c r="A42" t="s">
        <v>167</v>
      </c>
      <c r="B42" t="str">
        <f>B38</f>
        <v>voeding</v>
      </c>
    </row>
    <row r="43" spans="1:2" x14ac:dyDescent="0.3">
      <c r="A43" t="s">
        <v>168</v>
      </c>
      <c r="B43" t="str">
        <f>B35</f>
        <v>Gezondheid</v>
      </c>
    </row>
    <row r="44" spans="1:2" x14ac:dyDescent="0.3">
      <c r="A44" t="s">
        <v>169</v>
      </c>
      <c r="B44" t="str">
        <f>B38</f>
        <v>voeding</v>
      </c>
    </row>
    <row r="45" spans="1:2" x14ac:dyDescent="0.3">
      <c r="A45" t="s">
        <v>170</v>
      </c>
      <c r="B45" t="str">
        <f>B44</f>
        <v>voeding</v>
      </c>
    </row>
    <row r="46" spans="1:2" x14ac:dyDescent="0.3">
      <c r="A46" t="s">
        <v>58</v>
      </c>
      <c r="B46" t="str">
        <f>Lijst!A21</f>
        <v>DPG</v>
      </c>
    </row>
    <row r="47" spans="1:2" x14ac:dyDescent="0.3">
      <c r="A47" t="s">
        <v>171</v>
      </c>
      <c r="B47" t="str">
        <f>B32</f>
        <v>restaurant</v>
      </c>
    </row>
    <row r="48" spans="1:2" x14ac:dyDescent="0.3">
      <c r="A48" t="s">
        <v>172</v>
      </c>
      <c r="B48" t="str">
        <f>B42</f>
        <v>voeding</v>
      </c>
    </row>
    <row r="49" spans="1:2" x14ac:dyDescent="0.3">
      <c r="A49" t="s">
        <v>173</v>
      </c>
      <c r="B49" t="str">
        <f>Lijst!A30</f>
        <v>Hema</v>
      </c>
    </row>
    <row r="50" spans="1:2" x14ac:dyDescent="0.3">
      <c r="A50" t="s">
        <v>174</v>
      </c>
      <c r="B50" t="str">
        <f>Lijst!A53</f>
        <v>pensioensparen</v>
      </c>
    </row>
    <row r="51" spans="1:2" x14ac:dyDescent="0.3">
      <c r="A51" t="s">
        <v>175</v>
      </c>
      <c r="B51" t="str">
        <f>Lijst!A15</f>
        <v>Cardif</v>
      </c>
    </row>
    <row r="52" spans="1:2" x14ac:dyDescent="0.3">
      <c r="A52" t="s">
        <v>176</v>
      </c>
      <c r="B52" t="str">
        <f>B47</f>
        <v>restaurant</v>
      </c>
    </row>
    <row r="53" spans="1:2" x14ac:dyDescent="0.3">
      <c r="A53" t="s">
        <v>177</v>
      </c>
      <c r="B53" t="str">
        <f>Lijst!A59</f>
        <v>Streamz</v>
      </c>
    </row>
    <row r="54" spans="1:2" x14ac:dyDescent="0.3">
      <c r="A54" t="s">
        <v>178</v>
      </c>
      <c r="B54" t="s">
        <v>13</v>
      </c>
    </row>
    <row r="55" spans="1:2" x14ac:dyDescent="0.3">
      <c r="A55" t="s">
        <v>179</v>
      </c>
      <c r="B55" t="str">
        <f>Lijst!A36</f>
        <v>kapster</v>
      </c>
    </row>
    <row r="56" spans="1:2" x14ac:dyDescent="0.3">
      <c r="A56" t="s">
        <v>180</v>
      </c>
      <c r="B56" t="s">
        <v>181</v>
      </c>
    </row>
    <row r="57" spans="1:2" x14ac:dyDescent="0.3">
      <c r="A57" t="s">
        <v>182</v>
      </c>
      <c r="B57" t="str">
        <f>B47</f>
        <v>restaurant</v>
      </c>
    </row>
    <row r="58" spans="1:2" x14ac:dyDescent="0.3">
      <c r="A58" t="s">
        <v>183</v>
      </c>
      <c r="B58" t="str">
        <f>Lijst!A23</f>
        <v>Euromex</v>
      </c>
    </row>
    <row r="59" spans="1:2" x14ac:dyDescent="0.3">
      <c r="A59" t="s">
        <v>184</v>
      </c>
      <c r="B59" t="s">
        <v>38</v>
      </c>
    </row>
    <row r="60" spans="1:2" x14ac:dyDescent="0.3">
      <c r="A60" t="s">
        <v>185</v>
      </c>
      <c r="B60" t="s">
        <v>38</v>
      </c>
    </row>
    <row r="61" spans="1:2" x14ac:dyDescent="0.3">
      <c r="A61" t="s">
        <v>186</v>
      </c>
      <c r="B61" t="str">
        <f>B48</f>
        <v>voeding</v>
      </c>
    </row>
    <row r="62" spans="1:2" x14ac:dyDescent="0.3">
      <c r="A62" t="s">
        <v>187</v>
      </c>
      <c r="B62" t="str">
        <f>Lijst!A43</f>
        <v>Laserontharing</v>
      </c>
    </row>
    <row r="63" spans="1:2" x14ac:dyDescent="0.3">
      <c r="A63" t="s">
        <v>188</v>
      </c>
      <c r="B63" t="str">
        <f>Lijst!A26</f>
        <v>gas/elektriciteit</v>
      </c>
    </row>
    <row r="64" spans="1:2" x14ac:dyDescent="0.3">
      <c r="A64" t="s">
        <v>189</v>
      </c>
      <c r="B64" t="str">
        <f>B61</f>
        <v>voeding</v>
      </c>
    </row>
    <row r="65" spans="1:2" x14ac:dyDescent="0.3">
      <c r="A65" t="s">
        <v>190</v>
      </c>
      <c r="B65" t="str">
        <f>Lijst!A14</f>
        <v>car wash</v>
      </c>
    </row>
    <row r="66" spans="1:2" x14ac:dyDescent="0.3">
      <c r="A66" t="s">
        <v>191</v>
      </c>
      <c r="B66" t="str">
        <f>Lijst!A16</f>
        <v>Hospitalisatie</v>
      </c>
    </row>
    <row r="67" spans="1:2" x14ac:dyDescent="0.3">
      <c r="A67" t="s">
        <v>192</v>
      </c>
      <c r="B67" t="str">
        <f>Lijst!A12</f>
        <v>Brico</v>
      </c>
    </row>
    <row r="68" spans="1:2" x14ac:dyDescent="0.3">
      <c r="A68" t="s">
        <v>63</v>
      </c>
      <c r="B68" t="s">
        <v>63</v>
      </c>
    </row>
    <row r="69" spans="1:2" x14ac:dyDescent="0.3">
      <c r="A69" t="s">
        <v>193</v>
      </c>
      <c r="B69" t="str">
        <f>B52</f>
        <v>restaurant</v>
      </c>
    </row>
    <row r="70" spans="1:2" x14ac:dyDescent="0.3">
      <c r="A70" t="s">
        <v>194</v>
      </c>
      <c r="B70" t="s">
        <v>3</v>
      </c>
    </row>
    <row r="71" spans="1:2" x14ac:dyDescent="0.3">
      <c r="A71" t="s">
        <v>195</v>
      </c>
      <c r="B71" t="s">
        <v>13</v>
      </c>
    </row>
    <row r="72" spans="1:2" x14ac:dyDescent="0.3">
      <c r="A72" t="s">
        <v>196</v>
      </c>
      <c r="B72" t="s">
        <v>3</v>
      </c>
    </row>
    <row r="73" spans="1:2" x14ac:dyDescent="0.3">
      <c r="A73" t="s">
        <v>197</v>
      </c>
      <c r="B73" t="s">
        <v>13</v>
      </c>
    </row>
    <row r="74" spans="1:2" x14ac:dyDescent="0.3">
      <c r="A74" t="s">
        <v>198</v>
      </c>
      <c r="B74" t="str">
        <f>B43</f>
        <v>Gezondheid</v>
      </c>
    </row>
    <row r="75" spans="1:2" x14ac:dyDescent="0.3">
      <c r="A75" t="s">
        <v>199</v>
      </c>
      <c r="B75" t="str">
        <f>B60</f>
        <v>vakbond</v>
      </c>
    </row>
    <row r="76" spans="1:2" x14ac:dyDescent="0.3">
      <c r="A76" t="s">
        <v>200</v>
      </c>
      <c r="B76" t="str">
        <f>B69</f>
        <v>restaurant</v>
      </c>
    </row>
    <row r="77" spans="1:2" x14ac:dyDescent="0.3">
      <c r="A77" t="s">
        <v>201</v>
      </c>
      <c r="B77" t="s">
        <v>3</v>
      </c>
    </row>
    <row r="78" spans="1:2" x14ac:dyDescent="0.3">
      <c r="A78" t="s">
        <v>202</v>
      </c>
      <c r="B78" t="str">
        <f>Lijst!A33</f>
        <v>Ikea</v>
      </c>
    </row>
    <row r="79" spans="1:2" x14ac:dyDescent="0.3">
      <c r="A79" t="s">
        <v>203</v>
      </c>
      <c r="B79" t="s">
        <v>3</v>
      </c>
    </row>
    <row r="80" spans="1:2" x14ac:dyDescent="0.3">
      <c r="A80" t="s">
        <v>204</v>
      </c>
      <c r="B80" t="s">
        <v>13</v>
      </c>
    </row>
    <row r="81" spans="1:2" x14ac:dyDescent="0.3">
      <c r="A81" t="s">
        <v>205</v>
      </c>
      <c r="B81" t="s">
        <v>51</v>
      </c>
    </row>
    <row r="82" spans="1:2" x14ac:dyDescent="0.3">
      <c r="A82" t="s">
        <v>206</v>
      </c>
      <c r="B82" t="s">
        <v>3</v>
      </c>
    </row>
    <row r="83" spans="1:2" x14ac:dyDescent="0.3">
      <c r="A83" t="s">
        <v>207</v>
      </c>
      <c r="B83" t="s">
        <v>3</v>
      </c>
    </row>
    <row r="84" spans="1:2" x14ac:dyDescent="0.3">
      <c r="A84" t="s">
        <v>208</v>
      </c>
      <c r="B84" t="s">
        <v>3</v>
      </c>
    </row>
    <row r="85" spans="1:2" x14ac:dyDescent="0.3">
      <c r="A85" t="s">
        <v>321</v>
      </c>
      <c r="B85" t="str">
        <f>B7</f>
        <v>Louis/Vis</v>
      </c>
    </row>
    <row r="86" spans="1:2" x14ac:dyDescent="0.3">
      <c r="A86" t="s">
        <v>322</v>
      </c>
      <c r="B86" t="s">
        <v>3</v>
      </c>
    </row>
    <row r="87" spans="1:2" x14ac:dyDescent="0.3">
      <c r="A87" t="s">
        <v>673</v>
      </c>
      <c r="B87" t="s">
        <v>32</v>
      </c>
    </row>
    <row r="88" spans="1:2" x14ac:dyDescent="0.3">
      <c r="A88" t="s">
        <v>674</v>
      </c>
      <c r="B88" t="s">
        <v>82</v>
      </c>
    </row>
    <row r="89" spans="1:2" x14ac:dyDescent="0.3">
      <c r="A89" t="s">
        <v>675</v>
      </c>
      <c r="B89" t="s">
        <v>82</v>
      </c>
    </row>
    <row r="90" spans="1:2" x14ac:dyDescent="0.3">
      <c r="A90" t="s">
        <v>676</v>
      </c>
      <c r="B90" t="s">
        <v>48</v>
      </c>
    </row>
    <row r="91" spans="1:2" x14ac:dyDescent="0.3">
      <c r="A91" t="s">
        <v>677</v>
      </c>
      <c r="B91" t="s">
        <v>14</v>
      </c>
    </row>
    <row r="92" spans="1:2" x14ac:dyDescent="0.3">
      <c r="A92" t="s">
        <v>740</v>
      </c>
      <c r="B92" t="s">
        <v>82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8</vt:i4>
      </vt:variant>
      <vt:variant>
        <vt:lpstr>Benoemde bereiken</vt:lpstr>
      </vt:variant>
      <vt:variant>
        <vt:i4>1</vt:i4>
      </vt:variant>
    </vt:vector>
  </HeadingPairs>
  <TitlesOfParts>
    <vt:vector size="9" baseType="lpstr">
      <vt:lpstr>Data</vt:lpstr>
      <vt:lpstr>Dashboard</vt:lpstr>
      <vt:lpstr>Budgetten</vt:lpstr>
      <vt:lpstr>Score</vt:lpstr>
      <vt:lpstr>Kredietscore</vt:lpstr>
      <vt:lpstr>Nutsvoorziening</vt:lpstr>
      <vt:lpstr>Lijst</vt:lpstr>
      <vt:lpstr>Trefwoorden</vt:lpstr>
      <vt:lpstr>zoeklijst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 Rotty</dc:creator>
  <cp:lastModifiedBy>Christoff Rotty</cp:lastModifiedBy>
  <dcterms:created xsi:type="dcterms:W3CDTF">2025-07-17T17:59:24Z</dcterms:created>
  <dcterms:modified xsi:type="dcterms:W3CDTF">2025-12-02T19:29:38Z</dcterms:modified>
</cp:coreProperties>
</file>